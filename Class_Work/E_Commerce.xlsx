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E45981A6-88AD-4222-BC66-A8AAA30CDE3F}" xr6:coauthVersionLast="47" xr6:coauthVersionMax="47" xr10:uidLastSave="{00000000-0000-0000-0000-000000000000}"/>
  <bookViews>
    <workbookView xWindow="-108" yWindow="-108" windowWidth="23256" windowHeight="12456" xr2:uid="{2CE48592-67DA-4AFC-90C2-FAB71330BA3E}"/>
  </bookViews>
  <sheets>
    <sheet name="Sheet1" sheetId="1" r:id="rId1"/>
    <sheet name="Sheet3" sheetId="3" r:id="rId2"/>
    <sheet name="26Feb" sheetId="4" r:id="rId3"/>
  </sheets>
  <definedNames>
    <definedName name="_xlnm._FilterDatabase" localSheetId="0" hidden="1">Sheet1!$B$1:$B$501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1" i="1" l="1" a="1"/>
  <c r="AA71" i="1" s="1"/>
  <c r="V72" i="1"/>
  <c r="V71" i="1"/>
  <c r="W18" i="1"/>
  <c r="W19" i="1"/>
  <c r="W20" i="1"/>
  <c r="W21" i="1"/>
  <c r="W22" i="1"/>
  <c r="AA67" i="1"/>
  <c r="V68" i="1"/>
  <c r="V64" i="1"/>
  <c r="X62" i="1"/>
  <c r="W62" i="1"/>
  <c r="W61" i="1"/>
  <c r="V42" i="1"/>
  <c r="U42" i="1"/>
  <c r="W34" i="1"/>
  <c r="W29" i="1"/>
  <c r="W33" i="1"/>
  <c r="W26" i="1"/>
  <c r="W8" i="1"/>
  <c r="W17" i="1"/>
  <c r="W9" i="1"/>
  <c r="W10" i="1"/>
  <c r="W11" i="1"/>
  <c r="W12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5" i="1"/>
  <c r="R4" i="1"/>
  <c r="R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2" i="1"/>
  <c r="P3" i="1"/>
  <c r="P4" i="1"/>
  <c r="P5" i="1"/>
  <c r="P6" i="1"/>
  <c r="P8" i="1"/>
  <c r="P11" i="1"/>
  <c r="P12" i="1"/>
  <c r="P15" i="1"/>
  <c r="P16" i="1"/>
  <c r="P17" i="1"/>
  <c r="P18" i="1"/>
  <c r="P20" i="1"/>
  <c r="P23" i="1"/>
  <c r="P24" i="1"/>
  <c r="P27" i="1"/>
  <c r="P28" i="1"/>
  <c r="P29" i="1"/>
  <c r="P30" i="1"/>
  <c r="P32" i="1"/>
  <c r="P35" i="1"/>
  <c r="P36" i="1"/>
  <c r="P39" i="1"/>
  <c r="P40" i="1"/>
  <c r="P41" i="1"/>
  <c r="P42" i="1"/>
  <c r="P44" i="1"/>
  <c r="P47" i="1"/>
  <c r="P48" i="1"/>
  <c r="P51" i="1"/>
  <c r="P52" i="1"/>
  <c r="P53" i="1"/>
  <c r="P54" i="1"/>
  <c r="P56" i="1"/>
  <c r="P59" i="1"/>
  <c r="P60" i="1"/>
  <c r="P63" i="1"/>
  <c r="P64" i="1"/>
  <c r="P65" i="1"/>
  <c r="P66" i="1"/>
  <c r="P68" i="1"/>
  <c r="P71" i="1"/>
  <c r="P72" i="1"/>
  <c r="P75" i="1"/>
  <c r="P76" i="1"/>
  <c r="P77" i="1"/>
  <c r="P78" i="1"/>
  <c r="P80" i="1"/>
  <c r="P83" i="1"/>
  <c r="P84" i="1"/>
  <c r="P87" i="1"/>
  <c r="P88" i="1"/>
  <c r="P89" i="1"/>
  <c r="P90" i="1"/>
  <c r="P92" i="1"/>
  <c r="P95" i="1"/>
  <c r="P96" i="1"/>
  <c r="P99" i="1"/>
  <c r="P100" i="1"/>
  <c r="P101" i="1"/>
  <c r="P102" i="1"/>
  <c r="P104" i="1"/>
  <c r="P107" i="1"/>
  <c r="P108" i="1"/>
  <c r="P111" i="1"/>
  <c r="P112" i="1"/>
  <c r="P113" i="1"/>
  <c r="P114" i="1"/>
  <c r="P116" i="1"/>
  <c r="P119" i="1"/>
  <c r="P120" i="1"/>
  <c r="P123" i="1"/>
  <c r="P124" i="1"/>
  <c r="P125" i="1"/>
  <c r="P126" i="1"/>
  <c r="P128" i="1"/>
  <c r="P131" i="1"/>
  <c r="P132" i="1"/>
  <c r="P135" i="1"/>
  <c r="P136" i="1"/>
  <c r="P137" i="1"/>
  <c r="P138" i="1"/>
  <c r="P140" i="1"/>
  <c r="P143" i="1"/>
  <c r="P144" i="1"/>
  <c r="P147" i="1"/>
  <c r="P148" i="1"/>
  <c r="P149" i="1"/>
  <c r="P150" i="1"/>
  <c r="P152" i="1"/>
  <c r="P155" i="1"/>
  <c r="P156" i="1"/>
  <c r="P159" i="1"/>
  <c r="P160" i="1"/>
  <c r="P161" i="1"/>
  <c r="P162" i="1"/>
  <c r="P164" i="1"/>
  <c r="P167" i="1"/>
  <c r="P168" i="1"/>
  <c r="P171" i="1"/>
  <c r="P172" i="1"/>
  <c r="P173" i="1"/>
  <c r="P174" i="1"/>
  <c r="P176" i="1"/>
  <c r="P179" i="1"/>
  <c r="P180" i="1"/>
  <c r="P183" i="1"/>
  <c r="P184" i="1"/>
  <c r="P185" i="1"/>
  <c r="P186" i="1"/>
  <c r="P188" i="1"/>
  <c r="P191" i="1"/>
  <c r="P192" i="1"/>
  <c r="P195" i="1"/>
  <c r="P196" i="1"/>
  <c r="P197" i="1"/>
  <c r="P198" i="1"/>
  <c r="P200" i="1"/>
  <c r="P203" i="1"/>
  <c r="P204" i="1"/>
  <c r="P207" i="1"/>
  <c r="P208" i="1"/>
  <c r="P209" i="1"/>
  <c r="P210" i="1"/>
  <c r="P212" i="1"/>
  <c r="P215" i="1"/>
  <c r="P216" i="1"/>
  <c r="P219" i="1"/>
  <c r="P220" i="1"/>
  <c r="P221" i="1"/>
  <c r="P222" i="1"/>
  <c r="P224" i="1"/>
  <c r="P227" i="1"/>
  <c r="P228" i="1"/>
  <c r="P231" i="1"/>
  <c r="P232" i="1"/>
  <c r="P233" i="1"/>
  <c r="P234" i="1"/>
  <c r="P236" i="1"/>
  <c r="P239" i="1"/>
  <c r="P240" i="1"/>
  <c r="P243" i="1"/>
  <c r="P244" i="1"/>
  <c r="P245" i="1"/>
  <c r="P246" i="1"/>
  <c r="P248" i="1"/>
  <c r="P251" i="1"/>
  <c r="P252" i="1"/>
  <c r="P255" i="1"/>
  <c r="P256" i="1"/>
  <c r="P257" i="1"/>
  <c r="P258" i="1"/>
  <c r="P260" i="1"/>
  <c r="P263" i="1"/>
  <c r="P264" i="1"/>
  <c r="P267" i="1"/>
  <c r="P268" i="1"/>
  <c r="P269" i="1"/>
  <c r="P270" i="1"/>
  <c r="P272" i="1"/>
  <c r="P275" i="1"/>
  <c r="P276" i="1"/>
  <c r="P279" i="1"/>
  <c r="P280" i="1"/>
  <c r="P281" i="1"/>
  <c r="P282" i="1"/>
  <c r="P284" i="1"/>
  <c r="P287" i="1"/>
  <c r="P288" i="1"/>
  <c r="P291" i="1"/>
  <c r="P292" i="1"/>
  <c r="P293" i="1"/>
  <c r="P294" i="1"/>
  <c r="P296" i="1"/>
  <c r="P299" i="1"/>
  <c r="P300" i="1"/>
  <c r="P303" i="1"/>
  <c r="P304" i="1"/>
  <c r="P305" i="1"/>
  <c r="P306" i="1"/>
  <c r="P308" i="1"/>
  <c r="P311" i="1"/>
  <c r="P312" i="1"/>
  <c r="P315" i="1"/>
  <c r="P316" i="1"/>
  <c r="P317" i="1"/>
  <c r="P318" i="1"/>
  <c r="P320" i="1"/>
  <c r="P323" i="1"/>
  <c r="P324" i="1"/>
  <c r="P327" i="1"/>
  <c r="P328" i="1"/>
  <c r="P329" i="1"/>
  <c r="P330" i="1"/>
  <c r="P332" i="1"/>
  <c r="P335" i="1"/>
  <c r="P336" i="1"/>
  <c r="P339" i="1"/>
  <c r="P340" i="1"/>
  <c r="P341" i="1"/>
  <c r="P342" i="1"/>
  <c r="P344" i="1"/>
  <c r="P347" i="1"/>
  <c r="P348" i="1"/>
  <c r="P351" i="1"/>
  <c r="P352" i="1"/>
  <c r="P353" i="1"/>
  <c r="P354" i="1"/>
  <c r="P356" i="1"/>
  <c r="P359" i="1"/>
  <c r="P360" i="1"/>
  <c r="P363" i="1"/>
  <c r="P364" i="1"/>
  <c r="P365" i="1"/>
  <c r="P366" i="1"/>
  <c r="P368" i="1"/>
  <c r="P371" i="1"/>
  <c r="P372" i="1"/>
  <c r="O3" i="1"/>
  <c r="O4" i="1"/>
  <c r="O5" i="1"/>
  <c r="O6" i="1"/>
  <c r="O7" i="1"/>
  <c r="P7" i="1" s="1"/>
  <c r="O8" i="1"/>
  <c r="O9" i="1"/>
  <c r="P9" i="1" s="1"/>
  <c r="O10" i="1"/>
  <c r="P10" i="1" s="1"/>
  <c r="O11" i="1"/>
  <c r="O12" i="1"/>
  <c r="O13" i="1"/>
  <c r="P13" i="1" s="1"/>
  <c r="O14" i="1"/>
  <c r="P14" i="1" s="1"/>
  <c r="O15" i="1"/>
  <c r="O16" i="1"/>
  <c r="O17" i="1"/>
  <c r="O18" i="1"/>
  <c r="O19" i="1"/>
  <c r="P19" i="1" s="1"/>
  <c r="O20" i="1"/>
  <c r="O21" i="1"/>
  <c r="P21" i="1" s="1"/>
  <c r="O22" i="1"/>
  <c r="P22" i="1" s="1"/>
  <c r="O23" i="1"/>
  <c r="O24" i="1"/>
  <c r="O25" i="1"/>
  <c r="P25" i="1" s="1"/>
  <c r="O26" i="1"/>
  <c r="P26" i="1" s="1"/>
  <c r="O27" i="1"/>
  <c r="O28" i="1"/>
  <c r="O29" i="1"/>
  <c r="O30" i="1"/>
  <c r="O31" i="1"/>
  <c r="P31" i="1" s="1"/>
  <c r="O32" i="1"/>
  <c r="O33" i="1"/>
  <c r="P33" i="1" s="1"/>
  <c r="O34" i="1"/>
  <c r="P34" i="1" s="1"/>
  <c r="O35" i="1"/>
  <c r="O36" i="1"/>
  <c r="O37" i="1"/>
  <c r="P37" i="1" s="1"/>
  <c r="O38" i="1"/>
  <c r="P38" i="1" s="1"/>
  <c r="O39" i="1"/>
  <c r="O40" i="1"/>
  <c r="O41" i="1"/>
  <c r="O42" i="1"/>
  <c r="O43" i="1"/>
  <c r="P43" i="1" s="1"/>
  <c r="O44" i="1"/>
  <c r="O45" i="1"/>
  <c r="P45" i="1" s="1"/>
  <c r="O46" i="1"/>
  <c r="P46" i="1" s="1"/>
  <c r="O47" i="1"/>
  <c r="O48" i="1"/>
  <c r="O49" i="1"/>
  <c r="P49" i="1" s="1"/>
  <c r="O50" i="1"/>
  <c r="P50" i="1" s="1"/>
  <c r="O51" i="1"/>
  <c r="O52" i="1"/>
  <c r="O53" i="1"/>
  <c r="O54" i="1"/>
  <c r="O55" i="1"/>
  <c r="P55" i="1" s="1"/>
  <c r="O56" i="1"/>
  <c r="O57" i="1"/>
  <c r="P57" i="1" s="1"/>
  <c r="O58" i="1"/>
  <c r="P58" i="1" s="1"/>
  <c r="O59" i="1"/>
  <c r="O60" i="1"/>
  <c r="O61" i="1"/>
  <c r="P61" i="1" s="1"/>
  <c r="O62" i="1"/>
  <c r="P62" i="1" s="1"/>
  <c r="O63" i="1"/>
  <c r="O64" i="1"/>
  <c r="O65" i="1"/>
  <c r="O66" i="1"/>
  <c r="O67" i="1"/>
  <c r="P67" i="1" s="1"/>
  <c r="O68" i="1"/>
  <c r="O69" i="1"/>
  <c r="P69" i="1" s="1"/>
  <c r="O70" i="1"/>
  <c r="P70" i="1" s="1"/>
  <c r="O71" i="1"/>
  <c r="O72" i="1"/>
  <c r="O73" i="1"/>
  <c r="P73" i="1" s="1"/>
  <c r="O74" i="1"/>
  <c r="P74" i="1" s="1"/>
  <c r="O75" i="1"/>
  <c r="O76" i="1"/>
  <c r="O77" i="1"/>
  <c r="O78" i="1"/>
  <c r="O79" i="1"/>
  <c r="P79" i="1" s="1"/>
  <c r="O80" i="1"/>
  <c r="O81" i="1"/>
  <c r="P81" i="1" s="1"/>
  <c r="O82" i="1"/>
  <c r="P82" i="1" s="1"/>
  <c r="O83" i="1"/>
  <c r="O84" i="1"/>
  <c r="O85" i="1"/>
  <c r="P85" i="1" s="1"/>
  <c r="O86" i="1"/>
  <c r="P86" i="1" s="1"/>
  <c r="O87" i="1"/>
  <c r="O88" i="1"/>
  <c r="O89" i="1"/>
  <c r="O90" i="1"/>
  <c r="O91" i="1"/>
  <c r="P91" i="1" s="1"/>
  <c r="O92" i="1"/>
  <c r="O93" i="1"/>
  <c r="P93" i="1" s="1"/>
  <c r="O94" i="1"/>
  <c r="P94" i="1" s="1"/>
  <c r="O95" i="1"/>
  <c r="O96" i="1"/>
  <c r="O97" i="1"/>
  <c r="P97" i="1" s="1"/>
  <c r="O98" i="1"/>
  <c r="P98" i="1" s="1"/>
  <c r="O99" i="1"/>
  <c r="O100" i="1"/>
  <c r="O101" i="1"/>
  <c r="O102" i="1"/>
  <c r="O103" i="1"/>
  <c r="P103" i="1" s="1"/>
  <c r="O104" i="1"/>
  <c r="O105" i="1"/>
  <c r="P105" i="1" s="1"/>
  <c r="O106" i="1"/>
  <c r="P106" i="1" s="1"/>
  <c r="O107" i="1"/>
  <c r="O108" i="1"/>
  <c r="O109" i="1"/>
  <c r="P109" i="1" s="1"/>
  <c r="O110" i="1"/>
  <c r="P110" i="1" s="1"/>
  <c r="O111" i="1"/>
  <c r="O112" i="1"/>
  <c r="O113" i="1"/>
  <c r="O114" i="1"/>
  <c r="O115" i="1"/>
  <c r="P115" i="1" s="1"/>
  <c r="O116" i="1"/>
  <c r="O117" i="1"/>
  <c r="P117" i="1" s="1"/>
  <c r="O118" i="1"/>
  <c r="P118" i="1" s="1"/>
  <c r="O119" i="1"/>
  <c r="O120" i="1"/>
  <c r="O121" i="1"/>
  <c r="P121" i="1" s="1"/>
  <c r="O122" i="1"/>
  <c r="P122" i="1" s="1"/>
  <c r="O123" i="1"/>
  <c r="O124" i="1"/>
  <c r="O125" i="1"/>
  <c r="O126" i="1"/>
  <c r="O127" i="1"/>
  <c r="P127" i="1" s="1"/>
  <c r="O128" i="1"/>
  <c r="O129" i="1"/>
  <c r="P129" i="1" s="1"/>
  <c r="O130" i="1"/>
  <c r="P130" i="1" s="1"/>
  <c r="O131" i="1"/>
  <c r="O132" i="1"/>
  <c r="O133" i="1"/>
  <c r="P133" i="1" s="1"/>
  <c r="O134" i="1"/>
  <c r="P134" i="1" s="1"/>
  <c r="O135" i="1"/>
  <c r="O136" i="1"/>
  <c r="O137" i="1"/>
  <c r="O138" i="1"/>
  <c r="O139" i="1"/>
  <c r="P139" i="1" s="1"/>
  <c r="O140" i="1"/>
  <c r="O141" i="1"/>
  <c r="P141" i="1" s="1"/>
  <c r="O142" i="1"/>
  <c r="P142" i="1" s="1"/>
  <c r="O143" i="1"/>
  <c r="O144" i="1"/>
  <c r="O145" i="1"/>
  <c r="P145" i="1" s="1"/>
  <c r="O146" i="1"/>
  <c r="P146" i="1" s="1"/>
  <c r="O147" i="1"/>
  <c r="O148" i="1"/>
  <c r="O149" i="1"/>
  <c r="O150" i="1"/>
  <c r="O151" i="1"/>
  <c r="P151" i="1" s="1"/>
  <c r="O152" i="1"/>
  <c r="O153" i="1"/>
  <c r="P153" i="1" s="1"/>
  <c r="O154" i="1"/>
  <c r="P154" i="1" s="1"/>
  <c r="O155" i="1"/>
  <c r="O156" i="1"/>
  <c r="O157" i="1"/>
  <c r="P157" i="1" s="1"/>
  <c r="O158" i="1"/>
  <c r="P158" i="1" s="1"/>
  <c r="O159" i="1"/>
  <c r="O160" i="1"/>
  <c r="O161" i="1"/>
  <c r="O162" i="1"/>
  <c r="O163" i="1"/>
  <c r="P163" i="1" s="1"/>
  <c r="O164" i="1"/>
  <c r="O165" i="1"/>
  <c r="P165" i="1" s="1"/>
  <c r="O166" i="1"/>
  <c r="P166" i="1" s="1"/>
  <c r="O167" i="1"/>
  <c r="O168" i="1"/>
  <c r="O169" i="1"/>
  <c r="P169" i="1" s="1"/>
  <c r="O170" i="1"/>
  <c r="P170" i="1" s="1"/>
  <c r="O171" i="1"/>
  <c r="O172" i="1"/>
  <c r="O173" i="1"/>
  <c r="O174" i="1"/>
  <c r="O175" i="1"/>
  <c r="P175" i="1" s="1"/>
  <c r="O176" i="1"/>
  <c r="O177" i="1"/>
  <c r="P177" i="1" s="1"/>
  <c r="O178" i="1"/>
  <c r="P178" i="1" s="1"/>
  <c r="O179" i="1"/>
  <c r="O180" i="1"/>
  <c r="O181" i="1"/>
  <c r="P181" i="1" s="1"/>
  <c r="O182" i="1"/>
  <c r="P182" i="1" s="1"/>
  <c r="O183" i="1"/>
  <c r="O184" i="1"/>
  <c r="O185" i="1"/>
  <c r="O186" i="1"/>
  <c r="O187" i="1"/>
  <c r="P187" i="1" s="1"/>
  <c r="O188" i="1"/>
  <c r="O189" i="1"/>
  <c r="P189" i="1" s="1"/>
  <c r="O190" i="1"/>
  <c r="P190" i="1" s="1"/>
  <c r="O191" i="1"/>
  <c r="O192" i="1"/>
  <c r="O193" i="1"/>
  <c r="P193" i="1" s="1"/>
  <c r="O194" i="1"/>
  <c r="P194" i="1" s="1"/>
  <c r="O195" i="1"/>
  <c r="O196" i="1"/>
  <c r="O197" i="1"/>
  <c r="O198" i="1"/>
  <c r="O199" i="1"/>
  <c r="P199" i="1" s="1"/>
  <c r="O200" i="1"/>
  <c r="O201" i="1"/>
  <c r="P201" i="1" s="1"/>
  <c r="O202" i="1"/>
  <c r="P202" i="1" s="1"/>
  <c r="O203" i="1"/>
  <c r="O204" i="1"/>
  <c r="O205" i="1"/>
  <c r="P205" i="1" s="1"/>
  <c r="O206" i="1"/>
  <c r="P206" i="1" s="1"/>
  <c r="O207" i="1"/>
  <c r="O208" i="1"/>
  <c r="O209" i="1"/>
  <c r="O210" i="1"/>
  <c r="O211" i="1"/>
  <c r="P211" i="1" s="1"/>
  <c r="O212" i="1"/>
  <c r="O213" i="1"/>
  <c r="P213" i="1" s="1"/>
  <c r="O214" i="1"/>
  <c r="P214" i="1" s="1"/>
  <c r="O215" i="1"/>
  <c r="O216" i="1"/>
  <c r="O217" i="1"/>
  <c r="P217" i="1" s="1"/>
  <c r="O218" i="1"/>
  <c r="P218" i="1" s="1"/>
  <c r="O219" i="1"/>
  <c r="O220" i="1"/>
  <c r="O221" i="1"/>
  <c r="O222" i="1"/>
  <c r="O223" i="1"/>
  <c r="P223" i="1" s="1"/>
  <c r="O224" i="1"/>
  <c r="O225" i="1"/>
  <c r="P225" i="1" s="1"/>
  <c r="O226" i="1"/>
  <c r="P226" i="1" s="1"/>
  <c r="O227" i="1"/>
  <c r="O228" i="1"/>
  <c r="O229" i="1"/>
  <c r="P229" i="1" s="1"/>
  <c r="O230" i="1"/>
  <c r="P230" i="1" s="1"/>
  <c r="O231" i="1"/>
  <c r="O232" i="1"/>
  <c r="O233" i="1"/>
  <c r="O234" i="1"/>
  <c r="O235" i="1"/>
  <c r="P235" i="1" s="1"/>
  <c r="O236" i="1"/>
  <c r="O237" i="1"/>
  <c r="P237" i="1" s="1"/>
  <c r="O238" i="1"/>
  <c r="P238" i="1" s="1"/>
  <c r="O239" i="1"/>
  <c r="O240" i="1"/>
  <c r="O241" i="1"/>
  <c r="P241" i="1" s="1"/>
  <c r="O242" i="1"/>
  <c r="P242" i="1" s="1"/>
  <c r="O243" i="1"/>
  <c r="O244" i="1"/>
  <c r="O245" i="1"/>
  <c r="O246" i="1"/>
  <c r="O247" i="1"/>
  <c r="P247" i="1" s="1"/>
  <c r="O248" i="1"/>
  <c r="O249" i="1"/>
  <c r="P249" i="1" s="1"/>
  <c r="O250" i="1"/>
  <c r="P250" i="1" s="1"/>
  <c r="O251" i="1"/>
  <c r="O252" i="1"/>
  <c r="O253" i="1"/>
  <c r="P253" i="1" s="1"/>
  <c r="O254" i="1"/>
  <c r="P254" i="1" s="1"/>
  <c r="O255" i="1"/>
  <c r="O256" i="1"/>
  <c r="O257" i="1"/>
  <c r="O258" i="1"/>
  <c r="O259" i="1"/>
  <c r="P259" i="1" s="1"/>
  <c r="O260" i="1"/>
  <c r="O261" i="1"/>
  <c r="P261" i="1" s="1"/>
  <c r="O262" i="1"/>
  <c r="P262" i="1" s="1"/>
  <c r="O263" i="1"/>
  <c r="O264" i="1"/>
  <c r="O265" i="1"/>
  <c r="P265" i="1" s="1"/>
  <c r="O266" i="1"/>
  <c r="P266" i="1" s="1"/>
  <c r="O267" i="1"/>
  <c r="O268" i="1"/>
  <c r="O269" i="1"/>
  <c r="O270" i="1"/>
  <c r="O271" i="1"/>
  <c r="P271" i="1" s="1"/>
  <c r="O272" i="1"/>
  <c r="O273" i="1"/>
  <c r="P273" i="1" s="1"/>
  <c r="O274" i="1"/>
  <c r="P274" i="1" s="1"/>
  <c r="O275" i="1"/>
  <c r="O276" i="1"/>
  <c r="O277" i="1"/>
  <c r="P277" i="1" s="1"/>
  <c r="O278" i="1"/>
  <c r="P278" i="1" s="1"/>
  <c r="O279" i="1"/>
  <c r="O280" i="1"/>
  <c r="O281" i="1"/>
  <c r="O282" i="1"/>
  <c r="O283" i="1"/>
  <c r="P283" i="1" s="1"/>
  <c r="O284" i="1"/>
  <c r="O285" i="1"/>
  <c r="P285" i="1" s="1"/>
  <c r="O286" i="1"/>
  <c r="P286" i="1" s="1"/>
  <c r="O287" i="1"/>
  <c r="O288" i="1"/>
  <c r="O289" i="1"/>
  <c r="P289" i="1" s="1"/>
  <c r="O290" i="1"/>
  <c r="P290" i="1" s="1"/>
  <c r="O291" i="1"/>
  <c r="O292" i="1"/>
  <c r="O293" i="1"/>
  <c r="O294" i="1"/>
  <c r="O295" i="1"/>
  <c r="P295" i="1" s="1"/>
  <c r="O296" i="1"/>
  <c r="O297" i="1"/>
  <c r="P297" i="1" s="1"/>
  <c r="O298" i="1"/>
  <c r="P298" i="1" s="1"/>
  <c r="O299" i="1"/>
  <c r="O300" i="1"/>
  <c r="O301" i="1"/>
  <c r="P301" i="1" s="1"/>
  <c r="O302" i="1"/>
  <c r="P302" i="1" s="1"/>
  <c r="O303" i="1"/>
  <c r="O304" i="1"/>
  <c r="O305" i="1"/>
  <c r="O306" i="1"/>
  <c r="O307" i="1"/>
  <c r="P307" i="1" s="1"/>
  <c r="O308" i="1"/>
  <c r="O309" i="1"/>
  <c r="P309" i="1" s="1"/>
  <c r="O310" i="1"/>
  <c r="P310" i="1" s="1"/>
  <c r="O311" i="1"/>
  <c r="O312" i="1"/>
  <c r="O313" i="1"/>
  <c r="P313" i="1" s="1"/>
  <c r="O314" i="1"/>
  <c r="P314" i="1" s="1"/>
  <c r="O315" i="1"/>
  <c r="O316" i="1"/>
  <c r="O317" i="1"/>
  <c r="O318" i="1"/>
  <c r="O319" i="1"/>
  <c r="P319" i="1" s="1"/>
  <c r="O320" i="1"/>
  <c r="O321" i="1"/>
  <c r="P321" i="1" s="1"/>
  <c r="O322" i="1"/>
  <c r="P322" i="1" s="1"/>
  <c r="O323" i="1"/>
  <c r="O324" i="1"/>
  <c r="O325" i="1"/>
  <c r="P325" i="1" s="1"/>
  <c r="O326" i="1"/>
  <c r="P326" i="1" s="1"/>
  <c r="O327" i="1"/>
  <c r="O328" i="1"/>
  <c r="O329" i="1"/>
  <c r="O330" i="1"/>
  <c r="O331" i="1"/>
  <c r="P331" i="1" s="1"/>
  <c r="O332" i="1"/>
  <c r="O333" i="1"/>
  <c r="P333" i="1" s="1"/>
  <c r="O334" i="1"/>
  <c r="P334" i="1" s="1"/>
  <c r="O335" i="1"/>
  <c r="O336" i="1"/>
  <c r="O337" i="1"/>
  <c r="P337" i="1" s="1"/>
  <c r="O338" i="1"/>
  <c r="P338" i="1" s="1"/>
  <c r="O339" i="1"/>
  <c r="O340" i="1"/>
  <c r="O341" i="1"/>
  <c r="O342" i="1"/>
  <c r="O343" i="1"/>
  <c r="P343" i="1" s="1"/>
  <c r="O344" i="1"/>
  <c r="O345" i="1"/>
  <c r="P345" i="1" s="1"/>
  <c r="O346" i="1"/>
  <c r="P346" i="1" s="1"/>
  <c r="O347" i="1"/>
  <c r="O348" i="1"/>
  <c r="O349" i="1"/>
  <c r="P349" i="1" s="1"/>
  <c r="O350" i="1"/>
  <c r="P350" i="1" s="1"/>
  <c r="O351" i="1"/>
  <c r="O352" i="1"/>
  <c r="O353" i="1"/>
  <c r="O354" i="1"/>
  <c r="O355" i="1"/>
  <c r="P355" i="1" s="1"/>
  <c r="O356" i="1"/>
  <c r="O357" i="1"/>
  <c r="P357" i="1" s="1"/>
  <c r="O358" i="1"/>
  <c r="P358" i="1" s="1"/>
  <c r="O359" i="1"/>
  <c r="O360" i="1"/>
  <c r="O361" i="1"/>
  <c r="P361" i="1" s="1"/>
  <c r="O362" i="1"/>
  <c r="P362" i="1" s="1"/>
  <c r="O363" i="1"/>
  <c r="O364" i="1"/>
  <c r="O365" i="1"/>
  <c r="O366" i="1"/>
  <c r="O367" i="1"/>
  <c r="P367" i="1" s="1"/>
  <c r="O368" i="1"/>
  <c r="O369" i="1"/>
  <c r="P369" i="1" s="1"/>
  <c r="O370" i="1"/>
  <c r="P370" i="1" s="1"/>
  <c r="O371" i="1"/>
  <c r="O372" i="1"/>
  <c r="O373" i="1"/>
  <c r="P373" i="1" s="1"/>
  <c r="O2" i="1"/>
  <c r="P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<sst xmlns="http://schemas.openxmlformats.org/spreadsheetml/2006/main" count="7942" uniqueCount="92">
  <si>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</si>
  <si>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</si>
  <si>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</si>
  <si>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</si>
  <si>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</si>
  <si>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</si>
  <si>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</si>
  <si>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</si>
  <si>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</si>
  <si>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</si>
  <si>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</si>
  <si>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</si>
  <si>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</si>
  <si>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</si>
  <si>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</si>
  <si>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</si>
  <si>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</si>
  <si>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</si>
  <si>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</si>
  <si>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</si>
  <si>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</si>
  <si>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</si>
  <si>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</si>
  <si>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</si>
  <si>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</si>
  <si>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</si>
  <si>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</si>
  <si>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</si>
  <si>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</si>
  <si>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</si>
  <si>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</si>
  <si>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</si>
  <si>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</si>
  <si>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</si>
  <si>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</si>
  <si>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</si>
  <si>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</si>
  <si>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</si>
  <si>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</si>
  <si>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</si>
  <si>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</si>
  <si>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</si>
  <si>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</si>
  <si>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</si>
  <si>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</si>
  <si>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</si>
  <si>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</si>
  <si>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</si>
  <si>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</si>
  <si>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</si>
  <si>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</si>
  <si>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</si>
  <si>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</si>
  <si>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</si>
  <si>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</si>
  <si>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</si>
  <si>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</si>
  <si>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</si>
  <si>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</si>
  <si>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</si>
  <si>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</si>
  <si>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</si>
  <si>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</si>
  <si>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</si>
  <si>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</si>
  <si>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</si>
  <si>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</si>
  <si>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</si>
  <si>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</si>
  <si>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</t>
  </si>
  <si>
    <t>Category</t>
  </si>
  <si>
    <t>Discount Category</t>
  </si>
  <si>
    <t>Unit Category</t>
  </si>
  <si>
    <t>Total Unit Sold</t>
  </si>
  <si>
    <t>Brand Name</t>
  </si>
  <si>
    <t>Average Unit Price</t>
  </si>
  <si>
    <t>SUMIF()</t>
  </si>
  <si>
    <t>SUMIFS()</t>
  </si>
  <si>
    <t>AVERAGEIF()</t>
  </si>
  <si>
    <t>AVERAGE()</t>
  </si>
  <si>
    <t>AVERAGEIFS()</t>
  </si>
  <si>
    <t>gub</t>
  </si>
  <si>
    <t>uh</t>
  </si>
  <si>
    <t>Count and CountA</t>
  </si>
  <si>
    <t>Product rows</t>
  </si>
  <si>
    <t>Unit sold rows</t>
  </si>
  <si>
    <t>count blank</t>
  </si>
  <si>
    <t>CountIF</t>
  </si>
  <si>
    <t>CountIFS</t>
  </si>
  <si>
    <t>Total sale Amount</t>
  </si>
  <si>
    <t xml:space="preserve">using sumproduct </t>
  </si>
  <si>
    <t>total sale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</si>
</sst>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0" fontId="1" fillId="0" borderId="0" xfId="0" applyFont="1"/>
    <xf numFmtId="164" fontId="0" fillId="0" borderId="1" xfId="0" applyNumberFormat="1" applyBorder="1"/>
  </cellXfs>
  <cellStyles count="1">
    <cellStyle name="Normal" xfId="0" builtinId="0"/>
  </cellStyles>
  <dxfs count="8"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theme="7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AA373"/>
  <sheetViews>
    <sheetView tabSelected="1" topLeftCell="A347" workbookViewId="0">
      <selection activeCell="J364" sqref="J364"/>
    </sheetView>
  </sheetViews>
  <sheetFormatPr defaultRowHeight="14.4" x14ac:dyDescent="0.3"/>
  <cols>
    <col min="1" max="1" width="8.44140625" bestFit="1" customWidth="1"/>
    <col min="2" max="2" width="11.88671875" bestFit="1" customWidth="1"/>
    <col min="3" max="4" width="10.6640625" bestFit="1" customWidth="1"/>
    <col min="5" max="5" width="10.5546875" bestFit="1" customWidth="1"/>
    <col min="6" max="6" width="12" bestFit="1" customWidth="1"/>
    <col min="7" max="7" width="13.44140625" bestFit="1" customWidth="1"/>
    <col min="8" max="8" width="16.44140625" bestFit="1" customWidth="1"/>
    <col min="9" max="9" width="16.33203125" bestFit="1" customWidth="1"/>
    <col min="10" max="10" width="13.6640625" bestFit="1" customWidth="1"/>
    <col min="11" max="11" width="7.44140625" bestFit="1" customWidth="1"/>
    <col min="12" max="12" width="9.88671875" bestFit="1" customWidth="1"/>
    <col min="13" max="13" width="9.5546875" bestFit="1" customWidth="1"/>
    <col min="14" max="14" width="10.6640625" bestFit="1" customWidth="1"/>
    <col min="15" max="15" width="9" bestFit="1" customWidth="1"/>
    <col min="16" max="16" width="9.88671875" bestFit="1" customWidth="1"/>
    <col min="17" max="17" width="17.33203125" bestFit="1" customWidth="1"/>
    <col min="18" max="18" width="13.33203125" bestFit="1" customWidth="1"/>
    <col min="20" max="20" width="11.33203125" bestFit="1" customWidth="1"/>
    <col min="21" max="21" width="16.33203125" bestFit="1" customWidth="1"/>
    <col min="22" max="22" width="14" bestFit="1" customWidth="1"/>
    <col min="23" max="23" width="17.5546875" bestFit="1" customWidth="1"/>
    <col min="25" max="25" width="15.21875" bestFit="1" customWidth="1"/>
    <col min="26" max="26" width="15.441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24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 "High Price", "Low Price")</f>
        <v>High Price</v>
      </c>
      <c r="Q2" s="1" t="str">
        <f>_xlfn.IFS(N2&gt;=10, "High",N2&gt;=5,"Medium", N2&lt;5,"Low")</f>
        <v>Low</v>
      </c>
      <c r="R2" s="1" t="str">
        <f>IF(L2&gt;8,"High",IF(L2&gt;4,"Medium","Low"))</f>
        <v>Medium</v>
      </c>
    </row>
    <row r="3" spans="1:24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 "High Price", "Low Price")</f>
        <v>High Price</v>
      </c>
      <c r="Q3" s="1" t="str">
        <f t="shared" ref="Q3:Q66" si="2">_xlfn.IFS(N3&gt;=10, "High",N3&gt;=5,"Medium", N3&lt;5,"Low")</f>
        <v>Medium</v>
      </c>
      <c r="R3" s="1" t="str">
        <f>IF(L3&gt;8,"High",IF(L3&gt;4,"Medium","Low"))</f>
        <v>High</v>
      </c>
    </row>
    <row r="4" spans="1:24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 Price</v>
      </c>
      <c r="Q4" s="1" t="str">
        <f t="shared" si="2"/>
        <v>High</v>
      </c>
      <c r="R4" s="1" t="str">
        <f>IF(L4&gt;8,"High",IF(L4&gt;4,"Medium","Low"))</f>
        <v>Medium</v>
      </c>
    </row>
    <row r="5" spans="1:24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 Price</v>
      </c>
      <c r="Q5" s="1" t="str">
        <f t="shared" si="2"/>
        <v>High</v>
      </c>
      <c r="R5" s="1" t="str">
        <f>IF(L5&gt;8,"High",IF(L5&gt;4,"Medium","Low"))</f>
        <v>Low</v>
      </c>
    </row>
    <row r="6" spans="1:24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 Price</v>
      </c>
      <c r="Q6" s="1" t="str">
        <f t="shared" si="2"/>
        <v>High</v>
      </c>
      <c r="R6" s="1" t="str">
        <f t="shared" ref="R6:R69" si="3">IF(L6&gt;8,"High",IF(L6&gt;4,"Medium","Low"))</f>
        <v>Medium</v>
      </c>
    </row>
    <row r="7" spans="1:24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 Price</v>
      </c>
      <c r="Q7" s="1" t="str">
        <f t="shared" si="2"/>
        <v>High</v>
      </c>
      <c r="R7" s="1" t="str">
        <f t="shared" si="3"/>
        <v>Low</v>
      </c>
      <c r="V7" t="s">
        <v>76</v>
      </c>
    </row>
    <row r="8" spans="1:24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 Price</v>
      </c>
      <c r="Q8" s="1" t="str">
        <f t="shared" si="2"/>
        <v>High</v>
      </c>
      <c r="R8" s="1" t="str">
        <f t="shared" si="3"/>
        <v>Medium</v>
      </c>
      <c r="U8" s="1" t="s">
        <v>20</v>
      </c>
      <c r="V8" s="1" t="s">
        <v>73</v>
      </c>
      <c r="W8" s="1">
        <f>SUMIF(K2:K373,U8,L2:L373)</f>
        <v>369</v>
      </c>
      <c r="X8" s="1"/>
    </row>
    <row r="9" spans="1:24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 Price</v>
      </c>
      <c r="Q9" s="1" t="str">
        <f t="shared" si="2"/>
        <v>High</v>
      </c>
      <c r="R9" s="1" t="str">
        <f t="shared" si="3"/>
        <v>Low</v>
      </c>
      <c r="U9" s="1" t="s">
        <v>46</v>
      </c>
      <c r="V9" s="1" t="s">
        <v>73</v>
      </c>
      <c r="W9" s="1">
        <f t="shared" ref="W9:W12" si="4">SUMIF(K3:K374,U9,L3:L374)</f>
        <v>354</v>
      </c>
      <c r="X9" s="1"/>
    </row>
    <row r="10" spans="1:24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 Price</v>
      </c>
      <c r="Q10" s="1" t="str">
        <f t="shared" si="2"/>
        <v>High</v>
      </c>
      <c r="R10" s="1" t="str">
        <f t="shared" si="3"/>
        <v>Medium</v>
      </c>
      <c r="U10" s="1" t="s">
        <v>44</v>
      </c>
      <c r="V10" s="1" t="s">
        <v>73</v>
      </c>
      <c r="W10" s="1">
        <f t="shared" si="4"/>
        <v>383</v>
      </c>
      <c r="X10" s="1"/>
    </row>
    <row r="11" spans="1:24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 Price</v>
      </c>
      <c r="Q11" s="1" t="str">
        <f t="shared" si="2"/>
        <v>High</v>
      </c>
      <c r="R11" s="1" t="str">
        <f t="shared" si="3"/>
        <v>Medium</v>
      </c>
      <c r="U11" s="1" t="s">
        <v>27</v>
      </c>
      <c r="V11" s="1" t="s">
        <v>73</v>
      </c>
      <c r="W11" s="1">
        <f t="shared" si="4"/>
        <v>297</v>
      </c>
      <c r="X11" s="1"/>
    </row>
    <row r="12" spans="1:24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 Price</v>
      </c>
      <c r="Q12" s="1" t="str">
        <f t="shared" si="2"/>
        <v>Low</v>
      </c>
      <c r="R12" s="1" t="str">
        <f t="shared" si="3"/>
        <v>Medium</v>
      </c>
      <c r="U12" s="1" t="s">
        <v>32</v>
      </c>
      <c r="V12" s="1" t="s">
        <v>73</v>
      </c>
      <c r="W12" s="1">
        <f t="shared" si="4"/>
        <v>419</v>
      </c>
      <c r="X12" s="1"/>
    </row>
    <row r="13" spans="1:24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 Price</v>
      </c>
      <c r="Q13" s="1" t="str">
        <f t="shared" si="2"/>
        <v>Medium</v>
      </c>
      <c r="R13" s="1" t="str">
        <f t="shared" si="3"/>
        <v>Medium</v>
      </c>
    </row>
    <row r="14" spans="1:24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 Price</v>
      </c>
      <c r="Q14" s="1" t="str">
        <f t="shared" si="2"/>
        <v>Low</v>
      </c>
      <c r="R14" s="1" t="str">
        <f t="shared" si="3"/>
        <v>Medium</v>
      </c>
    </row>
    <row r="15" spans="1:24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 Price</v>
      </c>
      <c r="Q15" s="1" t="str">
        <f t="shared" si="2"/>
        <v>High</v>
      </c>
      <c r="R15" s="1" t="str">
        <f t="shared" si="3"/>
        <v>Medium</v>
      </c>
      <c r="V15" t="s">
        <v>77</v>
      </c>
    </row>
    <row r="16" spans="1:24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 Price</v>
      </c>
      <c r="Q16" s="1" t="str">
        <f t="shared" si="2"/>
        <v>High</v>
      </c>
      <c r="R16" s="1" t="str">
        <f t="shared" si="3"/>
        <v>High</v>
      </c>
      <c r="U16" s="1" t="s">
        <v>8</v>
      </c>
      <c r="V16" s="1" t="s">
        <v>74</v>
      </c>
      <c r="W16" s="1" t="s">
        <v>73</v>
      </c>
    </row>
    <row r="17" spans="1:23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 Price</v>
      </c>
      <c r="Q17" s="1" t="str">
        <f t="shared" si="2"/>
        <v>Medium</v>
      </c>
      <c r="R17" s="1" t="str">
        <f t="shared" si="3"/>
        <v>Medium</v>
      </c>
      <c r="U17" s="1" t="s">
        <v>18</v>
      </c>
      <c r="V17" s="1" t="s">
        <v>20</v>
      </c>
      <c r="W17" s="1">
        <f>SUMIFS(L2:L373,I2:I373,I2,K2:K373,V17)</f>
        <v>39</v>
      </c>
    </row>
    <row r="18" spans="1:23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 Price</v>
      </c>
      <c r="Q18" s="1" t="str">
        <f t="shared" si="2"/>
        <v>High</v>
      </c>
      <c r="R18" s="1" t="str">
        <f t="shared" si="3"/>
        <v>Low</v>
      </c>
      <c r="U18" s="1" t="s">
        <v>25</v>
      </c>
      <c r="V18" s="1" t="s">
        <v>20</v>
      </c>
      <c r="W18" s="1">
        <f t="shared" ref="W18:W22" si="5">SUMIFS(L3:L374,I3:I374,I3,K3:K374,V18)</f>
        <v>46</v>
      </c>
    </row>
    <row r="19" spans="1:23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 Price</v>
      </c>
      <c r="Q19" s="1" t="str">
        <f t="shared" si="2"/>
        <v>High</v>
      </c>
      <c r="R19" s="1" t="str">
        <f t="shared" si="3"/>
        <v>Low</v>
      </c>
      <c r="U19" s="1" t="s">
        <v>30</v>
      </c>
      <c r="V19" s="1" t="s">
        <v>20</v>
      </c>
      <c r="W19" s="1">
        <f t="shared" si="5"/>
        <v>74</v>
      </c>
    </row>
    <row r="20" spans="1:23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 Price</v>
      </c>
      <c r="Q20" s="1" t="str">
        <f t="shared" si="2"/>
        <v>High</v>
      </c>
      <c r="R20" s="1" t="str">
        <f t="shared" si="3"/>
        <v>Low</v>
      </c>
      <c r="U20" s="1" t="s">
        <v>18</v>
      </c>
      <c r="V20" s="1" t="s">
        <v>46</v>
      </c>
      <c r="W20" s="1">
        <f t="shared" si="5"/>
        <v>55</v>
      </c>
    </row>
    <row r="21" spans="1:23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 Price</v>
      </c>
      <c r="Q21" s="1" t="str">
        <f t="shared" si="2"/>
        <v>Medium</v>
      </c>
      <c r="R21" s="1" t="str">
        <f t="shared" si="3"/>
        <v>Low</v>
      </c>
      <c r="U21" s="1" t="s">
        <v>25</v>
      </c>
      <c r="V21" s="1" t="s">
        <v>46</v>
      </c>
      <c r="W21" s="1">
        <f t="shared" si="5"/>
        <v>63</v>
      </c>
    </row>
    <row r="22" spans="1:23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 Price</v>
      </c>
      <c r="Q22" s="1" t="str">
        <f t="shared" si="2"/>
        <v>Medium</v>
      </c>
      <c r="R22" s="1" t="str">
        <f t="shared" si="3"/>
        <v>Low</v>
      </c>
      <c r="U22" s="1" t="s">
        <v>30</v>
      </c>
      <c r="V22" s="1" t="s">
        <v>46</v>
      </c>
      <c r="W22" s="1">
        <f t="shared" si="5"/>
        <v>35</v>
      </c>
    </row>
    <row r="23" spans="1:23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 Price</v>
      </c>
      <c r="Q23" s="1" t="str">
        <f t="shared" si="2"/>
        <v>High</v>
      </c>
      <c r="R23" s="1" t="str">
        <f t="shared" si="3"/>
        <v>Medium</v>
      </c>
    </row>
    <row r="24" spans="1:23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 Price</v>
      </c>
      <c r="Q24" s="1" t="str">
        <f t="shared" si="2"/>
        <v>High</v>
      </c>
      <c r="R24" s="1" t="str">
        <f t="shared" si="3"/>
        <v>Low</v>
      </c>
      <c r="W24" t="s">
        <v>79</v>
      </c>
    </row>
    <row r="25" spans="1:23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 Price</v>
      </c>
      <c r="Q25" s="1" t="str">
        <f t="shared" si="2"/>
        <v>Low</v>
      </c>
      <c r="R25" s="1" t="str">
        <f t="shared" si="3"/>
        <v>Low</v>
      </c>
      <c r="W25" s="1" t="s">
        <v>75</v>
      </c>
    </row>
    <row r="26" spans="1:23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 Price</v>
      </c>
      <c r="Q26" s="1" t="str">
        <f t="shared" si="2"/>
        <v>Medium</v>
      </c>
      <c r="R26" s="1" t="str">
        <f t="shared" si="3"/>
        <v>Medium</v>
      </c>
      <c r="W26" s="1">
        <f>AVERAGE(M2:M373)</f>
        <v>2001.1641935483883</v>
      </c>
    </row>
    <row r="27" spans="1:23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 Price</v>
      </c>
      <c r="Q27" s="1" t="str">
        <f t="shared" si="2"/>
        <v>Medium</v>
      </c>
      <c r="R27" s="1" t="str">
        <f t="shared" si="3"/>
        <v>High</v>
      </c>
      <c r="V27" t="s">
        <v>78</v>
      </c>
    </row>
    <row r="28" spans="1:23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 Price</v>
      </c>
      <c r="Q28" s="1" t="str">
        <f t="shared" si="2"/>
        <v>Medium</v>
      </c>
      <c r="R28" s="1" t="str">
        <f t="shared" si="3"/>
        <v>Low</v>
      </c>
      <c r="V28" s="1" t="s">
        <v>74</v>
      </c>
      <c r="W28" s="1" t="s">
        <v>75</v>
      </c>
    </row>
    <row r="29" spans="1:23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 Price</v>
      </c>
      <c r="Q29" s="1" t="str">
        <f t="shared" si="2"/>
        <v>High</v>
      </c>
      <c r="R29" s="1" t="str">
        <f t="shared" si="3"/>
        <v>Medium</v>
      </c>
      <c r="V29" s="1" t="s">
        <v>20</v>
      </c>
      <c r="W29" s="1">
        <f>ROUNDUP(AVERAGEIF(K2:K373,V29,M2:M373), 2)</f>
        <v>2036.18</v>
      </c>
    </row>
    <row r="30" spans="1:23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 Price</v>
      </c>
      <c r="Q30" s="1" t="str">
        <f t="shared" si="2"/>
        <v>High</v>
      </c>
      <c r="R30" s="1" t="str">
        <f t="shared" si="3"/>
        <v>Low</v>
      </c>
    </row>
    <row r="31" spans="1:23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 Price</v>
      </c>
      <c r="Q31" s="1" t="str">
        <f t="shared" si="2"/>
        <v>High</v>
      </c>
      <c r="R31" s="1" t="str">
        <f t="shared" si="3"/>
        <v>Low</v>
      </c>
      <c r="V31" t="s">
        <v>80</v>
      </c>
    </row>
    <row r="32" spans="1:23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 Price</v>
      </c>
      <c r="Q32" s="1" t="str">
        <f t="shared" si="2"/>
        <v>High</v>
      </c>
      <c r="R32" s="1" t="str">
        <f t="shared" si="3"/>
        <v>Medium</v>
      </c>
      <c r="U32" s="1" t="s">
        <v>8</v>
      </c>
      <c r="V32" s="1" t="s">
        <v>74</v>
      </c>
      <c r="W32" s="1" t="s">
        <v>75</v>
      </c>
    </row>
    <row r="33" spans="1:2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 Price</v>
      </c>
      <c r="Q33" s="1" t="str">
        <f t="shared" si="2"/>
        <v>Medium</v>
      </c>
      <c r="R33" s="1" t="str">
        <f t="shared" si="3"/>
        <v>Low</v>
      </c>
      <c r="U33" s="1" t="s">
        <v>18</v>
      </c>
      <c r="V33" s="1" t="s">
        <v>20</v>
      </c>
      <c r="W33" s="3">
        <f>AVERAGEIFS(M2:M373,I2:I373,U33,K2:K373,V33)</f>
        <v>2440.7983333333336</v>
      </c>
    </row>
    <row r="34" spans="1:2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 Price</v>
      </c>
      <c r="Q34" s="1" t="str">
        <f t="shared" si="2"/>
        <v>High</v>
      </c>
      <c r="R34" s="1" t="str">
        <f t="shared" si="3"/>
        <v>Medium</v>
      </c>
      <c r="U34" s="1" t="s">
        <v>25</v>
      </c>
      <c r="V34" s="1" t="s">
        <v>20</v>
      </c>
      <c r="W34" s="3">
        <f>AVERAGEIFS(M3:M374,I3:I374,U34,K3:K374,V34)</f>
        <v>1716.0218181818184</v>
      </c>
    </row>
    <row r="35" spans="1:2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 Price</v>
      </c>
      <c r="Q35" s="1" t="str">
        <f t="shared" si="2"/>
        <v>Low</v>
      </c>
      <c r="R35" s="1" t="str">
        <f t="shared" si="3"/>
        <v>Medium</v>
      </c>
    </row>
    <row r="36" spans="1:2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 Price</v>
      </c>
      <c r="Q36" s="1" t="str">
        <f t="shared" si="2"/>
        <v>Medium</v>
      </c>
      <c r="R36" s="1" t="str">
        <f t="shared" si="3"/>
        <v>Medium</v>
      </c>
    </row>
    <row r="37" spans="1:2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 Price</v>
      </c>
      <c r="Q37" s="1" t="str">
        <f t="shared" si="2"/>
        <v>Low</v>
      </c>
      <c r="R37" s="1" t="str">
        <f t="shared" si="3"/>
        <v>Medium</v>
      </c>
    </row>
    <row r="38" spans="1:2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 Price</v>
      </c>
      <c r="Q38" s="1" t="str">
        <f t="shared" si="2"/>
        <v>Medium</v>
      </c>
      <c r="R38" s="1" t="str">
        <f t="shared" si="3"/>
        <v>Low</v>
      </c>
      <c r="U38" t="s">
        <v>81</v>
      </c>
      <c r="V38" t="s">
        <v>82</v>
      </c>
    </row>
    <row r="39" spans="1:2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 Price</v>
      </c>
      <c r="Q39" s="1" t="str">
        <f t="shared" si="2"/>
        <v>High</v>
      </c>
      <c r="R39" s="1" t="str">
        <f t="shared" si="3"/>
        <v>Medium</v>
      </c>
      <c r="U39">
        <v>90</v>
      </c>
      <c r="V39">
        <v>65</v>
      </c>
    </row>
    <row r="40" spans="1:2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 Price</v>
      </c>
      <c r="Q40" s="1" t="str">
        <f t="shared" si="2"/>
        <v>High</v>
      </c>
      <c r="R40" s="1" t="str">
        <f t="shared" si="3"/>
        <v>Medium</v>
      </c>
      <c r="T40">
        <v>0</v>
      </c>
      <c r="U40" t="b">
        <v>0</v>
      </c>
      <c r="V40" t="b">
        <v>1</v>
      </c>
      <c r="W40">
        <v>1</v>
      </c>
    </row>
    <row r="41" spans="1:2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 Price</v>
      </c>
      <c r="Q41" s="1" t="str">
        <f t="shared" si="2"/>
        <v>High</v>
      </c>
      <c r="R41" s="1" t="str">
        <f t="shared" si="3"/>
        <v>Medium</v>
      </c>
      <c r="U41">
        <v>89</v>
      </c>
      <c r="V41">
        <v>45</v>
      </c>
    </row>
    <row r="42" spans="1:2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 Price</v>
      </c>
      <c r="Q42" s="1" t="str">
        <f t="shared" si="2"/>
        <v>Low</v>
      </c>
      <c r="R42" s="1" t="str">
        <f t="shared" si="3"/>
        <v>Medium</v>
      </c>
      <c r="U42">
        <f>AVERAGEA(U38:U41)</f>
        <v>44.75</v>
      </c>
      <c r="V42">
        <f>AVERAGEA(V38:V41)</f>
        <v>27.75</v>
      </c>
    </row>
    <row r="43" spans="1:2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 Price</v>
      </c>
      <c r="Q43" s="1" t="str">
        <f t="shared" si="2"/>
        <v>High</v>
      </c>
      <c r="R43" s="1" t="str">
        <f t="shared" si="3"/>
        <v>Low</v>
      </c>
    </row>
    <row r="44" spans="1:2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 Price</v>
      </c>
      <c r="Q44" s="1" t="str">
        <f t="shared" si="2"/>
        <v>High</v>
      </c>
      <c r="R44" s="1" t="str">
        <f t="shared" si="3"/>
        <v>Medium</v>
      </c>
    </row>
    <row r="45" spans="1:2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 Price</v>
      </c>
      <c r="Q45" s="1" t="str">
        <f t="shared" si="2"/>
        <v>High</v>
      </c>
      <c r="R45" s="1" t="str">
        <f t="shared" si="3"/>
        <v>Low</v>
      </c>
    </row>
    <row r="46" spans="1:2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 Price</v>
      </c>
      <c r="Q46" s="1" t="str">
        <f t="shared" si="2"/>
        <v>Low</v>
      </c>
      <c r="R46" s="1" t="str">
        <f t="shared" si="3"/>
        <v>Low</v>
      </c>
    </row>
    <row r="47" spans="1:2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 Price</v>
      </c>
      <c r="Q47" s="1" t="str">
        <f t="shared" si="2"/>
        <v>High</v>
      </c>
      <c r="R47" s="1" t="str">
        <f t="shared" si="3"/>
        <v>Medium</v>
      </c>
    </row>
    <row r="48" spans="1:2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 Price</v>
      </c>
      <c r="Q48" s="1" t="str">
        <f t="shared" si="2"/>
        <v>High</v>
      </c>
      <c r="R48" s="1" t="str">
        <f t="shared" si="3"/>
        <v>Low</v>
      </c>
      <c r="U48" s="1" t="s">
        <v>9</v>
      </c>
      <c r="V48" s="1" t="s">
        <v>10</v>
      </c>
      <c r="W48" s="1" t="s">
        <v>11</v>
      </c>
      <c r="X48" s="1" t="s">
        <v>12</v>
      </c>
    </row>
    <row r="49" spans="1:24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 Price</v>
      </c>
      <c r="Q49" s="1" t="str">
        <f t="shared" si="2"/>
        <v>Medium</v>
      </c>
      <c r="R49" s="1" t="str">
        <f t="shared" si="3"/>
        <v>Medium</v>
      </c>
      <c r="U49" s="1" t="s">
        <v>19</v>
      </c>
      <c r="V49" s="1" t="s">
        <v>20</v>
      </c>
      <c r="W49" s="1">
        <v>7</v>
      </c>
      <c r="X49" s="1">
        <v>2843.87</v>
      </c>
    </row>
    <row r="50" spans="1:24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 Price</v>
      </c>
      <c r="Q50" s="1" t="str">
        <f t="shared" si="2"/>
        <v>High</v>
      </c>
      <c r="R50" s="1" t="str">
        <f t="shared" si="3"/>
        <v>Medium</v>
      </c>
      <c r="U50" s="1" t="s">
        <v>26</v>
      </c>
      <c r="V50" s="1" t="s">
        <v>27</v>
      </c>
      <c r="W50" s="1"/>
      <c r="X50" s="1">
        <v>2525.23</v>
      </c>
    </row>
    <row r="51" spans="1:24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 Price</v>
      </c>
      <c r="Q51" s="1" t="str">
        <f t="shared" si="2"/>
        <v>High</v>
      </c>
      <c r="R51" s="1" t="str">
        <f t="shared" si="3"/>
        <v>Medium</v>
      </c>
      <c r="U51" s="1" t="s">
        <v>31</v>
      </c>
      <c r="V51" s="1" t="s">
        <v>32</v>
      </c>
      <c r="W51" s="1">
        <v>6</v>
      </c>
      <c r="X51" s="1">
        <v>3474.34</v>
      </c>
    </row>
    <row r="52" spans="1:24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 Price</v>
      </c>
      <c r="Q52" s="1" t="str">
        <f t="shared" si="2"/>
        <v>Medium</v>
      </c>
      <c r="R52" s="1" t="str">
        <f t="shared" si="3"/>
        <v>Low</v>
      </c>
      <c r="U52" s="1" t="s">
        <v>35</v>
      </c>
      <c r="V52" s="1" t="s">
        <v>20</v>
      </c>
      <c r="W52" s="1">
        <v>1</v>
      </c>
      <c r="X52" s="1">
        <v>1008.79</v>
      </c>
    </row>
    <row r="53" spans="1:24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 Price</v>
      </c>
      <c r="Q53" s="1" t="str">
        <f t="shared" si="2"/>
        <v>High</v>
      </c>
      <c r="R53" s="1" t="str">
        <f t="shared" si="3"/>
        <v>Medium</v>
      </c>
      <c r="U53" s="1" t="s">
        <v>38</v>
      </c>
      <c r="V53" s="1" t="s">
        <v>20</v>
      </c>
      <c r="W53" s="1">
        <v>7</v>
      </c>
      <c r="X53" s="1">
        <v>3511.47</v>
      </c>
    </row>
    <row r="54" spans="1:24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 Price</v>
      </c>
      <c r="Q54" s="1" t="str">
        <f t="shared" si="2"/>
        <v>High</v>
      </c>
      <c r="R54" s="1" t="str">
        <f t="shared" si="3"/>
        <v>Medium</v>
      </c>
      <c r="U54" s="1" t="s">
        <v>42</v>
      </c>
      <c r="V54" s="1" t="s">
        <v>32</v>
      </c>
      <c r="W54" s="1"/>
      <c r="X54" s="1">
        <v>3189.55</v>
      </c>
    </row>
    <row r="55" spans="1:24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 Price</v>
      </c>
      <c r="Q55" s="1" t="str">
        <f t="shared" si="2"/>
        <v>Medium</v>
      </c>
      <c r="R55" s="1" t="str">
        <f t="shared" si="3"/>
        <v>Low</v>
      </c>
      <c r="U55" s="1" t="s">
        <v>31</v>
      </c>
      <c r="V55" s="1" t="s">
        <v>44</v>
      </c>
      <c r="W55" s="1">
        <v>5</v>
      </c>
      <c r="X55" s="1">
        <v>3030.42</v>
      </c>
    </row>
    <row r="56" spans="1:24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 Price</v>
      </c>
      <c r="Q56" s="1" t="str">
        <f t="shared" si="2"/>
        <v>High</v>
      </c>
      <c r="R56" s="1" t="str">
        <f t="shared" si="3"/>
        <v>Medium</v>
      </c>
      <c r="U56" s="1"/>
      <c r="V56" s="1" t="s">
        <v>46</v>
      </c>
      <c r="W56" s="1">
        <v>4</v>
      </c>
      <c r="X56" s="1">
        <v>2310.83</v>
      </c>
    </row>
    <row r="57" spans="1:24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 Price</v>
      </c>
      <c r="Q57" s="1" t="str">
        <f t="shared" si="2"/>
        <v>High</v>
      </c>
      <c r="R57" s="1" t="str">
        <f t="shared" si="3"/>
        <v>High</v>
      </c>
      <c r="U57" s="1" t="s">
        <v>47</v>
      </c>
      <c r="V57" s="1" t="s">
        <v>27</v>
      </c>
      <c r="W57" s="1">
        <v>5</v>
      </c>
      <c r="X57" s="1">
        <v>1098.04</v>
      </c>
    </row>
    <row r="58" spans="1:24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 Price</v>
      </c>
      <c r="Q58" s="1" t="str">
        <f t="shared" si="2"/>
        <v>Low</v>
      </c>
      <c r="R58" s="1" t="str">
        <f t="shared" si="3"/>
        <v>Medium</v>
      </c>
      <c r="U58" s="1" t="s">
        <v>49</v>
      </c>
      <c r="V58" s="1" t="s">
        <v>46</v>
      </c>
      <c r="W58" s="1">
        <v>5</v>
      </c>
      <c r="X58" s="1">
        <v>1780.66</v>
      </c>
    </row>
    <row r="59" spans="1:24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 Price</v>
      </c>
      <c r="Q59" s="1" t="str">
        <f t="shared" si="2"/>
        <v>High</v>
      </c>
      <c r="R59" s="1" t="str">
        <f t="shared" si="3"/>
        <v>Medium</v>
      </c>
    </row>
    <row r="60" spans="1:24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 Price</v>
      </c>
      <c r="Q60" s="1" t="str">
        <f t="shared" si="2"/>
        <v>High</v>
      </c>
      <c r="R60" s="1" t="str">
        <f t="shared" si="3"/>
        <v>Medium</v>
      </c>
    </row>
    <row r="61" spans="1:24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 Price</v>
      </c>
      <c r="Q61" s="1" t="str">
        <f t="shared" si="2"/>
        <v>High</v>
      </c>
      <c r="R61" s="1" t="str">
        <f t="shared" si="3"/>
        <v>Medium</v>
      </c>
      <c r="U61" t="s">
        <v>83</v>
      </c>
      <c r="V61" t="s">
        <v>84</v>
      </c>
      <c r="W61">
        <f>COUNTA(U49:U58)</f>
        <v>9</v>
      </c>
    </row>
    <row r="62" spans="1:24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 Price</v>
      </c>
      <c r="Q62" s="1" t="str">
        <f t="shared" si="2"/>
        <v>High</v>
      </c>
      <c r="R62" s="1" t="str">
        <f t="shared" si="3"/>
        <v>Low</v>
      </c>
      <c r="V62" t="s">
        <v>85</v>
      </c>
      <c r="W62">
        <f>COUNT(W49:W58)</f>
        <v>8</v>
      </c>
      <c r="X62">
        <f>COUNTA(W49:W58)</f>
        <v>8</v>
      </c>
    </row>
    <row r="63" spans="1:24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 Price</v>
      </c>
      <c r="Q63" s="1" t="str">
        <f t="shared" si="2"/>
        <v>High</v>
      </c>
      <c r="R63" s="1" t="str">
        <f t="shared" si="3"/>
        <v>Low</v>
      </c>
    </row>
    <row r="64" spans="1:24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 Price</v>
      </c>
      <c r="Q64" s="1" t="str">
        <f t="shared" si="2"/>
        <v>Medium</v>
      </c>
      <c r="R64" s="1" t="str">
        <f t="shared" si="3"/>
        <v>Medium</v>
      </c>
      <c r="U64" t="s">
        <v>86</v>
      </c>
      <c r="V64">
        <f>COUNTBLANK(W49:W58)</f>
        <v>2</v>
      </c>
    </row>
    <row r="65" spans="1:27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 Price</v>
      </c>
      <c r="Q65" s="1" t="str">
        <f t="shared" si="2"/>
        <v>High</v>
      </c>
      <c r="R65" s="1" t="str">
        <f t="shared" si="3"/>
        <v>Low</v>
      </c>
    </row>
    <row r="66" spans="1:27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 Price</v>
      </c>
      <c r="Q66" s="1" t="str">
        <f t="shared" si="2"/>
        <v>Low</v>
      </c>
      <c r="R66" s="1" t="str">
        <f t="shared" si="3"/>
        <v>Medium</v>
      </c>
      <c r="Y66" t="s">
        <v>8</v>
      </c>
      <c r="Z66" t="s">
        <v>10</v>
      </c>
      <c r="AA66" t="s">
        <v>88</v>
      </c>
    </row>
    <row r="67" spans="1:27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6">L67*M67</f>
        <v>11021.880000000001</v>
      </c>
      <c r="P67" s="1" t="str">
        <f t="shared" ref="P67:P130" si="7">IF(O67&gt;=15000, "High Price", "Low Price")</f>
        <v>Low Price</v>
      </c>
      <c r="Q67" s="1" t="str">
        <f t="shared" ref="Q67:Q130" si="8">_xlfn.IFS(N67&gt;=10, "High",N67&gt;=5,"Medium", N67&lt;5,"Low")</f>
        <v>Medium</v>
      </c>
      <c r="R67" s="1" t="str">
        <f t="shared" si="3"/>
        <v>Medium</v>
      </c>
      <c r="U67" t="s">
        <v>10</v>
      </c>
      <c r="V67" t="s">
        <v>87</v>
      </c>
      <c r="Y67" t="s">
        <v>18</v>
      </c>
      <c r="Z67" t="s">
        <v>46</v>
      </c>
      <c r="AA67">
        <f>COUNTIFS(I2:I373,Y67,K2:K373,Z67)</f>
        <v>8</v>
      </c>
    </row>
    <row r="68" spans="1:27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6"/>
        <v>14448.6</v>
      </c>
      <c r="P68" s="1" t="str">
        <f t="shared" si="7"/>
        <v>Low Price</v>
      </c>
      <c r="Q68" s="1" t="str">
        <f t="shared" si="8"/>
        <v>High</v>
      </c>
      <c r="R68" s="1" t="str">
        <f t="shared" si="3"/>
        <v>Low</v>
      </c>
      <c r="U68" t="s">
        <v>20</v>
      </c>
      <c r="V68">
        <f>COUNTIF(K2:K373,U68)</f>
        <v>75</v>
      </c>
    </row>
    <row r="69" spans="1:27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6"/>
        <v>11564.130000000001</v>
      </c>
      <c r="P69" s="1" t="str">
        <f t="shared" si="7"/>
        <v>Low Price</v>
      </c>
      <c r="Q69" s="1" t="str">
        <f t="shared" si="8"/>
        <v>Medium</v>
      </c>
      <c r="R69" s="1" t="str">
        <f t="shared" si="3"/>
        <v>Low</v>
      </c>
    </row>
    <row r="70" spans="1:27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6"/>
        <v>5579.5199999999995</v>
      </c>
      <c r="P70" s="1" t="str">
        <f t="shared" si="7"/>
        <v>Low Price</v>
      </c>
      <c r="Q70" s="1" t="str">
        <f t="shared" si="8"/>
        <v>High</v>
      </c>
      <c r="R70" s="1" t="str">
        <f t="shared" ref="R70:R133" si="9">IF(L70&gt;8,"High",IF(L70&gt;4,"Medium","Low"))</f>
        <v>Low</v>
      </c>
    </row>
    <row r="71" spans="1:27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6"/>
        <v>3037.61</v>
      </c>
      <c r="P71" s="1" t="str">
        <f t="shared" si="7"/>
        <v>Low Price</v>
      </c>
      <c r="Q71" s="1" t="str">
        <f t="shared" si="8"/>
        <v>Medium</v>
      </c>
      <c r="R71" s="1" t="str">
        <f t="shared" si="9"/>
        <v>Low</v>
      </c>
      <c r="U71" t="s">
        <v>89</v>
      </c>
      <c r="V71">
        <f>SUM(O2:O373)</f>
        <v>3664518.5400000005</v>
      </c>
      <c r="Y71" t="s">
        <v>44</v>
      </c>
      <c r="Z71" t="s">
        <v>91</v>
      </c>
      <c r="AA71" cm="1">
        <f t="array" ref="AA71">SUMPRODUCT(L2:L373,M2:M373,--(K2:K373=Y71))</f>
        <v>678192.21</v>
      </c>
    </row>
    <row r="72" spans="1:27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6"/>
        <v>6590.67</v>
      </c>
      <c r="P72" s="1" t="str">
        <f t="shared" si="7"/>
        <v>Low Price</v>
      </c>
      <c r="Q72" s="1" t="str">
        <f t="shared" si="8"/>
        <v>Low</v>
      </c>
      <c r="R72" s="1" t="str">
        <f t="shared" si="9"/>
        <v>Low</v>
      </c>
      <c r="U72" t="s">
        <v>89</v>
      </c>
      <c r="V72">
        <f>SUMPRODUCT(L2:L373,M2:M373)</f>
        <v>3664518.5400000005</v>
      </c>
      <c r="W72" s="4" t="s">
        <v>90</v>
      </c>
    </row>
    <row r="73" spans="1:27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6"/>
        <v>8881.84</v>
      </c>
      <c r="P73" s="1" t="str">
        <f t="shared" si="7"/>
        <v>Low Price</v>
      </c>
      <c r="Q73" s="1" t="str">
        <f t="shared" si="8"/>
        <v>Low</v>
      </c>
      <c r="R73" s="1" t="str">
        <f t="shared" si="9"/>
        <v>Low</v>
      </c>
    </row>
    <row r="74" spans="1:27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6"/>
        <v>6103.4000000000005</v>
      </c>
      <c r="P74" s="1" t="str">
        <f t="shared" si="7"/>
        <v>Low Price</v>
      </c>
      <c r="Q74" s="1" t="str">
        <f t="shared" si="8"/>
        <v>High</v>
      </c>
      <c r="R74" s="1" t="str">
        <f t="shared" si="9"/>
        <v>Medium</v>
      </c>
    </row>
    <row r="75" spans="1:27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6"/>
        <v>2955.84</v>
      </c>
      <c r="P75" s="1" t="str">
        <f t="shared" si="7"/>
        <v>Low Price</v>
      </c>
      <c r="Q75" s="1" t="str">
        <f t="shared" si="8"/>
        <v>High</v>
      </c>
      <c r="R75" s="1" t="str">
        <f t="shared" si="9"/>
        <v>Low</v>
      </c>
    </row>
    <row r="76" spans="1:27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6"/>
        <v>11459.300000000001</v>
      </c>
      <c r="P76" s="1" t="str">
        <f t="shared" si="7"/>
        <v>Low Price</v>
      </c>
      <c r="Q76" s="1" t="str">
        <f t="shared" si="8"/>
        <v>High</v>
      </c>
      <c r="R76" s="1" t="str">
        <f t="shared" si="9"/>
        <v>Medium</v>
      </c>
    </row>
    <row r="77" spans="1:27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6"/>
        <v>786.75</v>
      </c>
      <c r="P77" s="1" t="str">
        <f t="shared" si="7"/>
        <v>Low Price</v>
      </c>
      <c r="Q77" s="1" t="str">
        <f t="shared" si="8"/>
        <v>High</v>
      </c>
      <c r="R77" s="1" t="str">
        <f t="shared" si="9"/>
        <v>Low</v>
      </c>
    </row>
    <row r="78" spans="1:27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6"/>
        <v>21857.46</v>
      </c>
      <c r="P78" s="1" t="str">
        <f t="shared" si="7"/>
        <v>High Price</v>
      </c>
      <c r="Q78" s="1" t="str">
        <f t="shared" si="8"/>
        <v>Low</v>
      </c>
      <c r="R78" s="1" t="str">
        <f t="shared" si="9"/>
        <v>Medium</v>
      </c>
    </row>
    <row r="79" spans="1:27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6"/>
        <v>4510.1400000000003</v>
      </c>
      <c r="P79" s="1" t="str">
        <f t="shared" si="7"/>
        <v>Low Price</v>
      </c>
      <c r="Q79" s="1" t="str">
        <f t="shared" si="8"/>
        <v>Low</v>
      </c>
      <c r="R79" s="1" t="str">
        <f t="shared" si="9"/>
        <v>Medium</v>
      </c>
    </row>
    <row r="80" spans="1:27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6"/>
        <v>7978.72</v>
      </c>
      <c r="P80" s="1" t="str">
        <f t="shared" si="7"/>
        <v>Low Price</v>
      </c>
      <c r="Q80" s="1" t="str">
        <f t="shared" si="8"/>
        <v>Medium</v>
      </c>
      <c r="R80" s="1" t="str">
        <f t="shared" si="9"/>
        <v>Medium</v>
      </c>
    </row>
    <row r="81" spans="1:18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6"/>
        <v>4290.72</v>
      </c>
      <c r="P81" s="1" t="str">
        <f t="shared" si="7"/>
        <v>Low Price</v>
      </c>
      <c r="Q81" s="1" t="str">
        <f t="shared" si="8"/>
        <v>High</v>
      </c>
      <c r="R81" s="1" t="str">
        <f t="shared" si="9"/>
        <v>Low</v>
      </c>
    </row>
    <row r="82" spans="1:18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6"/>
        <v>2883.94</v>
      </c>
      <c r="P82" s="1" t="str">
        <f t="shared" si="7"/>
        <v>Low Price</v>
      </c>
      <c r="Q82" s="1" t="str">
        <f t="shared" si="8"/>
        <v>High</v>
      </c>
      <c r="R82" s="1" t="str">
        <f t="shared" si="9"/>
        <v>Low</v>
      </c>
    </row>
    <row r="83" spans="1:18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6"/>
        <v>2074.2399999999998</v>
      </c>
      <c r="P83" s="1" t="str">
        <f t="shared" si="7"/>
        <v>Low Price</v>
      </c>
      <c r="Q83" s="1" t="str">
        <f t="shared" si="8"/>
        <v>High</v>
      </c>
      <c r="R83" s="1" t="str">
        <f t="shared" si="9"/>
        <v>Low</v>
      </c>
    </row>
    <row r="84" spans="1:18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6"/>
        <v>9611.84</v>
      </c>
      <c r="P84" s="1" t="str">
        <f t="shared" si="7"/>
        <v>Low Price</v>
      </c>
      <c r="Q84" s="1" t="str">
        <f t="shared" si="8"/>
        <v>Medium</v>
      </c>
      <c r="R84" s="1" t="str">
        <f t="shared" si="9"/>
        <v>Medium</v>
      </c>
    </row>
    <row r="85" spans="1:18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6"/>
        <v>11638.2</v>
      </c>
      <c r="P85" s="1" t="str">
        <f t="shared" si="7"/>
        <v>Low Price</v>
      </c>
      <c r="Q85" s="1" t="str">
        <f t="shared" si="8"/>
        <v>High</v>
      </c>
      <c r="R85" s="1" t="str">
        <f t="shared" si="9"/>
        <v>Low</v>
      </c>
    </row>
    <row r="86" spans="1:18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6"/>
        <v>16852.599999999999</v>
      </c>
      <c r="P86" s="1" t="str">
        <f t="shared" si="7"/>
        <v>High Price</v>
      </c>
      <c r="Q86" s="1" t="str">
        <f t="shared" si="8"/>
        <v>High</v>
      </c>
      <c r="R86" s="1" t="str">
        <f t="shared" si="9"/>
        <v>Medium</v>
      </c>
    </row>
    <row r="87" spans="1:18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6"/>
        <v>1029.99</v>
      </c>
      <c r="P87" s="1" t="str">
        <f t="shared" si="7"/>
        <v>Low Price</v>
      </c>
      <c r="Q87" s="1" t="str">
        <f t="shared" si="8"/>
        <v>Medium</v>
      </c>
      <c r="R87" s="1" t="str">
        <f t="shared" si="9"/>
        <v>Low</v>
      </c>
    </row>
    <row r="88" spans="1:18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6"/>
        <v>17448.84</v>
      </c>
      <c r="P88" s="1" t="str">
        <f t="shared" si="7"/>
        <v>High Price</v>
      </c>
      <c r="Q88" s="1" t="str">
        <f t="shared" si="8"/>
        <v>High</v>
      </c>
      <c r="R88" s="1" t="str">
        <f t="shared" si="9"/>
        <v>High</v>
      </c>
    </row>
    <row r="89" spans="1:18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6"/>
        <v>6446.08</v>
      </c>
      <c r="P89" s="1" t="str">
        <f t="shared" si="7"/>
        <v>Low Price</v>
      </c>
      <c r="Q89" s="1" t="str">
        <f t="shared" si="8"/>
        <v>High</v>
      </c>
      <c r="R89" s="1" t="str">
        <f t="shared" si="9"/>
        <v>Low</v>
      </c>
    </row>
    <row r="90" spans="1:18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6"/>
        <v>4106.58</v>
      </c>
      <c r="P90" s="1" t="str">
        <f t="shared" si="7"/>
        <v>Low Price</v>
      </c>
      <c r="Q90" s="1" t="str">
        <f t="shared" si="8"/>
        <v>High</v>
      </c>
      <c r="R90" s="1" t="str">
        <f t="shared" si="9"/>
        <v>Low</v>
      </c>
    </row>
    <row r="91" spans="1:18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6"/>
        <v>2499.88</v>
      </c>
      <c r="P91" s="1" t="str">
        <f t="shared" si="7"/>
        <v>Low Price</v>
      </c>
      <c r="Q91" s="1" t="str">
        <f t="shared" si="8"/>
        <v>High</v>
      </c>
      <c r="R91" s="1" t="str">
        <f t="shared" si="9"/>
        <v>Low</v>
      </c>
    </row>
    <row r="92" spans="1:18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6"/>
        <v>4516.1100000000006</v>
      </c>
      <c r="P92" s="1" t="str">
        <f t="shared" si="7"/>
        <v>Low Price</v>
      </c>
      <c r="Q92" s="1" t="str">
        <f t="shared" si="8"/>
        <v>Medium</v>
      </c>
      <c r="R92" s="1" t="str">
        <f t="shared" si="9"/>
        <v>High</v>
      </c>
    </row>
    <row r="93" spans="1:18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6"/>
        <v>5448.32</v>
      </c>
      <c r="P93" s="1" t="str">
        <f t="shared" si="7"/>
        <v>Low Price</v>
      </c>
      <c r="Q93" s="1" t="str">
        <f t="shared" si="8"/>
        <v>High</v>
      </c>
      <c r="R93" s="1" t="str">
        <f t="shared" si="9"/>
        <v>Low</v>
      </c>
    </row>
    <row r="94" spans="1:18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6"/>
        <v>947.25</v>
      </c>
      <c r="P94" s="1" t="str">
        <f t="shared" si="7"/>
        <v>Low Price</v>
      </c>
      <c r="Q94" s="1" t="str">
        <f t="shared" si="8"/>
        <v>High</v>
      </c>
      <c r="R94" s="1" t="str">
        <f t="shared" si="9"/>
        <v>Low</v>
      </c>
    </row>
    <row r="95" spans="1:18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6"/>
        <v>22096.97</v>
      </c>
      <c r="P95" s="1" t="str">
        <f t="shared" si="7"/>
        <v>High Price</v>
      </c>
      <c r="Q95" s="1" t="str">
        <f t="shared" si="8"/>
        <v>High</v>
      </c>
      <c r="R95" s="1" t="str">
        <f t="shared" si="9"/>
        <v>Medium</v>
      </c>
    </row>
    <row r="96" spans="1:18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6"/>
        <v>13465.44</v>
      </c>
      <c r="P96" s="1" t="str">
        <f t="shared" si="7"/>
        <v>Low Price</v>
      </c>
      <c r="Q96" s="1" t="str">
        <f t="shared" si="8"/>
        <v>High</v>
      </c>
      <c r="R96" s="1" t="str">
        <f t="shared" si="9"/>
        <v>Medium</v>
      </c>
    </row>
    <row r="97" spans="1:18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6"/>
        <v>3718.06</v>
      </c>
      <c r="P97" s="1" t="str">
        <f t="shared" si="7"/>
        <v>Low Price</v>
      </c>
      <c r="Q97" s="1" t="str">
        <f t="shared" si="8"/>
        <v>High</v>
      </c>
      <c r="R97" s="1" t="str">
        <f t="shared" si="9"/>
        <v>Low</v>
      </c>
    </row>
    <row r="98" spans="1:18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6"/>
        <v>25132.38</v>
      </c>
      <c r="P98" s="1" t="str">
        <f t="shared" si="7"/>
        <v>High Price</v>
      </c>
      <c r="Q98" s="1" t="str">
        <f t="shared" si="8"/>
        <v>High</v>
      </c>
      <c r="R98" s="1" t="str">
        <f t="shared" si="9"/>
        <v>Medium</v>
      </c>
    </row>
    <row r="99" spans="1:18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6"/>
        <v>905.15</v>
      </c>
      <c r="P99" s="1" t="str">
        <f t="shared" si="7"/>
        <v>Low Price</v>
      </c>
      <c r="Q99" s="1" t="str">
        <f t="shared" si="8"/>
        <v>High</v>
      </c>
      <c r="R99" s="1" t="str">
        <f t="shared" si="9"/>
        <v>Medium</v>
      </c>
    </row>
    <row r="100" spans="1:18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6"/>
        <v>11343.66</v>
      </c>
      <c r="P100" s="1" t="str">
        <f t="shared" si="7"/>
        <v>Low Price</v>
      </c>
      <c r="Q100" s="1" t="str">
        <f t="shared" si="8"/>
        <v>Medium</v>
      </c>
      <c r="R100" s="1" t="str">
        <f t="shared" si="9"/>
        <v>Low</v>
      </c>
    </row>
    <row r="101" spans="1:18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6"/>
        <v>5315.05</v>
      </c>
      <c r="P101" s="1" t="str">
        <f t="shared" si="7"/>
        <v>Low Price</v>
      </c>
      <c r="Q101" s="1" t="str">
        <f t="shared" si="8"/>
        <v>High</v>
      </c>
      <c r="R101" s="1" t="str">
        <f t="shared" si="9"/>
        <v>Medium</v>
      </c>
    </row>
    <row r="102" spans="1:18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6"/>
        <v>1128.6199999999999</v>
      </c>
      <c r="P102" s="1" t="str">
        <f t="shared" si="7"/>
        <v>Low Price</v>
      </c>
      <c r="Q102" s="1" t="str">
        <f t="shared" si="8"/>
        <v>High</v>
      </c>
      <c r="R102" s="1" t="str">
        <f t="shared" si="9"/>
        <v>Low</v>
      </c>
    </row>
    <row r="103" spans="1:18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6"/>
        <v>12461.04</v>
      </c>
      <c r="P103" s="1" t="str">
        <f t="shared" si="7"/>
        <v>Low Price</v>
      </c>
      <c r="Q103" s="1" t="str">
        <f t="shared" si="8"/>
        <v>High</v>
      </c>
      <c r="R103" s="1" t="str">
        <f t="shared" si="9"/>
        <v>Medium</v>
      </c>
    </row>
    <row r="104" spans="1:18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6"/>
        <v>1820.02</v>
      </c>
      <c r="P104" s="1" t="str">
        <f t="shared" si="7"/>
        <v>Low Price</v>
      </c>
      <c r="Q104" s="1" t="str">
        <f t="shared" si="8"/>
        <v>High</v>
      </c>
      <c r="R104" s="1" t="str">
        <f t="shared" si="9"/>
        <v>Low</v>
      </c>
    </row>
    <row r="105" spans="1:18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6"/>
        <v>4442.3599999999997</v>
      </c>
      <c r="P105" s="1" t="str">
        <f t="shared" si="7"/>
        <v>Low Price</v>
      </c>
      <c r="Q105" s="1" t="str">
        <f t="shared" si="8"/>
        <v>High</v>
      </c>
      <c r="R105" s="1" t="str">
        <f t="shared" si="9"/>
        <v>Low</v>
      </c>
    </row>
    <row r="106" spans="1:18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6"/>
        <v>13546.619999999999</v>
      </c>
      <c r="P106" s="1" t="str">
        <f t="shared" si="7"/>
        <v>Low Price</v>
      </c>
      <c r="Q106" s="1" t="str">
        <f t="shared" si="8"/>
        <v>High</v>
      </c>
      <c r="R106" s="1" t="str">
        <f t="shared" si="9"/>
        <v>Medium</v>
      </c>
    </row>
    <row r="107" spans="1:18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6"/>
        <v>10857.420000000002</v>
      </c>
      <c r="P107" s="1" t="str">
        <f t="shared" si="7"/>
        <v>Low Price</v>
      </c>
      <c r="Q107" s="1" t="str">
        <f t="shared" si="8"/>
        <v>High</v>
      </c>
      <c r="R107" s="1" t="str">
        <f t="shared" si="9"/>
        <v>High</v>
      </c>
    </row>
    <row r="108" spans="1:18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6"/>
        <v>7242.18</v>
      </c>
      <c r="P108" s="1" t="str">
        <f t="shared" si="7"/>
        <v>Low Price</v>
      </c>
      <c r="Q108" s="1" t="str">
        <f t="shared" si="8"/>
        <v>Low</v>
      </c>
      <c r="R108" s="1" t="str">
        <f t="shared" si="9"/>
        <v>Low</v>
      </c>
    </row>
    <row r="109" spans="1:18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6"/>
        <v>6849.78</v>
      </c>
      <c r="P109" s="1" t="str">
        <f t="shared" si="7"/>
        <v>Low Price</v>
      </c>
      <c r="Q109" s="1" t="str">
        <f t="shared" si="8"/>
        <v>High</v>
      </c>
      <c r="R109" s="1" t="str">
        <f t="shared" si="9"/>
        <v>Medium</v>
      </c>
    </row>
    <row r="110" spans="1:18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6"/>
        <v>21328.62</v>
      </c>
      <c r="P110" s="1" t="str">
        <f t="shared" si="7"/>
        <v>High Price</v>
      </c>
      <c r="Q110" s="1" t="str">
        <f t="shared" si="8"/>
        <v>High</v>
      </c>
      <c r="R110" s="1" t="str">
        <f t="shared" si="9"/>
        <v>Medium</v>
      </c>
    </row>
    <row r="111" spans="1:18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6"/>
        <v>4607.42</v>
      </c>
      <c r="P111" s="1" t="str">
        <f t="shared" si="7"/>
        <v>Low Price</v>
      </c>
      <c r="Q111" s="1" t="str">
        <f t="shared" si="8"/>
        <v>High</v>
      </c>
      <c r="R111" s="1" t="str">
        <f t="shared" si="9"/>
        <v>Low</v>
      </c>
    </row>
    <row r="112" spans="1:18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6"/>
        <v>26717.439999999999</v>
      </c>
      <c r="P112" s="1" t="str">
        <f t="shared" si="7"/>
        <v>High Price</v>
      </c>
      <c r="Q112" s="1" t="str">
        <f t="shared" si="8"/>
        <v>Low</v>
      </c>
      <c r="R112" s="1" t="str">
        <f t="shared" si="9"/>
        <v>Medium</v>
      </c>
    </row>
    <row r="113" spans="1:18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6"/>
        <v>20261.22</v>
      </c>
      <c r="P113" s="1" t="str">
        <f t="shared" si="7"/>
        <v>High Price</v>
      </c>
      <c r="Q113" s="1" t="str">
        <f t="shared" si="8"/>
        <v>Medium</v>
      </c>
      <c r="R113" s="1" t="str">
        <f t="shared" si="9"/>
        <v>Medium</v>
      </c>
    </row>
    <row r="114" spans="1:18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6"/>
        <v>14161.400000000001</v>
      </c>
      <c r="P114" s="1" t="str">
        <f t="shared" si="7"/>
        <v>Low Price</v>
      </c>
      <c r="Q114" s="1" t="str">
        <f t="shared" si="8"/>
        <v>Low</v>
      </c>
      <c r="R114" s="1" t="str">
        <f t="shared" si="9"/>
        <v>Medium</v>
      </c>
    </row>
    <row r="115" spans="1:18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6"/>
        <v>6993.65</v>
      </c>
      <c r="P115" s="1" t="str">
        <f t="shared" si="7"/>
        <v>Low Price</v>
      </c>
      <c r="Q115" s="1" t="str">
        <f t="shared" si="8"/>
        <v>Low</v>
      </c>
      <c r="R115" s="1" t="str">
        <f t="shared" si="9"/>
        <v>Medium</v>
      </c>
    </row>
    <row r="116" spans="1:18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6"/>
        <v>7353.5</v>
      </c>
      <c r="P116" s="1" t="str">
        <f t="shared" si="7"/>
        <v>Low Price</v>
      </c>
      <c r="Q116" s="1" t="str">
        <f t="shared" si="8"/>
        <v>High</v>
      </c>
      <c r="R116" s="1" t="str">
        <f t="shared" si="9"/>
        <v>Medium</v>
      </c>
    </row>
    <row r="117" spans="1:18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6"/>
        <v>8657.19</v>
      </c>
      <c r="P117" s="1" t="str">
        <f t="shared" si="7"/>
        <v>Low Price</v>
      </c>
      <c r="Q117" s="1" t="str">
        <f t="shared" si="8"/>
        <v>High</v>
      </c>
      <c r="R117" s="1" t="str">
        <f t="shared" si="9"/>
        <v>High</v>
      </c>
    </row>
    <row r="118" spans="1:18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6"/>
        <v>31051.71</v>
      </c>
      <c r="P118" s="1" t="str">
        <f t="shared" si="7"/>
        <v>High Price</v>
      </c>
      <c r="Q118" s="1" t="str">
        <f t="shared" si="8"/>
        <v>Low</v>
      </c>
      <c r="R118" s="1" t="str">
        <f t="shared" si="9"/>
        <v>High</v>
      </c>
    </row>
    <row r="119" spans="1:18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6"/>
        <v>29777.759999999998</v>
      </c>
      <c r="P119" s="1" t="str">
        <f t="shared" si="7"/>
        <v>High Price</v>
      </c>
      <c r="Q119" s="1" t="str">
        <f t="shared" si="8"/>
        <v>Medium</v>
      </c>
      <c r="R119" s="1" t="str">
        <f t="shared" si="9"/>
        <v>High</v>
      </c>
    </row>
    <row r="120" spans="1:18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6"/>
        <v>11077.26</v>
      </c>
      <c r="P120" s="1" t="str">
        <f t="shared" si="7"/>
        <v>Low Price</v>
      </c>
      <c r="Q120" s="1" t="str">
        <f t="shared" si="8"/>
        <v>High</v>
      </c>
      <c r="R120" s="1" t="str">
        <f t="shared" si="9"/>
        <v>Medium</v>
      </c>
    </row>
    <row r="121" spans="1:18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6"/>
        <v>3958.56</v>
      </c>
      <c r="P121" s="1" t="str">
        <f t="shared" si="7"/>
        <v>Low Price</v>
      </c>
      <c r="Q121" s="1" t="str">
        <f t="shared" si="8"/>
        <v>Low</v>
      </c>
      <c r="R121" s="1" t="str">
        <f t="shared" si="9"/>
        <v>Medium</v>
      </c>
    </row>
    <row r="122" spans="1:18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6"/>
        <v>4865.01</v>
      </c>
      <c r="P122" s="1" t="str">
        <f t="shared" si="7"/>
        <v>Low Price</v>
      </c>
      <c r="Q122" s="1" t="str">
        <f t="shared" si="8"/>
        <v>Low</v>
      </c>
      <c r="R122" s="1" t="str">
        <f t="shared" si="9"/>
        <v>Low</v>
      </c>
    </row>
    <row r="123" spans="1:18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6"/>
        <v>2534.4699999999998</v>
      </c>
      <c r="P123" s="1" t="str">
        <f t="shared" si="7"/>
        <v>Low Price</v>
      </c>
      <c r="Q123" s="1" t="str">
        <f t="shared" si="8"/>
        <v>Medium</v>
      </c>
      <c r="R123" s="1" t="str">
        <f t="shared" si="9"/>
        <v>Low</v>
      </c>
    </row>
    <row r="124" spans="1:18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6"/>
        <v>13296.15</v>
      </c>
      <c r="P124" s="1" t="str">
        <f t="shared" si="7"/>
        <v>Low Price</v>
      </c>
      <c r="Q124" s="1" t="str">
        <f t="shared" si="8"/>
        <v>High</v>
      </c>
      <c r="R124" s="1" t="str">
        <f t="shared" si="9"/>
        <v>Medium</v>
      </c>
    </row>
    <row r="125" spans="1:18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6"/>
        <v>12614.92</v>
      </c>
      <c r="P125" s="1" t="str">
        <f t="shared" si="7"/>
        <v>Low Price</v>
      </c>
      <c r="Q125" s="1" t="str">
        <f t="shared" si="8"/>
        <v>Low</v>
      </c>
      <c r="R125" s="1" t="str">
        <f t="shared" si="9"/>
        <v>Low</v>
      </c>
    </row>
    <row r="126" spans="1:18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6"/>
        <v>3990.85</v>
      </c>
      <c r="P126" s="1" t="str">
        <f t="shared" si="7"/>
        <v>Low Price</v>
      </c>
      <c r="Q126" s="1" t="str">
        <f t="shared" si="8"/>
        <v>Low</v>
      </c>
      <c r="R126" s="1" t="str">
        <f t="shared" si="9"/>
        <v>Low</v>
      </c>
    </row>
    <row r="127" spans="1:18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6"/>
        <v>11517.960000000001</v>
      </c>
      <c r="P127" s="1" t="str">
        <f t="shared" si="7"/>
        <v>Low Price</v>
      </c>
      <c r="Q127" s="1" t="str">
        <f t="shared" si="8"/>
        <v>Medium</v>
      </c>
      <c r="R127" s="1" t="str">
        <f t="shared" si="9"/>
        <v>Medium</v>
      </c>
    </row>
    <row r="128" spans="1:18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6"/>
        <v>10855.74</v>
      </c>
      <c r="P128" s="1" t="str">
        <f t="shared" si="7"/>
        <v>Low Price</v>
      </c>
      <c r="Q128" s="1" t="str">
        <f t="shared" si="8"/>
        <v>Low</v>
      </c>
      <c r="R128" s="1" t="str">
        <f t="shared" si="9"/>
        <v>Medium</v>
      </c>
    </row>
    <row r="129" spans="1:18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6"/>
        <v>912.67</v>
      </c>
      <c r="P129" s="1" t="str">
        <f t="shared" si="7"/>
        <v>Low Price</v>
      </c>
      <c r="Q129" s="1" t="str">
        <f t="shared" si="8"/>
        <v>Low</v>
      </c>
      <c r="R129" s="1" t="str">
        <f t="shared" si="9"/>
        <v>Low</v>
      </c>
    </row>
    <row r="130" spans="1:18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6"/>
        <v>805.82</v>
      </c>
      <c r="P130" s="1" t="str">
        <f t="shared" si="7"/>
        <v>Low Price</v>
      </c>
      <c r="Q130" s="1" t="str">
        <f t="shared" si="8"/>
        <v>High</v>
      </c>
      <c r="R130" s="1" t="str">
        <f t="shared" si="9"/>
        <v>Low</v>
      </c>
    </row>
    <row r="131" spans="1:18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10">L131*M131</f>
        <v>14261.64</v>
      </c>
      <c r="P131" s="1" t="str">
        <f t="shared" ref="P131:P194" si="11">IF(O131&gt;=15000, "High Price", "Low Price")</f>
        <v>Low Price</v>
      </c>
      <c r="Q131" s="1" t="str">
        <f t="shared" ref="Q131:Q194" si="12">_xlfn.IFS(N131&gt;=10, "High",N131&gt;=5,"Medium", N131&lt;5,"Low")</f>
        <v>High</v>
      </c>
      <c r="R131" s="1" t="str">
        <f t="shared" si="9"/>
        <v>Low</v>
      </c>
    </row>
    <row r="132" spans="1:18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10"/>
        <v>3532.84</v>
      </c>
      <c r="P132" s="1" t="str">
        <f t="shared" si="11"/>
        <v>Low Price</v>
      </c>
      <c r="Q132" s="1" t="str">
        <f t="shared" si="12"/>
        <v>High</v>
      </c>
      <c r="R132" s="1" t="str">
        <f t="shared" si="9"/>
        <v>Low</v>
      </c>
    </row>
    <row r="133" spans="1:18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10"/>
        <v>2063.0500000000002</v>
      </c>
      <c r="P133" s="1" t="str">
        <f t="shared" si="11"/>
        <v>Low Price</v>
      </c>
      <c r="Q133" s="1" t="str">
        <f t="shared" si="12"/>
        <v>Low</v>
      </c>
      <c r="R133" s="1" t="str">
        <f t="shared" si="9"/>
        <v>Low</v>
      </c>
    </row>
    <row r="134" spans="1:18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10"/>
        <v>25761.61</v>
      </c>
      <c r="P134" s="1" t="str">
        <f t="shared" si="11"/>
        <v>High Price</v>
      </c>
      <c r="Q134" s="1" t="str">
        <f t="shared" si="12"/>
        <v>Medium</v>
      </c>
      <c r="R134" s="1" t="str">
        <f t="shared" ref="R134:R197" si="13">IF(L134&gt;8,"High",IF(L134&gt;4,"Medium","Low"))</f>
        <v>Medium</v>
      </c>
    </row>
    <row r="135" spans="1:18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10"/>
        <v>25109.759999999998</v>
      </c>
      <c r="P135" s="1" t="str">
        <f t="shared" si="11"/>
        <v>High Price</v>
      </c>
      <c r="Q135" s="1" t="str">
        <f t="shared" si="12"/>
        <v>High</v>
      </c>
      <c r="R135" s="1" t="str">
        <f t="shared" si="13"/>
        <v>Medium</v>
      </c>
    </row>
    <row r="136" spans="1:18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10"/>
        <v>3914.58</v>
      </c>
      <c r="P136" s="1" t="str">
        <f t="shared" si="11"/>
        <v>Low Price</v>
      </c>
      <c r="Q136" s="1" t="str">
        <f t="shared" si="12"/>
        <v>High</v>
      </c>
      <c r="R136" s="1" t="str">
        <f t="shared" si="13"/>
        <v>Medium</v>
      </c>
    </row>
    <row r="137" spans="1:18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10"/>
        <v>9307.48</v>
      </c>
      <c r="P137" s="1" t="str">
        <f t="shared" si="11"/>
        <v>Low Price</v>
      </c>
      <c r="Q137" s="1" t="str">
        <f t="shared" si="12"/>
        <v>High</v>
      </c>
      <c r="R137" s="1" t="str">
        <f t="shared" si="13"/>
        <v>Low</v>
      </c>
    </row>
    <row r="138" spans="1:18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10"/>
        <v>11116.02</v>
      </c>
      <c r="P138" s="1" t="str">
        <f t="shared" si="11"/>
        <v>Low Price</v>
      </c>
      <c r="Q138" s="1" t="str">
        <f t="shared" si="12"/>
        <v>Medium</v>
      </c>
      <c r="R138" s="1" t="str">
        <f t="shared" si="13"/>
        <v>Medium</v>
      </c>
    </row>
    <row r="139" spans="1:18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10"/>
        <v>9657.7800000000007</v>
      </c>
      <c r="P139" s="1" t="str">
        <f t="shared" si="11"/>
        <v>Low Price</v>
      </c>
      <c r="Q139" s="1" t="str">
        <f t="shared" si="12"/>
        <v>High</v>
      </c>
      <c r="R139" s="1" t="str">
        <f t="shared" si="13"/>
        <v>Low</v>
      </c>
    </row>
    <row r="140" spans="1:18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10"/>
        <v>23506.400000000001</v>
      </c>
      <c r="P140" s="1" t="str">
        <f t="shared" si="11"/>
        <v>High Price</v>
      </c>
      <c r="Q140" s="1" t="str">
        <f t="shared" si="12"/>
        <v>High</v>
      </c>
      <c r="R140" s="1" t="str">
        <f t="shared" si="13"/>
        <v>Medium</v>
      </c>
    </row>
    <row r="141" spans="1:18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10"/>
        <v>5616.12</v>
      </c>
      <c r="P141" s="1" t="str">
        <f t="shared" si="11"/>
        <v>Low Price</v>
      </c>
      <c r="Q141" s="1" t="str">
        <f t="shared" si="12"/>
        <v>Low</v>
      </c>
      <c r="R141" s="1" t="str">
        <f t="shared" si="13"/>
        <v>Low</v>
      </c>
    </row>
    <row r="142" spans="1:18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10"/>
        <v>7305.5</v>
      </c>
      <c r="P142" s="1" t="str">
        <f t="shared" si="11"/>
        <v>Low Price</v>
      </c>
      <c r="Q142" s="1" t="str">
        <f t="shared" si="12"/>
        <v>High</v>
      </c>
      <c r="R142" s="1" t="str">
        <f t="shared" si="13"/>
        <v>Medium</v>
      </c>
    </row>
    <row r="143" spans="1:18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10"/>
        <v>3249.11</v>
      </c>
      <c r="P143" s="1" t="str">
        <f t="shared" si="11"/>
        <v>Low Price</v>
      </c>
      <c r="Q143" s="1" t="str">
        <f t="shared" si="12"/>
        <v>High</v>
      </c>
      <c r="R143" s="1" t="str">
        <f t="shared" si="13"/>
        <v>Low</v>
      </c>
    </row>
    <row r="144" spans="1:18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10"/>
        <v>1529.12</v>
      </c>
      <c r="P144" s="1" t="str">
        <f t="shared" si="11"/>
        <v>Low Price</v>
      </c>
      <c r="Q144" s="1" t="str">
        <f t="shared" si="12"/>
        <v>Low</v>
      </c>
      <c r="R144" s="1" t="str">
        <f t="shared" si="13"/>
        <v>Low</v>
      </c>
    </row>
    <row r="145" spans="1:18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10"/>
        <v>5768.6</v>
      </c>
      <c r="P145" s="1" t="str">
        <f t="shared" si="11"/>
        <v>Low Price</v>
      </c>
      <c r="Q145" s="1" t="str">
        <f t="shared" si="12"/>
        <v>High</v>
      </c>
      <c r="R145" s="1" t="str">
        <f t="shared" si="13"/>
        <v>Low</v>
      </c>
    </row>
    <row r="146" spans="1:18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10"/>
        <v>2674.2599999999998</v>
      </c>
      <c r="P146" s="1" t="str">
        <f t="shared" si="11"/>
        <v>Low Price</v>
      </c>
      <c r="Q146" s="1" t="str">
        <f t="shared" si="12"/>
        <v>High</v>
      </c>
      <c r="R146" s="1" t="str">
        <f t="shared" si="13"/>
        <v>Medium</v>
      </c>
    </row>
    <row r="147" spans="1:18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10"/>
        <v>8437.84</v>
      </c>
      <c r="P147" s="1" t="str">
        <f t="shared" si="11"/>
        <v>Low Price</v>
      </c>
      <c r="Q147" s="1" t="str">
        <f t="shared" si="12"/>
        <v>Low</v>
      </c>
      <c r="R147" s="1" t="str">
        <f t="shared" si="13"/>
        <v>Medium</v>
      </c>
    </row>
    <row r="148" spans="1:18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10"/>
        <v>26768.639999999999</v>
      </c>
      <c r="P148" s="1" t="str">
        <f t="shared" si="11"/>
        <v>High Price</v>
      </c>
      <c r="Q148" s="1" t="str">
        <f t="shared" si="12"/>
        <v>High</v>
      </c>
      <c r="R148" s="1" t="str">
        <f t="shared" si="13"/>
        <v>Medium</v>
      </c>
    </row>
    <row r="149" spans="1:18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10"/>
        <v>22804.62</v>
      </c>
      <c r="P149" s="1" t="str">
        <f t="shared" si="11"/>
        <v>High Price</v>
      </c>
      <c r="Q149" s="1" t="str">
        <f t="shared" si="12"/>
        <v>Low</v>
      </c>
      <c r="R149" s="1" t="str">
        <f t="shared" si="13"/>
        <v>Medium</v>
      </c>
    </row>
    <row r="150" spans="1:18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10"/>
        <v>5290.88</v>
      </c>
      <c r="P150" s="1" t="str">
        <f t="shared" si="11"/>
        <v>Low Price</v>
      </c>
      <c r="Q150" s="1" t="str">
        <f t="shared" si="12"/>
        <v>Medium</v>
      </c>
      <c r="R150" s="1" t="str">
        <f t="shared" si="13"/>
        <v>Low</v>
      </c>
    </row>
    <row r="151" spans="1:18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10"/>
        <v>9347.1200000000008</v>
      </c>
      <c r="P151" s="1" t="str">
        <f t="shared" si="11"/>
        <v>Low Price</v>
      </c>
      <c r="Q151" s="1" t="str">
        <f t="shared" si="12"/>
        <v>High</v>
      </c>
      <c r="R151" s="1" t="str">
        <f t="shared" si="13"/>
        <v>Medium</v>
      </c>
    </row>
    <row r="152" spans="1:18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10"/>
        <v>9820.7199999999993</v>
      </c>
      <c r="P152" s="1" t="str">
        <f t="shared" si="11"/>
        <v>Low Price</v>
      </c>
      <c r="Q152" s="1" t="str">
        <f t="shared" si="12"/>
        <v>Medium</v>
      </c>
      <c r="R152" s="1" t="str">
        <f t="shared" si="13"/>
        <v>Medium</v>
      </c>
    </row>
    <row r="153" spans="1:18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10"/>
        <v>1219.22</v>
      </c>
      <c r="P153" s="1" t="str">
        <f t="shared" si="11"/>
        <v>Low Price</v>
      </c>
      <c r="Q153" s="1" t="str">
        <f t="shared" si="12"/>
        <v>High</v>
      </c>
      <c r="R153" s="1" t="str">
        <f t="shared" si="13"/>
        <v>Low</v>
      </c>
    </row>
    <row r="154" spans="1:18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10"/>
        <v>1153.32</v>
      </c>
      <c r="P154" s="1" t="str">
        <f t="shared" si="11"/>
        <v>Low Price</v>
      </c>
      <c r="Q154" s="1" t="str">
        <f t="shared" si="12"/>
        <v>High</v>
      </c>
      <c r="R154" s="1" t="str">
        <f t="shared" si="13"/>
        <v>Low</v>
      </c>
    </row>
    <row r="155" spans="1:18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10"/>
        <v>14874.52</v>
      </c>
      <c r="P155" s="1" t="str">
        <f t="shared" si="11"/>
        <v>Low Price</v>
      </c>
      <c r="Q155" s="1" t="str">
        <f t="shared" si="12"/>
        <v>High</v>
      </c>
      <c r="R155" s="1" t="str">
        <f t="shared" si="13"/>
        <v>Low</v>
      </c>
    </row>
    <row r="156" spans="1:18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10"/>
        <v>6809.18</v>
      </c>
      <c r="P156" s="1" t="str">
        <f t="shared" si="11"/>
        <v>Low Price</v>
      </c>
      <c r="Q156" s="1" t="str">
        <f t="shared" si="12"/>
        <v>Low</v>
      </c>
      <c r="R156" s="1" t="str">
        <f t="shared" si="13"/>
        <v>Medium</v>
      </c>
    </row>
    <row r="157" spans="1:18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10"/>
        <v>12369.14</v>
      </c>
      <c r="P157" s="1" t="str">
        <f t="shared" si="11"/>
        <v>Low Price</v>
      </c>
      <c r="Q157" s="1" t="str">
        <f t="shared" si="12"/>
        <v>High</v>
      </c>
      <c r="R157" s="1" t="str">
        <f t="shared" si="13"/>
        <v>Medium</v>
      </c>
    </row>
    <row r="158" spans="1:18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10"/>
        <v>1498.32</v>
      </c>
      <c r="P158" s="1" t="str">
        <f t="shared" si="11"/>
        <v>Low Price</v>
      </c>
      <c r="Q158" s="1" t="str">
        <f t="shared" si="12"/>
        <v>Medium</v>
      </c>
      <c r="R158" s="1" t="str">
        <f t="shared" si="13"/>
        <v>Medium</v>
      </c>
    </row>
    <row r="159" spans="1:18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10"/>
        <v>20754.72</v>
      </c>
      <c r="P159" s="1" t="str">
        <f t="shared" si="11"/>
        <v>High Price</v>
      </c>
      <c r="Q159" s="1" t="str">
        <f t="shared" si="12"/>
        <v>Medium</v>
      </c>
      <c r="R159" s="1" t="str">
        <f t="shared" si="13"/>
        <v>Medium</v>
      </c>
    </row>
    <row r="160" spans="1:18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10"/>
        <v>30360.080000000002</v>
      </c>
      <c r="P160" s="1" t="str">
        <f t="shared" si="11"/>
        <v>High Price</v>
      </c>
      <c r="Q160" s="1" t="str">
        <f t="shared" si="12"/>
        <v>Medium</v>
      </c>
      <c r="R160" s="1" t="str">
        <f t="shared" si="13"/>
        <v>Medium</v>
      </c>
    </row>
    <row r="161" spans="1:18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10"/>
        <v>28432.98</v>
      </c>
      <c r="P161" s="1" t="str">
        <f t="shared" si="11"/>
        <v>High Price</v>
      </c>
      <c r="Q161" s="1" t="str">
        <f t="shared" si="12"/>
        <v>High</v>
      </c>
      <c r="R161" s="1" t="str">
        <f t="shared" si="13"/>
        <v>High</v>
      </c>
    </row>
    <row r="162" spans="1:18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10"/>
        <v>4073.31</v>
      </c>
      <c r="P162" s="1" t="str">
        <f t="shared" si="11"/>
        <v>Low Price</v>
      </c>
      <c r="Q162" s="1" t="str">
        <f t="shared" si="12"/>
        <v>Medium</v>
      </c>
      <c r="R162" s="1" t="str">
        <f t="shared" si="13"/>
        <v>Low</v>
      </c>
    </row>
    <row r="163" spans="1:18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10"/>
        <v>3312.93</v>
      </c>
      <c r="P163" s="1" t="str">
        <f t="shared" si="11"/>
        <v>Low Price</v>
      </c>
      <c r="Q163" s="1" t="str">
        <f t="shared" si="12"/>
        <v>High</v>
      </c>
      <c r="R163" s="1" t="str">
        <f t="shared" si="13"/>
        <v>Low</v>
      </c>
    </row>
    <row r="164" spans="1:18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10"/>
        <v>11344.84</v>
      </c>
      <c r="P164" s="1" t="str">
        <f t="shared" si="11"/>
        <v>Low Price</v>
      </c>
      <c r="Q164" s="1" t="str">
        <f t="shared" si="12"/>
        <v>High</v>
      </c>
      <c r="R164" s="1" t="str">
        <f t="shared" si="13"/>
        <v>Low</v>
      </c>
    </row>
    <row r="165" spans="1:18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10"/>
        <v>1218.6300000000001</v>
      </c>
      <c r="P165" s="1" t="str">
        <f t="shared" si="11"/>
        <v>Low Price</v>
      </c>
      <c r="Q165" s="1" t="str">
        <f t="shared" si="12"/>
        <v>High</v>
      </c>
      <c r="R165" s="1" t="str">
        <f t="shared" si="13"/>
        <v>Medium</v>
      </c>
    </row>
    <row r="166" spans="1:18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10"/>
        <v>3494.34</v>
      </c>
      <c r="P166" s="1" t="str">
        <f t="shared" si="11"/>
        <v>Low Price</v>
      </c>
      <c r="Q166" s="1" t="str">
        <f t="shared" si="12"/>
        <v>High</v>
      </c>
      <c r="R166" s="1" t="str">
        <f t="shared" si="13"/>
        <v>High</v>
      </c>
    </row>
    <row r="167" spans="1:18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10"/>
        <v>17689.36</v>
      </c>
      <c r="P167" s="1" t="str">
        <f t="shared" si="11"/>
        <v>High Price</v>
      </c>
      <c r="Q167" s="1" t="str">
        <f t="shared" si="12"/>
        <v>High</v>
      </c>
      <c r="R167" s="1" t="str">
        <f t="shared" si="13"/>
        <v>Medium</v>
      </c>
    </row>
    <row r="168" spans="1:18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10"/>
        <v>11646.900000000001</v>
      </c>
      <c r="P168" s="1" t="str">
        <f t="shared" si="11"/>
        <v>Low Price</v>
      </c>
      <c r="Q168" s="1" t="str">
        <f t="shared" si="12"/>
        <v>High</v>
      </c>
      <c r="R168" s="1" t="str">
        <f t="shared" si="13"/>
        <v>Medium</v>
      </c>
    </row>
    <row r="169" spans="1:18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10"/>
        <v>4606.4900000000007</v>
      </c>
      <c r="P169" s="1" t="str">
        <f t="shared" si="11"/>
        <v>Low Price</v>
      </c>
      <c r="Q169" s="1" t="str">
        <f t="shared" si="12"/>
        <v>High</v>
      </c>
      <c r="R169" s="1" t="str">
        <f t="shared" si="13"/>
        <v>Medium</v>
      </c>
    </row>
    <row r="170" spans="1:18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10"/>
        <v>10628.75</v>
      </c>
      <c r="P170" s="1" t="str">
        <f t="shared" si="11"/>
        <v>Low Price</v>
      </c>
      <c r="Q170" s="1" t="str">
        <f t="shared" si="12"/>
        <v>High</v>
      </c>
      <c r="R170" s="1" t="str">
        <f t="shared" si="13"/>
        <v>Medium</v>
      </c>
    </row>
    <row r="171" spans="1:18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10"/>
        <v>6290.34</v>
      </c>
      <c r="P171" s="1" t="str">
        <f t="shared" si="11"/>
        <v>Low Price</v>
      </c>
      <c r="Q171" s="1" t="str">
        <f t="shared" si="12"/>
        <v>Low</v>
      </c>
      <c r="R171" s="1" t="str">
        <f t="shared" si="13"/>
        <v>Medium</v>
      </c>
    </row>
    <row r="172" spans="1:18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10"/>
        <v>508.81</v>
      </c>
      <c r="P172" s="1" t="str">
        <f t="shared" si="11"/>
        <v>Low Price</v>
      </c>
      <c r="Q172" s="1" t="str">
        <f t="shared" si="12"/>
        <v>Low</v>
      </c>
      <c r="R172" s="1" t="str">
        <f t="shared" si="13"/>
        <v>Low</v>
      </c>
    </row>
    <row r="173" spans="1:18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10"/>
        <v>1730.41</v>
      </c>
      <c r="P173" s="1" t="str">
        <f t="shared" si="11"/>
        <v>Low Price</v>
      </c>
      <c r="Q173" s="1" t="str">
        <f t="shared" si="12"/>
        <v>High</v>
      </c>
      <c r="R173" s="1" t="str">
        <f t="shared" si="13"/>
        <v>Low</v>
      </c>
    </row>
    <row r="174" spans="1:18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10"/>
        <v>2336.5500000000002</v>
      </c>
      <c r="P174" s="1" t="str">
        <f t="shared" si="11"/>
        <v>Low Price</v>
      </c>
      <c r="Q174" s="1" t="str">
        <f t="shared" si="12"/>
        <v>High</v>
      </c>
      <c r="R174" s="1" t="str">
        <f t="shared" si="13"/>
        <v>Low</v>
      </c>
    </row>
    <row r="175" spans="1:18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10"/>
        <v>2745.18</v>
      </c>
      <c r="P175" s="1" t="str">
        <f t="shared" si="11"/>
        <v>Low Price</v>
      </c>
      <c r="Q175" s="1" t="str">
        <f t="shared" si="12"/>
        <v>Medium</v>
      </c>
      <c r="R175" s="1" t="str">
        <f t="shared" si="13"/>
        <v>Low</v>
      </c>
    </row>
    <row r="176" spans="1:18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10"/>
        <v>8040.5500000000011</v>
      </c>
      <c r="P176" s="1" t="str">
        <f t="shared" si="11"/>
        <v>Low Price</v>
      </c>
      <c r="Q176" s="1" t="str">
        <f t="shared" si="12"/>
        <v>High</v>
      </c>
      <c r="R176" s="1" t="str">
        <f t="shared" si="13"/>
        <v>Medium</v>
      </c>
    </row>
    <row r="177" spans="1:18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10"/>
        <v>974.46</v>
      </c>
      <c r="P177" s="1" t="str">
        <f t="shared" si="11"/>
        <v>Low Price</v>
      </c>
      <c r="Q177" s="1" t="str">
        <f t="shared" si="12"/>
        <v>High</v>
      </c>
      <c r="R177" s="1" t="str">
        <f t="shared" si="13"/>
        <v>Low</v>
      </c>
    </row>
    <row r="178" spans="1:18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10"/>
        <v>1984.72</v>
      </c>
      <c r="P178" s="1" t="str">
        <f t="shared" si="11"/>
        <v>Low Price</v>
      </c>
      <c r="Q178" s="1" t="str">
        <f t="shared" si="12"/>
        <v>High</v>
      </c>
      <c r="R178" s="1" t="str">
        <f t="shared" si="13"/>
        <v>Low</v>
      </c>
    </row>
    <row r="179" spans="1:18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10"/>
        <v>1788.02</v>
      </c>
      <c r="P179" s="1" t="str">
        <f t="shared" si="11"/>
        <v>Low Price</v>
      </c>
      <c r="Q179" s="1" t="str">
        <f t="shared" si="12"/>
        <v>High</v>
      </c>
      <c r="R179" s="1" t="str">
        <f t="shared" si="13"/>
        <v>Low</v>
      </c>
    </row>
    <row r="180" spans="1:18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10"/>
        <v>2067.8999999999996</v>
      </c>
      <c r="P180" s="1" t="str">
        <f t="shared" si="11"/>
        <v>Low Price</v>
      </c>
      <c r="Q180" s="1" t="str">
        <f t="shared" si="12"/>
        <v>High</v>
      </c>
      <c r="R180" s="1" t="str">
        <f t="shared" si="13"/>
        <v>Medium</v>
      </c>
    </row>
    <row r="181" spans="1:18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10"/>
        <v>20494.88</v>
      </c>
      <c r="P181" s="1" t="str">
        <f t="shared" si="11"/>
        <v>High Price</v>
      </c>
      <c r="Q181" s="1" t="str">
        <f t="shared" si="12"/>
        <v>Low</v>
      </c>
      <c r="R181" s="1" t="str">
        <f t="shared" si="13"/>
        <v>Medium</v>
      </c>
    </row>
    <row r="182" spans="1:18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10"/>
        <v>5024.84</v>
      </c>
      <c r="P182" s="1" t="str">
        <f t="shared" si="11"/>
        <v>Low Price</v>
      </c>
      <c r="Q182" s="1" t="str">
        <f t="shared" si="12"/>
        <v>High</v>
      </c>
      <c r="R182" s="1" t="str">
        <f t="shared" si="13"/>
        <v>Low</v>
      </c>
    </row>
    <row r="183" spans="1:18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10"/>
        <v>6135.1</v>
      </c>
      <c r="P183" s="1" t="str">
        <f t="shared" si="11"/>
        <v>Low Price</v>
      </c>
      <c r="Q183" s="1" t="str">
        <f t="shared" si="12"/>
        <v>High</v>
      </c>
      <c r="R183" s="1" t="str">
        <f t="shared" si="13"/>
        <v>Medium</v>
      </c>
    </row>
    <row r="184" spans="1:18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10"/>
        <v>5712.76</v>
      </c>
      <c r="P184" s="1" t="str">
        <f t="shared" si="11"/>
        <v>Low Price</v>
      </c>
      <c r="Q184" s="1" t="str">
        <f t="shared" si="12"/>
        <v>High</v>
      </c>
      <c r="R184" s="1" t="str">
        <f t="shared" si="13"/>
        <v>Low</v>
      </c>
    </row>
    <row r="185" spans="1:18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10"/>
        <v>8105.3099999999995</v>
      </c>
      <c r="P185" s="1" t="str">
        <f t="shared" si="11"/>
        <v>Low Price</v>
      </c>
      <c r="Q185" s="1" t="str">
        <f t="shared" si="12"/>
        <v>High</v>
      </c>
      <c r="R185" s="1" t="str">
        <f t="shared" si="13"/>
        <v>Low</v>
      </c>
    </row>
    <row r="186" spans="1:18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10"/>
        <v>17509.7</v>
      </c>
      <c r="P186" s="1" t="str">
        <f t="shared" si="11"/>
        <v>High Price</v>
      </c>
      <c r="Q186" s="1" t="str">
        <f t="shared" si="12"/>
        <v>High</v>
      </c>
      <c r="R186" s="1" t="str">
        <f t="shared" si="13"/>
        <v>Medium</v>
      </c>
    </row>
    <row r="187" spans="1:18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10"/>
        <v>27652.32</v>
      </c>
      <c r="P187" s="1" t="str">
        <f t="shared" si="11"/>
        <v>High Price</v>
      </c>
      <c r="Q187" s="1" t="str">
        <f t="shared" si="12"/>
        <v>Low</v>
      </c>
      <c r="R187" s="1" t="str">
        <f t="shared" si="13"/>
        <v>High</v>
      </c>
    </row>
    <row r="188" spans="1:18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10"/>
        <v>6877.92</v>
      </c>
      <c r="P188" s="1" t="str">
        <f t="shared" si="11"/>
        <v>Low Price</v>
      </c>
      <c r="Q188" s="1" t="str">
        <f t="shared" si="12"/>
        <v>High</v>
      </c>
      <c r="R188" s="1" t="str">
        <f t="shared" si="13"/>
        <v>Medium</v>
      </c>
    </row>
    <row r="189" spans="1:18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10"/>
        <v>7624.56</v>
      </c>
      <c r="P189" s="1" t="str">
        <f t="shared" si="11"/>
        <v>Low Price</v>
      </c>
      <c r="Q189" s="1" t="str">
        <f t="shared" si="12"/>
        <v>High</v>
      </c>
      <c r="R189" s="1" t="str">
        <f t="shared" si="13"/>
        <v>Medium</v>
      </c>
    </row>
    <row r="190" spans="1:18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10"/>
        <v>10328.879999999999</v>
      </c>
      <c r="P190" s="1" t="str">
        <f t="shared" si="11"/>
        <v>Low Price</v>
      </c>
      <c r="Q190" s="1" t="str">
        <f t="shared" si="12"/>
        <v>High</v>
      </c>
      <c r="R190" s="1" t="str">
        <f t="shared" si="13"/>
        <v>Medium</v>
      </c>
    </row>
    <row r="191" spans="1:18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10"/>
        <v>29252.720000000001</v>
      </c>
      <c r="P191" s="1" t="str">
        <f t="shared" si="11"/>
        <v>High Price</v>
      </c>
      <c r="Q191" s="1" t="str">
        <f t="shared" si="12"/>
        <v>High</v>
      </c>
      <c r="R191" s="1" t="str">
        <f t="shared" si="13"/>
        <v>Medium</v>
      </c>
    </row>
    <row r="192" spans="1:18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10"/>
        <v>15802.850000000002</v>
      </c>
      <c r="P192" s="1" t="str">
        <f t="shared" si="11"/>
        <v>High Price</v>
      </c>
      <c r="Q192" s="1" t="str">
        <f t="shared" si="12"/>
        <v>High</v>
      </c>
      <c r="R192" s="1" t="str">
        <f t="shared" si="13"/>
        <v>Medium</v>
      </c>
    </row>
    <row r="193" spans="1:18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10"/>
        <v>2975.54</v>
      </c>
      <c r="P193" s="1" t="str">
        <f t="shared" si="11"/>
        <v>Low Price</v>
      </c>
      <c r="Q193" s="1" t="str">
        <f t="shared" si="12"/>
        <v>High</v>
      </c>
      <c r="R193" s="1" t="str">
        <f t="shared" si="13"/>
        <v>Low</v>
      </c>
    </row>
    <row r="194" spans="1:18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10"/>
        <v>6878.84</v>
      </c>
      <c r="P194" s="1" t="str">
        <f t="shared" si="11"/>
        <v>Low Price</v>
      </c>
      <c r="Q194" s="1" t="str">
        <f t="shared" si="12"/>
        <v>High</v>
      </c>
      <c r="R194" s="1" t="str">
        <f t="shared" si="13"/>
        <v>Low</v>
      </c>
    </row>
    <row r="195" spans="1:18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14">L195*M195</f>
        <v>3167.1499999999996</v>
      </c>
      <c r="P195" s="1" t="str">
        <f t="shared" ref="P195:P258" si="15">IF(O195&gt;=15000, "High Price", "Low Price")</f>
        <v>Low Price</v>
      </c>
      <c r="Q195" s="1" t="str">
        <f t="shared" ref="Q195:Q258" si="16">_xlfn.IFS(N195&gt;=10, "High",N195&gt;=5,"Medium", N195&lt;5,"Low")</f>
        <v>High</v>
      </c>
      <c r="R195" s="1" t="str">
        <f t="shared" si="13"/>
        <v>Medium</v>
      </c>
    </row>
    <row r="196" spans="1:18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14"/>
        <v>4856.9400000000005</v>
      </c>
      <c r="P196" s="1" t="str">
        <f t="shared" si="15"/>
        <v>Low Price</v>
      </c>
      <c r="Q196" s="1" t="str">
        <f t="shared" si="16"/>
        <v>Medium</v>
      </c>
      <c r="R196" s="1" t="str">
        <f t="shared" si="13"/>
        <v>Medium</v>
      </c>
    </row>
    <row r="197" spans="1:18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14"/>
        <v>13341.28</v>
      </c>
      <c r="P197" s="1" t="str">
        <f t="shared" si="15"/>
        <v>Low Price</v>
      </c>
      <c r="Q197" s="1" t="str">
        <f t="shared" si="16"/>
        <v>High</v>
      </c>
      <c r="R197" s="1" t="str">
        <f t="shared" si="13"/>
        <v>Low</v>
      </c>
    </row>
    <row r="198" spans="1:18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14"/>
        <v>4803.26</v>
      </c>
      <c r="P198" s="1" t="str">
        <f t="shared" si="15"/>
        <v>Low Price</v>
      </c>
      <c r="Q198" s="1" t="str">
        <f t="shared" si="16"/>
        <v>Low</v>
      </c>
      <c r="R198" s="1" t="str">
        <f t="shared" ref="R198:R261" si="17">IF(L198&gt;8,"High",IF(L198&gt;4,"Medium","Low"))</f>
        <v>Low</v>
      </c>
    </row>
    <row r="199" spans="1:18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14"/>
        <v>25927.84</v>
      </c>
      <c r="P199" s="1" t="str">
        <f t="shared" si="15"/>
        <v>High Price</v>
      </c>
      <c r="Q199" s="1" t="str">
        <f t="shared" si="16"/>
        <v>Low</v>
      </c>
      <c r="R199" s="1" t="str">
        <f t="shared" si="17"/>
        <v>Medium</v>
      </c>
    </row>
    <row r="200" spans="1:18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14"/>
        <v>27354.11</v>
      </c>
      <c r="P200" s="1" t="str">
        <f t="shared" si="15"/>
        <v>High Price</v>
      </c>
      <c r="Q200" s="1" t="str">
        <f t="shared" si="16"/>
        <v>High</v>
      </c>
      <c r="R200" s="1" t="str">
        <f t="shared" si="17"/>
        <v>Medium</v>
      </c>
    </row>
    <row r="201" spans="1:18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14"/>
        <v>8865.2999999999993</v>
      </c>
      <c r="P201" s="1" t="str">
        <f t="shared" si="15"/>
        <v>Low Price</v>
      </c>
      <c r="Q201" s="1" t="str">
        <f t="shared" si="16"/>
        <v>High</v>
      </c>
      <c r="R201" s="1" t="str">
        <f t="shared" si="17"/>
        <v>Medium</v>
      </c>
    </row>
    <row r="202" spans="1:18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14"/>
        <v>3100.65</v>
      </c>
      <c r="P202" s="1" t="str">
        <f t="shared" si="15"/>
        <v>Low Price</v>
      </c>
      <c r="Q202" s="1" t="str">
        <f t="shared" si="16"/>
        <v>Medium</v>
      </c>
      <c r="R202" s="1" t="str">
        <f t="shared" si="17"/>
        <v>Medium</v>
      </c>
    </row>
    <row r="203" spans="1:18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14"/>
        <v>28153.599999999999</v>
      </c>
      <c r="P203" s="1" t="str">
        <f t="shared" si="15"/>
        <v>High Price</v>
      </c>
      <c r="Q203" s="1" t="str">
        <f t="shared" si="16"/>
        <v>Low</v>
      </c>
      <c r="R203" s="1" t="str">
        <f t="shared" si="17"/>
        <v>Medium</v>
      </c>
    </row>
    <row r="204" spans="1:18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14"/>
        <v>2250.4899999999998</v>
      </c>
      <c r="P204" s="1" t="str">
        <f t="shared" si="15"/>
        <v>Low Price</v>
      </c>
      <c r="Q204" s="1" t="str">
        <f t="shared" si="16"/>
        <v>High</v>
      </c>
      <c r="R204" s="1" t="str">
        <f t="shared" si="17"/>
        <v>Low</v>
      </c>
    </row>
    <row r="205" spans="1:18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14"/>
        <v>556.53</v>
      </c>
      <c r="P205" s="1" t="str">
        <f t="shared" si="15"/>
        <v>Low Price</v>
      </c>
      <c r="Q205" s="1" t="str">
        <f t="shared" si="16"/>
        <v>Medium</v>
      </c>
      <c r="R205" s="1" t="str">
        <f t="shared" si="17"/>
        <v>Low</v>
      </c>
    </row>
    <row r="206" spans="1:18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14"/>
        <v>2270.66</v>
      </c>
      <c r="P206" s="1" t="str">
        <f t="shared" si="15"/>
        <v>Low Price</v>
      </c>
      <c r="Q206" s="1" t="str">
        <f t="shared" si="16"/>
        <v>High</v>
      </c>
      <c r="R206" s="1" t="str">
        <f t="shared" si="17"/>
        <v>Medium</v>
      </c>
    </row>
    <row r="207" spans="1:18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14"/>
        <v>24093.81</v>
      </c>
      <c r="P207" s="1" t="str">
        <f t="shared" si="15"/>
        <v>High Price</v>
      </c>
      <c r="Q207" s="1" t="str">
        <f t="shared" si="16"/>
        <v>High</v>
      </c>
      <c r="R207" s="1" t="str">
        <f t="shared" si="17"/>
        <v>High</v>
      </c>
    </row>
    <row r="208" spans="1:18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14"/>
        <v>2276.16</v>
      </c>
      <c r="P208" s="1" t="str">
        <f t="shared" si="15"/>
        <v>Low Price</v>
      </c>
      <c r="Q208" s="1" t="str">
        <f t="shared" si="16"/>
        <v>High</v>
      </c>
      <c r="R208" s="1" t="str">
        <f t="shared" si="17"/>
        <v>Medium</v>
      </c>
    </row>
    <row r="209" spans="1:18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14"/>
        <v>7921.12</v>
      </c>
      <c r="P209" s="1" t="str">
        <f t="shared" si="15"/>
        <v>Low Price</v>
      </c>
      <c r="Q209" s="1" t="str">
        <f t="shared" si="16"/>
        <v>High</v>
      </c>
      <c r="R209" s="1" t="str">
        <f t="shared" si="17"/>
        <v>Low</v>
      </c>
    </row>
    <row r="210" spans="1:18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14"/>
        <v>2390.2199999999998</v>
      </c>
      <c r="P210" s="1" t="str">
        <f t="shared" si="15"/>
        <v>Low Price</v>
      </c>
      <c r="Q210" s="1" t="str">
        <f t="shared" si="16"/>
        <v>High</v>
      </c>
      <c r="R210" s="1" t="str">
        <f t="shared" si="17"/>
        <v>High</v>
      </c>
    </row>
    <row r="211" spans="1:18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14"/>
        <v>11168.58</v>
      </c>
      <c r="P211" s="1" t="str">
        <f t="shared" si="15"/>
        <v>Low Price</v>
      </c>
      <c r="Q211" s="1" t="str">
        <f t="shared" si="16"/>
        <v>Low</v>
      </c>
      <c r="R211" s="1" t="str">
        <f t="shared" si="17"/>
        <v>Medium</v>
      </c>
    </row>
    <row r="212" spans="1:18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14"/>
        <v>1203.06</v>
      </c>
      <c r="P212" s="1" t="str">
        <f t="shared" si="15"/>
        <v>Low Price</v>
      </c>
      <c r="Q212" s="1" t="str">
        <f t="shared" si="16"/>
        <v>High</v>
      </c>
      <c r="R212" s="1" t="str">
        <f t="shared" si="17"/>
        <v>Low</v>
      </c>
    </row>
    <row r="213" spans="1:18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14"/>
        <v>2402.67</v>
      </c>
      <c r="P213" s="1" t="str">
        <f t="shared" si="15"/>
        <v>Low Price</v>
      </c>
      <c r="Q213" s="1" t="str">
        <f t="shared" si="16"/>
        <v>Low</v>
      </c>
      <c r="R213" s="1" t="str">
        <f t="shared" si="17"/>
        <v>Low</v>
      </c>
    </row>
    <row r="214" spans="1:18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14"/>
        <v>12035.6</v>
      </c>
      <c r="P214" s="1" t="str">
        <f t="shared" si="15"/>
        <v>Low Price</v>
      </c>
      <c r="Q214" s="1" t="str">
        <f t="shared" si="16"/>
        <v>High</v>
      </c>
      <c r="R214" s="1" t="str">
        <f t="shared" si="17"/>
        <v>Medium</v>
      </c>
    </row>
    <row r="215" spans="1:18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14"/>
        <v>3082.45</v>
      </c>
      <c r="P215" s="1" t="str">
        <f t="shared" si="15"/>
        <v>Low Price</v>
      </c>
      <c r="Q215" s="1" t="str">
        <f t="shared" si="16"/>
        <v>Medium</v>
      </c>
      <c r="R215" s="1" t="str">
        <f t="shared" si="17"/>
        <v>Low</v>
      </c>
    </row>
    <row r="216" spans="1:18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14"/>
        <v>14715.89</v>
      </c>
      <c r="P216" s="1" t="str">
        <f t="shared" si="15"/>
        <v>Low Price</v>
      </c>
      <c r="Q216" s="1" t="str">
        <f t="shared" si="16"/>
        <v>High</v>
      </c>
      <c r="R216" s="1" t="str">
        <f t="shared" si="17"/>
        <v>Medium</v>
      </c>
    </row>
    <row r="217" spans="1:18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14"/>
        <v>18241.440000000002</v>
      </c>
      <c r="P217" s="1" t="str">
        <f t="shared" si="15"/>
        <v>High Price</v>
      </c>
      <c r="Q217" s="1" t="str">
        <f t="shared" si="16"/>
        <v>High</v>
      </c>
      <c r="R217" s="1" t="str">
        <f t="shared" si="17"/>
        <v>Medium</v>
      </c>
    </row>
    <row r="218" spans="1:18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14"/>
        <v>3942.92</v>
      </c>
      <c r="P218" s="1" t="str">
        <f t="shared" si="15"/>
        <v>Low Price</v>
      </c>
      <c r="Q218" s="1" t="str">
        <f t="shared" si="16"/>
        <v>Low</v>
      </c>
      <c r="R218" s="1" t="str">
        <f t="shared" si="17"/>
        <v>Low</v>
      </c>
    </row>
    <row r="219" spans="1:18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14"/>
        <v>14578.32</v>
      </c>
      <c r="P219" s="1" t="str">
        <f t="shared" si="15"/>
        <v>Low Price</v>
      </c>
      <c r="Q219" s="1" t="str">
        <f t="shared" si="16"/>
        <v>High</v>
      </c>
      <c r="R219" s="1" t="str">
        <f t="shared" si="17"/>
        <v>Medium</v>
      </c>
    </row>
    <row r="220" spans="1:18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14"/>
        <v>7475.2</v>
      </c>
      <c r="P220" s="1" t="str">
        <f t="shared" si="15"/>
        <v>Low Price</v>
      </c>
      <c r="Q220" s="1" t="str">
        <f t="shared" si="16"/>
        <v>High</v>
      </c>
      <c r="R220" s="1" t="str">
        <f t="shared" si="17"/>
        <v>Low</v>
      </c>
    </row>
    <row r="221" spans="1:18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14"/>
        <v>12661.35</v>
      </c>
      <c r="P221" s="1" t="str">
        <f t="shared" si="15"/>
        <v>Low Price</v>
      </c>
      <c r="Q221" s="1" t="str">
        <f t="shared" si="16"/>
        <v>High</v>
      </c>
      <c r="R221" s="1" t="str">
        <f t="shared" si="17"/>
        <v>Medium</v>
      </c>
    </row>
    <row r="222" spans="1:18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14"/>
        <v>5423.32</v>
      </c>
      <c r="P222" s="1" t="str">
        <f t="shared" si="15"/>
        <v>Low Price</v>
      </c>
      <c r="Q222" s="1" t="str">
        <f t="shared" si="16"/>
        <v>Low</v>
      </c>
      <c r="R222" s="1" t="str">
        <f t="shared" si="17"/>
        <v>Low</v>
      </c>
    </row>
    <row r="223" spans="1:18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14"/>
        <v>721.8</v>
      </c>
      <c r="P223" s="1" t="str">
        <f t="shared" si="15"/>
        <v>Low Price</v>
      </c>
      <c r="Q223" s="1" t="str">
        <f t="shared" si="16"/>
        <v>Medium</v>
      </c>
      <c r="R223" s="1" t="str">
        <f t="shared" si="17"/>
        <v>Low</v>
      </c>
    </row>
    <row r="224" spans="1:18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14"/>
        <v>1941.96</v>
      </c>
      <c r="P224" s="1" t="str">
        <f t="shared" si="15"/>
        <v>Low Price</v>
      </c>
      <c r="Q224" s="1" t="str">
        <f t="shared" si="16"/>
        <v>Medium</v>
      </c>
      <c r="R224" s="1" t="str">
        <f t="shared" si="17"/>
        <v>Low</v>
      </c>
    </row>
    <row r="225" spans="1:18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14"/>
        <v>1066.5</v>
      </c>
      <c r="P225" s="1" t="str">
        <f t="shared" si="15"/>
        <v>Low Price</v>
      </c>
      <c r="Q225" s="1" t="str">
        <f t="shared" si="16"/>
        <v>Low</v>
      </c>
      <c r="R225" s="1" t="str">
        <f t="shared" si="17"/>
        <v>Low</v>
      </c>
    </row>
    <row r="226" spans="1:18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14"/>
        <v>17306.03</v>
      </c>
      <c r="P226" s="1" t="str">
        <f t="shared" si="15"/>
        <v>High Price</v>
      </c>
      <c r="Q226" s="1" t="str">
        <f t="shared" si="16"/>
        <v>High</v>
      </c>
      <c r="R226" s="1" t="str">
        <f t="shared" si="17"/>
        <v>Medium</v>
      </c>
    </row>
    <row r="227" spans="1:18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14"/>
        <v>15161.02</v>
      </c>
      <c r="P227" s="1" t="str">
        <f t="shared" si="15"/>
        <v>High Price</v>
      </c>
      <c r="Q227" s="1" t="str">
        <f t="shared" si="16"/>
        <v>Low</v>
      </c>
      <c r="R227" s="1" t="str">
        <f t="shared" si="17"/>
        <v>Medium</v>
      </c>
    </row>
    <row r="228" spans="1:18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14"/>
        <v>4505.2</v>
      </c>
      <c r="P228" s="1" t="str">
        <f t="shared" si="15"/>
        <v>Low Price</v>
      </c>
      <c r="Q228" s="1" t="str">
        <f t="shared" si="16"/>
        <v>High</v>
      </c>
      <c r="R228" s="1" t="str">
        <f t="shared" si="17"/>
        <v>Low</v>
      </c>
    </row>
    <row r="229" spans="1:18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14"/>
        <v>16360.72</v>
      </c>
      <c r="P229" s="1" t="str">
        <f t="shared" si="15"/>
        <v>High Price</v>
      </c>
      <c r="Q229" s="1" t="str">
        <f t="shared" si="16"/>
        <v>High</v>
      </c>
      <c r="R229" s="1" t="str">
        <f t="shared" si="17"/>
        <v>Medium</v>
      </c>
    </row>
    <row r="230" spans="1:18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14"/>
        <v>900.78</v>
      </c>
      <c r="P230" s="1" t="str">
        <f t="shared" si="15"/>
        <v>Low Price</v>
      </c>
      <c r="Q230" s="1" t="str">
        <f t="shared" si="16"/>
        <v>Medium</v>
      </c>
      <c r="R230" s="1" t="str">
        <f t="shared" si="17"/>
        <v>Low</v>
      </c>
    </row>
    <row r="231" spans="1:18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14"/>
        <v>2660.56</v>
      </c>
      <c r="P231" s="1" t="str">
        <f t="shared" si="15"/>
        <v>Low Price</v>
      </c>
      <c r="Q231" s="1" t="str">
        <f t="shared" si="16"/>
        <v>High</v>
      </c>
      <c r="R231" s="1" t="str">
        <f t="shared" si="17"/>
        <v>Low</v>
      </c>
    </row>
    <row r="232" spans="1:18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14"/>
        <v>15782.7</v>
      </c>
      <c r="P232" s="1" t="str">
        <f t="shared" si="15"/>
        <v>High Price</v>
      </c>
      <c r="Q232" s="1" t="str">
        <f t="shared" si="16"/>
        <v>High</v>
      </c>
      <c r="R232" s="1" t="str">
        <f t="shared" si="17"/>
        <v>Medium</v>
      </c>
    </row>
    <row r="233" spans="1:18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14"/>
        <v>19182.78</v>
      </c>
      <c r="P233" s="1" t="str">
        <f t="shared" si="15"/>
        <v>High Price</v>
      </c>
      <c r="Q233" s="1" t="str">
        <f t="shared" si="16"/>
        <v>High</v>
      </c>
      <c r="R233" s="1" t="str">
        <f t="shared" si="17"/>
        <v>Medium</v>
      </c>
    </row>
    <row r="234" spans="1:18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14"/>
        <v>7408.5300000000007</v>
      </c>
      <c r="P234" s="1" t="str">
        <f t="shared" si="15"/>
        <v>Low Price</v>
      </c>
      <c r="Q234" s="1" t="str">
        <f t="shared" si="16"/>
        <v>Low</v>
      </c>
      <c r="R234" s="1" t="str">
        <f t="shared" si="17"/>
        <v>Low</v>
      </c>
    </row>
    <row r="235" spans="1:18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14"/>
        <v>2309.2799999999997</v>
      </c>
      <c r="P235" s="1" t="str">
        <f t="shared" si="15"/>
        <v>Low Price</v>
      </c>
      <c r="Q235" s="1" t="str">
        <f t="shared" si="16"/>
        <v>Medium</v>
      </c>
      <c r="R235" s="1" t="str">
        <f t="shared" si="17"/>
        <v>Medium</v>
      </c>
    </row>
    <row r="236" spans="1:18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14"/>
        <v>5032.6000000000004</v>
      </c>
      <c r="P236" s="1" t="str">
        <f t="shared" si="15"/>
        <v>Low Price</v>
      </c>
      <c r="Q236" s="1" t="str">
        <f t="shared" si="16"/>
        <v>Low</v>
      </c>
      <c r="R236" s="1" t="str">
        <f t="shared" si="17"/>
        <v>Low</v>
      </c>
    </row>
    <row r="237" spans="1:18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14"/>
        <v>3563.7000000000003</v>
      </c>
      <c r="P237" s="1" t="str">
        <f t="shared" si="15"/>
        <v>Low Price</v>
      </c>
      <c r="Q237" s="1" t="str">
        <f t="shared" si="16"/>
        <v>High</v>
      </c>
      <c r="R237" s="1" t="str">
        <f t="shared" si="17"/>
        <v>Medium</v>
      </c>
    </row>
    <row r="238" spans="1:18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14"/>
        <v>6030.5399999999991</v>
      </c>
      <c r="P238" s="1" t="str">
        <f t="shared" si="15"/>
        <v>Low Price</v>
      </c>
      <c r="Q238" s="1" t="str">
        <f t="shared" si="16"/>
        <v>High</v>
      </c>
      <c r="R238" s="1" t="str">
        <f t="shared" si="17"/>
        <v>High</v>
      </c>
    </row>
    <row r="239" spans="1:18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14"/>
        <v>30272.959999999999</v>
      </c>
      <c r="P239" s="1" t="str">
        <f t="shared" si="15"/>
        <v>High Price</v>
      </c>
      <c r="Q239" s="1" t="str">
        <f t="shared" si="16"/>
        <v>High</v>
      </c>
      <c r="R239" s="1" t="str">
        <f t="shared" si="17"/>
        <v>Medium</v>
      </c>
    </row>
    <row r="240" spans="1:18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14"/>
        <v>15492.2</v>
      </c>
      <c r="P240" s="1" t="str">
        <f t="shared" si="15"/>
        <v>High Price</v>
      </c>
      <c r="Q240" s="1" t="str">
        <f t="shared" si="16"/>
        <v>Low</v>
      </c>
      <c r="R240" s="1" t="str">
        <f t="shared" si="17"/>
        <v>Medium</v>
      </c>
    </row>
    <row r="241" spans="1:18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14"/>
        <v>1324.74</v>
      </c>
      <c r="P241" s="1" t="str">
        <f t="shared" si="15"/>
        <v>Low Price</v>
      </c>
      <c r="Q241" s="1" t="str">
        <f t="shared" si="16"/>
        <v>Medium</v>
      </c>
      <c r="R241" s="1" t="str">
        <f t="shared" si="17"/>
        <v>Medium</v>
      </c>
    </row>
    <row r="242" spans="1:18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14"/>
        <v>11619.960000000001</v>
      </c>
      <c r="P242" s="1" t="str">
        <f t="shared" si="15"/>
        <v>Low Price</v>
      </c>
      <c r="Q242" s="1" t="str">
        <f t="shared" si="16"/>
        <v>Low</v>
      </c>
      <c r="R242" s="1" t="str">
        <f t="shared" si="17"/>
        <v>Medium</v>
      </c>
    </row>
    <row r="243" spans="1:18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14"/>
        <v>9776.9700000000012</v>
      </c>
      <c r="P243" s="1" t="str">
        <f t="shared" si="15"/>
        <v>Low Price</v>
      </c>
      <c r="Q243" s="1" t="str">
        <f t="shared" si="16"/>
        <v>High</v>
      </c>
      <c r="R243" s="1" t="str">
        <f t="shared" si="17"/>
        <v>Medium</v>
      </c>
    </row>
    <row r="244" spans="1:18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14"/>
        <v>21563.119999999999</v>
      </c>
      <c r="P244" s="1" t="str">
        <f t="shared" si="15"/>
        <v>High Price</v>
      </c>
      <c r="Q244" s="1" t="str">
        <f t="shared" si="16"/>
        <v>High</v>
      </c>
      <c r="R244" s="1" t="str">
        <f t="shared" si="17"/>
        <v>Medium</v>
      </c>
    </row>
    <row r="245" spans="1:18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14"/>
        <v>23949.99</v>
      </c>
      <c r="P245" s="1" t="str">
        <f t="shared" si="15"/>
        <v>High Price</v>
      </c>
      <c r="Q245" s="1" t="str">
        <f t="shared" si="16"/>
        <v>High</v>
      </c>
      <c r="R245" s="1" t="str">
        <f t="shared" si="17"/>
        <v>High</v>
      </c>
    </row>
    <row r="246" spans="1:18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14"/>
        <v>2902.4700000000003</v>
      </c>
      <c r="P246" s="1" t="str">
        <f t="shared" si="15"/>
        <v>Low Price</v>
      </c>
      <c r="Q246" s="1" t="str">
        <f t="shared" si="16"/>
        <v>Low</v>
      </c>
      <c r="R246" s="1" t="str">
        <f t="shared" si="17"/>
        <v>Low</v>
      </c>
    </row>
    <row r="247" spans="1:18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14"/>
        <v>619.73</v>
      </c>
      <c r="P247" s="1" t="str">
        <f t="shared" si="15"/>
        <v>Low Price</v>
      </c>
      <c r="Q247" s="1" t="str">
        <f t="shared" si="16"/>
        <v>Low</v>
      </c>
      <c r="R247" s="1" t="str">
        <f t="shared" si="17"/>
        <v>Low</v>
      </c>
    </row>
    <row r="248" spans="1:18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14"/>
        <v>14251.65</v>
      </c>
      <c r="P248" s="1" t="str">
        <f t="shared" si="15"/>
        <v>Low Price</v>
      </c>
      <c r="Q248" s="1" t="str">
        <f t="shared" si="16"/>
        <v>Medium</v>
      </c>
      <c r="R248" s="1" t="str">
        <f t="shared" si="17"/>
        <v>Medium</v>
      </c>
    </row>
    <row r="249" spans="1:18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14"/>
        <v>4456.13</v>
      </c>
      <c r="P249" s="1" t="str">
        <f t="shared" si="15"/>
        <v>Low Price</v>
      </c>
      <c r="Q249" s="1" t="str">
        <f t="shared" si="16"/>
        <v>Medium</v>
      </c>
      <c r="R249" s="1" t="str">
        <f t="shared" si="17"/>
        <v>Medium</v>
      </c>
    </row>
    <row r="250" spans="1:18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14"/>
        <v>1543.1999999999998</v>
      </c>
      <c r="P250" s="1" t="str">
        <f t="shared" si="15"/>
        <v>Low Price</v>
      </c>
      <c r="Q250" s="1" t="str">
        <f t="shared" si="16"/>
        <v>Low</v>
      </c>
      <c r="R250" s="1" t="str">
        <f t="shared" si="17"/>
        <v>Medium</v>
      </c>
    </row>
    <row r="251" spans="1:18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14"/>
        <v>10190.08</v>
      </c>
      <c r="P251" s="1" t="str">
        <f t="shared" si="15"/>
        <v>Low Price</v>
      </c>
      <c r="Q251" s="1" t="str">
        <f t="shared" si="16"/>
        <v>High</v>
      </c>
      <c r="R251" s="1" t="str">
        <f t="shared" si="17"/>
        <v>Low</v>
      </c>
    </row>
    <row r="252" spans="1:18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14"/>
        <v>6512.04</v>
      </c>
      <c r="P252" s="1" t="str">
        <f t="shared" si="15"/>
        <v>Low Price</v>
      </c>
      <c r="Q252" s="1" t="str">
        <f t="shared" si="16"/>
        <v>High</v>
      </c>
      <c r="R252" s="1" t="str">
        <f t="shared" si="17"/>
        <v>Low</v>
      </c>
    </row>
    <row r="253" spans="1:18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14"/>
        <v>3391.76</v>
      </c>
      <c r="P253" s="1" t="str">
        <f t="shared" si="15"/>
        <v>Low Price</v>
      </c>
      <c r="Q253" s="1" t="str">
        <f t="shared" si="16"/>
        <v>High</v>
      </c>
      <c r="R253" s="1" t="str">
        <f t="shared" si="17"/>
        <v>Low</v>
      </c>
    </row>
    <row r="254" spans="1:18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14"/>
        <v>8033.8</v>
      </c>
      <c r="P254" s="1" t="str">
        <f t="shared" si="15"/>
        <v>Low Price</v>
      </c>
      <c r="Q254" s="1" t="str">
        <f t="shared" si="16"/>
        <v>Medium</v>
      </c>
      <c r="R254" s="1" t="str">
        <f t="shared" si="17"/>
        <v>Low</v>
      </c>
    </row>
    <row r="255" spans="1:18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14"/>
        <v>12572.8</v>
      </c>
      <c r="P255" s="1" t="str">
        <f t="shared" si="15"/>
        <v>Low Price</v>
      </c>
      <c r="Q255" s="1" t="str">
        <f t="shared" si="16"/>
        <v>Low</v>
      </c>
      <c r="R255" s="1" t="str">
        <f t="shared" si="17"/>
        <v>Low</v>
      </c>
    </row>
    <row r="256" spans="1:18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14"/>
        <v>2740.46</v>
      </c>
      <c r="P256" s="1" t="str">
        <f t="shared" si="15"/>
        <v>Low Price</v>
      </c>
      <c r="Q256" s="1" t="str">
        <f t="shared" si="16"/>
        <v>High</v>
      </c>
      <c r="R256" s="1" t="str">
        <f t="shared" si="17"/>
        <v>Low</v>
      </c>
    </row>
    <row r="257" spans="1:18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14"/>
        <v>8186.04</v>
      </c>
      <c r="P257" s="1" t="str">
        <f t="shared" si="15"/>
        <v>Low Price</v>
      </c>
      <c r="Q257" s="1" t="str">
        <f t="shared" si="16"/>
        <v>Medium</v>
      </c>
      <c r="R257" s="1" t="str">
        <f t="shared" si="17"/>
        <v>Low</v>
      </c>
    </row>
    <row r="258" spans="1:18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14"/>
        <v>2588.64</v>
      </c>
      <c r="P258" s="1" t="str">
        <f t="shared" si="15"/>
        <v>Low Price</v>
      </c>
      <c r="Q258" s="1" t="str">
        <f t="shared" si="16"/>
        <v>Low</v>
      </c>
      <c r="R258" s="1" t="str">
        <f t="shared" si="17"/>
        <v>Low</v>
      </c>
    </row>
    <row r="259" spans="1:18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8">L259*M259</f>
        <v>3251.27</v>
      </c>
      <c r="P259" s="1" t="str">
        <f t="shared" ref="P259:P322" si="19">IF(O259&gt;=15000, "High Price", "Low Price")</f>
        <v>Low Price</v>
      </c>
      <c r="Q259" s="1" t="str">
        <f t="shared" ref="Q259:Q322" si="20">_xlfn.IFS(N259&gt;=10, "High",N259&gt;=5,"Medium", N259&lt;5,"Low")</f>
        <v>High</v>
      </c>
      <c r="R259" s="1" t="str">
        <f t="shared" si="17"/>
        <v>Low</v>
      </c>
    </row>
    <row r="260" spans="1:18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8"/>
        <v>1681.85</v>
      </c>
      <c r="P260" s="1" t="str">
        <f t="shared" si="19"/>
        <v>Low Price</v>
      </c>
      <c r="Q260" s="1" t="str">
        <f t="shared" si="20"/>
        <v>Medium</v>
      </c>
      <c r="R260" s="1" t="str">
        <f t="shared" si="17"/>
        <v>Low</v>
      </c>
    </row>
    <row r="261" spans="1:18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8"/>
        <v>26024.16</v>
      </c>
      <c r="P261" s="1" t="str">
        <f t="shared" si="19"/>
        <v>High Price</v>
      </c>
      <c r="Q261" s="1" t="str">
        <f t="shared" si="20"/>
        <v>High</v>
      </c>
      <c r="R261" s="1" t="str">
        <f t="shared" si="17"/>
        <v>Medium</v>
      </c>
    </row>
    <row r="262" spans="1:18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8"/>
        <v>19434.080000000002</v>
      </c>
      <c r="P262" s="1" t="str">
        <f t="shared" si="19"/>
        <v>High Price</v>
      </c>
      <c r="Q262" s="1" t="str">
        <f t="shared" si="20"/>
        <v>High</v>
      </c>
      <c r="R262" s="1" t="str">
        <f t="shared" ref="R262:R325" si="21">IF(L262&gt;8,"High",IF(L262&gt;4,"Medium","Low"))</f>
        <v>Medium</v>
      </c>
    </row>
    <row r="263" spans="1:18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8"/>
        <v>1577.44</v>
      </c>
      <c r="P263" s="1" t="str">
        <f t="shared" si="19"/>
        <v>Low Price</v>
      </c>
      <c r="Q263" s="1" t="str">
        <f t="shared" si="20"/>
        <v>High</v>
      </c>
      <c r="R263" s="1" t="str">
        <f t="shared" si="21"/>
        <v>Low</v>
      </c>
    </row>
    <row r="264" spans="1:18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8"/>
        <v>1715.21</v>
      </c>
      <c r="P264" s="1" t="str">
        <f t="shared" si="19"/>
        <v>Low Price</v>
      </c>
      <c r="Q264" s="1" t="str">
        <f t="shared" si="20"/>
        <v>Low</v>
      </c>
      <c r="R264" s="1" t="str">
        <f t="shared" si="21"/>
        <v>Medium</v>
      </c>
    </row>
    <row r="265" spans="1:18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8"/>
        <v>18038.240000000002</v>
      </c>
      <c r="P265" s="1" t="str">
        <f t="shared" si="19"/>
        <v>High Price</v>
      </c>
      <c r="Q265" s="1" t="str">
        <f t="shared" si="20"/>
        <v>Low</v>
      </c>
      <c r="R265" s="1" t="str">
        <f t="shared" si="21"/>
        <v>Medium</v>
      </c>
    </row>
    <row r="266" spans="1:18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8"/>
        <v>23683.17</v>
      </c>
      <c r="P266" s="1" t="str">
        <f t="shared" si="19"/>
        <v>High Price</v>
      </c>
      <c r="Q266" s="1" t="str">
        <f t="shared" si="20"/>
        <v>High</v>
      </c>
      <c r="R266" s="1" t="str">
        <f t="shared" si="21"/>
        <v>Medium</v>
      </c>
    </row>
    <row r="267" spans="1:18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8"/>
        <v>3204.1000000000004</v>
      </c>
      <c r="P267" s="1" t="str">
        <f t="shared" si="19"/>
        <v>Low Price</v>
      </c>
      <c r="Q267" s="1" t="str">
        <f t="shared" si="20"/>
        <v>Low</v>
      </c>
      <c r="R267" s="1" t="str">
        <f t="shared" si="21"/>
        <v>Medium</v>
      </c>
    </row>
    <row r="268" spans="1:18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8"/>
        <v>31253.22</v>
      </c>
      <c r="P268" s="1" t="str">
        <f t="shared" si="19"/>
        <v>High Price</v>
      </c>
      <c r="Q268" s="1" t="str">
        <f t="shared" si="20"/>
        <v>High</v>
      </c>
      <c r="R268" s="1" t="str">
        <f t="shared" si="21"/>
        <v>High</v>
      </c>
    </row>
    <row r="269" spans="1:18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8"/>
        <v>5111.05</v>
      </c>
      <c r="P269" s="1" t="str">
        <f t="shared" si="19"/>
        <v>Low Price</v>
      </c>
      <c r="Q269" s="1" t="str">
        <f t="shared" si="20"/>
        <v>Low</v>
      </c>
      <c r="R269" s="1" t="str">
        <f t="shared" si="21"/>
        <v>Medium</v>
      </c>
    </row>
    <row r="270" spans="1:18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8"/>
        <v>6857.28</v>
      </c>
      <c r="P270" s="1" t="str">
        <f t="shared" si="19"/>
        <v>Low Price</v>
      </c>
      <c r="Q270" s="1" t="str">
        <f t="shared" si="20"/>
        <v>High</v>
      </c>
      <c r="R270" s="1" t="str">
        <f t="shared" si="21"/>
        <v>Low</v>
      </c>
    </row>
    <row r="271" spans="1:18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8"/>
        <v>23802.6</v>
      </c>
      <c r="P271" s="1" t="str">
        <f t="shared" si="19"/>
        <v>High Price</v>
      </c>
      <c r="Q271" s="1" t="str">
        <f t="shared" si="20"/>
        <v>Low</v>
      </c>
      <c r="R271" s="1" t="str">
        <f t="shared" si="21"/>
        <v>Medium</v>
      </c>
    </row>
    <row r="272" spans="1:18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8"/>
        <v>5896.66</v>
      </c>
      <c r="P272" s="1" t="str">
        <f t="shared" si="19"/>
        <v>Low Price</v>
      </c>
      <c r="Q272" s="1" t="str">
        <f t="shared" si="20"/>
        <v>High</v>
      </c>
      <c r="R272" s="1" t="str">
        <f t="shared" si="21"/>
        <v>Low</v>
      </c>
    </row>
    <row r="273" spans="1:18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8"/>
        <v>3171.36</v>
      </c>
      <c r="P273" s="1" t="str">
        <f t="shared" si="19"/>
        <v>Low Price</v>
      </c>
      <c r="Q273" s="1" t="str">
        <f t="shared" si="20"/>
        <v>High</v>
      </c>
      <c r="R273" s="1" t="str">
        <f t="shared" si="21"/>
        <v>Low</v>
      </c>
    </row>
    <row r="274" spans="1:18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8"/>
        <v>27849.5</v>
      </c>
      <c r="P274" s="1" t="str">
        <f t="shared" si="19"/>
        <v>High Price</v>
      </c>
      <c r="Q274" s="1" t="str">
        <f t="shared" si="20"/>
        <v>High</v>
      </c>
      <c r="R274" s="1" t="str">
        <f t="shared" si="21"/>
        <v>Medium</v>
      </c>
    </row>
    <row r="275" spans="1:18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8"/>
        <v>2670.72</v>
      </c>
      <c r="P275" s="1" t="str">
        <f t="shared" si="19"/>
        <v>Low Price</v>
      </c>
      <c r="Q275" s="1" t="str">
        <f t="shared" si="20"/>
        <v>Medium</v>
      </c>
      <c r="R275" s="1" t="str">
        <f t="shared" si="21"/>
        <v>Low</v>
      </c>
    </row>
    <row r="276" spans="1:18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8"/>
        <v>1126.5</v>
      </c>
      <c r="P276" s="1" t="str">
        <f t="shared" si="19"/>
        <v>Low Price</v>
      </c>
      <c r="Q276" s="1" t="str">
        <f t="shared" si="20"/>
        <v>High</v>
      </c>
      <c r="R276" s="1" t="str">
        <f t="shared" si="21"/>
        <v>Low</v>
      </c>
    </row>
    <row r="277" spans="1:18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8"/>
        <v>1393.26</v>
      </c>
      <c r="P277" s="1" t="str">
        <f t="shared" si="19"/>
        <v>Low Price</v>
      </c>
      <c r="Q277" s="1" t="str">
        <f t="shared" si="20"/>
        <v>High</v>
      </c>
      <c r="R277" s="1" t="str">
        <f t="shared" si="21"/>
        <v>Low</v>
      </c>
    </row>
    <row r="278" spans="1:18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8"/>
        <v>14834.04</v>
      </c>
      <c r="P278" s="1" t="str">
        <f t="shared" si="19"/>
        <v>Low Price</v>
      </c>
      <c r="Q278" s="1" t="str">
        <f t="shared" si="20"/>
        <v>Medium</v>
      </c>
      <c r="R278" s="1" t="str">
        <f t="shared" si="21"/>
        <v>Low</v>
      </c>
    </row>
    <row r="279" spans="1:18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8"/>
        <v>2567.7199999999998</v>
      </c>
      <c r="P279" s="1" t="str">
        <f t="shared" si="19"/>
        <v>Low Price</v>
      </c>
      <c r="Q279" s="1" t="str">
        <f t="shared" si="20"/>
        <v>Low</v>
      </c>
      <c r="R279" s="1" t="str">
        <f t="shared" si="21"/>
        <v>Low</v>
      </c>
    </row>
    <row r="280" spans="1:18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8"/>
        <v>9265.5499999999993</v>
      </c>
      <c r="P280" s="1" t="str">
        <f t="shared" si="19"/>
        <v>Low Price</v>
      </c>
      <c r="Q280" s="1" t="str">
        <f t="shared" si="20"/>
        <v>High</v>
      </c>
      <c r="R280" s="1" t="str">
        <f t="shared" si="21"/>
        <v>Medium</v>
      </c>
    </row>
    <row r="281" spans="1:18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8"/>
        <v>2194.5699999999997</v>
      </c>
      <c r="P281" s="1" t="str">
        <f t="shared" si="19"/>
        <v>Low Price</v>
      </c>
      <c r="Q281" s="1" t="str">
        <f t="shared" si="20"/>
        <v>Low</v>
      </c>
      <c r="R281" s="1" t="str">
        <f t="shared" si="21"/>
        <v>Medium</v>
      </c>
    </row>
    <row r="282" spans="1:18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8"/>
        <v>11143.24</v>
      </c>
      <c r="P282" s="1" t="str">
        <f t="shared" si="19"/>
        <v>Low Price</v>
      </c>
      <c r="Q282" s="1" t="str">
        <f t="shared" si="20"/>
        <v>High</v>
      </c>
      <c r="R282" s="1" t="str">
        <f t="shared" si="21"/>
        <v>Low</v>
      </c>
    </row>
    <row r="283" spans="1:18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8"/>
        <v>3625.42</v>
      </c>
      <c r="P283" s="1" t="str">
        <f t="shared" si="19"/>
        <v>Low Price</v>
      </c>
      <c r="Q283" s="1" t="str">
        <f t="shared" si="20"/>
        <v>High</v>
      </c>
      <c r="R283" s="1" t="str">
        <f t="shared" si="21"/>
        <v>Low</v>
      </c>
    </row>
    <row r="284" spans="1:18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8"/>
        <v>2561.48</v>
      </c>
      <c r="P284" s="1" t="str">
        <f t="shared" si="19"/>
        <v>Low Price</v>
      </c>
      <c r="Q284" s="1" t="str">
        <f t="shared" si="20"/>
        <v>High</v>
      </c>
      <c r="R284" s="1" t="str">
        <f t="shared" si="21"/>
        <v>Low</v>
      </c>
    </row>
    <row r="285" spans="1:18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8"/>
        <v>3708.38</v>
      </c>
      <c r="P285" s="1" t="str">
        <f t="shared" si="19"/>
        <v>Low Price</v>
      </c>
      <c r="Q285" s="1" t="str">
        <f t="shared" si="20"/>
        <v>High</v>
      </c>
      <c r="R285" s="1" t="str">
        <f t="shared" si="21"/>
        <v>Low</v>
      </c>
    </row>
    <row r="286" spans="1:18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8"/>
        <v>5770.74</v>
      </c>
      <c r="P286" s="1" t="str">
        <f t="shared" si="19"/>
        <v>Low Price</v>
      </c>
      <c r="Q286" s="1" t="str">
        <f t="shared" si="20"/>
        <v>High</v>
      </c>
      <c r="R286" s="1" t="str">
        <f t="shared" si="21"/>
        <v>Low</v>
      </c>
    </row>
    <row r="287" spans="1:18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8"/>
        <v>4142.08</v>
      </c>
      <c r="P287" s="1" t="str">
        <f t="shared" si="19"/>
        <v>Low Price</v>
      </c>
      <c r="Q287" s="1" t="str">
        <f t="shared" si="20"/>
        <v>High</v>
      </c>
      <c r="R287" s="1" t="str">
        <f t="shared" si="21"/>
        <v>Low</v>
      </c>
    </row>
    <row r="288" spans="1:18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8"/>
        <v>23695.920000000002</v>
      </c>
      <c r="P288" s="1" t="str">
        <f t="shared" si="19"/>
        <v>High Price</v>
      </c>
      <c r="Q288" s="1" t="str">
        <f t="shared" si="20"/>
        <v>Medium</v>
      </c>
      <c r="R288" s="1" t="str">
        <f t="shared" si="21"/>
        <v>High</v>
      </c>
    </row>
    <row r="289" spans="1:18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8"/>
        <v>11337.93</v>
      </c>
      <c r="P289" s="1" t="str">
        <f t="shared" si="19"/>
        <v>Low Price</v>
      </c>
      <c r="Q289" s="1" t="str">
        <f t="shared" si="20"/>
        <v>High</v>
      </c>
      <c r="R289" s="1" t="str">
        <f t="shared" si="21"/>
        <v>High</v>
      </c>
    </row>
    <row r="290" spans="1:18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8"/>
        <v>10402.48</v>
      </c>
      <c r="P290" s="1" t="str">
        <f t="shared" si="19"/>
        <v>Low Price</v>
      </c>
      <c r="Q290" s="1" t="str">
        <f t="shared" si="20"/>
        <v>Low</v>
      </c>
      <c r="R290" s="1" t="str">
        <f t="shared" si="21"/>
        <v>Medium</v>
      </c>
    </row>
    <row r="291" spans="1:18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8"/>
        <v>28648.959999999999</v>
      </c>
      <c r="P291" s="1" t="str">
        <f t="shared" si="19"/>
        <v>High Price</v>
      </c>
      <c r="Q291" s="1" t="str">
        <f t="shared" si="20"/>
        <v>High</v>
      </c>
      <c r="R291" s="1" t="str">
        <f t="shared" si="21"/>
        <v>Medium</v>
      </c>
    </row>
    <row r="292" spans="1:18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8"/>
        <v>202.49</v>
      </c>
      <c r="P292" s="1" t="str">
        <f t="shared" si="19"/>
        <v>Low Price</v>
      </c>
      <c r="Q292" s="1" t="str">
        <f t="shared" si="20"/>
        <v>Medium</v>
      </c>
      <c r="R292" s="1" t="str">
        <f t="shared" si="21"/>
        <v>Low</v>
      </c>
    </row>
    <row r="293" spans="1:18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8"/>
        <v>11140</v>
      </c>
      <c r="P293" s="1" t="str">
        <f t="shared" si="19"/>
        <v>Low Price</v>
      </c>
      <c r="Q293" s="1" t="str">
        <f t="shared" si="20"/>
        <v>High</v>
      </c>
      <c r="R293" s="1" t="str">
        <f t="shared" si="21"/>
        <v>Medium</v>
      </c>
    </row>
    <row r="294" spans="1:18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8"/>
        <v>6852.8099999999995</v>
      </c>
      <c r="P294" s="1" t="str">
        <f t="shared" si="19"/>
        <v>Low Price</v>
      </c>
      <c r="Q294" s="1" t="str">
        <f t="shared" si="20"/>
        <v>High</v>
      </c>
      <c r="R294" s="1" t="str">
        <f t="shared" si="21"/>
        <v>Low</v>
      </c>
    </row>
    <row r="295" spans="1:18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8"/>
        <v>17967.3</v>
      </c>
      <c r="P295" s="1" t="str">
        <f t="shared" si="19"/>
        <v>High Price</v>
      </c>
      <c r="Q295" s="1" t="str">
        <f t="shared" si="20"/>
        <v>High</v>
      </c>
      <c r="R295" s="1" t="str">
        <f t="shared" si="21"/>
        <v>Medium</v>
      </c>
    </row>
    <row r="296" spans="1:18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8"/>
        <v>16604.400000000001</v>
      </c>
      <c r="P296" s="1" t="str">
        <f t="shared" si="19"/>
        <v>High Price</v>
      </c>
      <c r="Q296" s="1" t="str">
        <f t="shared" si="20"/>
        <v>Low</v>
      </c>
      <c r="R296" s="1" t="str">
        <f t="shared" si="21"/>
        <v>Medium</v>
      </c>
    </row>
    <row r="297" spans="1:18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8"/>
        <v>28882.639999999999</v>
      </c>
      <c r="P297" s="1" t="str">
        <f t="shared" si="19"/>
        <v>High Price</v>
      </c>
      <c r="Q297" s="1" t="str">
        <f t="shared" si="20"/>
        <v>Medium</v>
      </c>
      <c r="R297" s="1" t="str">
        <f t="shared" si="21"/>
        <v>Medium</v>
      </c>
    </row>
    <row r="298" spans="1:18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8"/>
        <v>26217.52</v>
      </c>
      <c r="P298" s="1" t="str">
        <f t="shared" si="19"/>
        <v>High Price</v>
      </c>
      <c r="Q298" s="1" t="str">
        <f t="shared" si="20"/>
        <v>High</v>
      </c>
      <c r="R298" s="1" t="str">
        <f t="shared" si="21"/>
        <v>Medium</v>
      </c>
    </row>
    <row r="299" spans="1:18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8"/>
        <v>9771.36</v>
      </c>
      <c r="P299" s="1" t="str">
        <f t="shared" si="19"/>
        <v>Low Price</v>
      </c>
      <c r="Q299" s="1" t="str">
        <f t="shared" si="20"/>
        <v>Low</v>
      </c>
      <c r="R299" s="1" t="str">
        <f t="shared" si="21"/>
        <v>Medium</v>
      </c>
    </row>
    <row r="300" spans="1:18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8"/>
        <v>16290.78</v>
      </c>
      <c r="P300" s="1" t="str">
        <f t="shared" si="19"/>
        <v>High Price</v>
      </c>
      <c r="Q300" s="1" t="str">
        <f t="shared" si="20"/>
        <v>High</v>
      </c>
      <c r="R300" s="1" t="str">
        <f t="shared" si="21"/>
        <v>Medium</v>
      </c>
    </row>
    <row r="301" spans="1:18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8"/>
        <v>7914.04</v>
      </c>
      <c r="P301" s="1" t="str">
        <f t="shared" si="19"/>
        <v>Low Price</v>
      </c>
      <c r="Q301" s="1" t="str">
        <f t="shared" si="20"/>
        <v>Medium</v>
      </c>
      <c r="R301" s="1" t="str">
        <f t="shared" si="21"/>
        <v>Low</v>
      </c>
    </row>
    <row r="302" spans="1:18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8"/>
        <v>6114.2999999999993</v>
      </c>
      <c r="P302" s="1" t="str">
        <f t="shared" si="19"/>
        <v>Low Price</v>
      </c>
      <c r="Q302" s="1" t="str">
        <f t="shared" si="20"/>
        <v>Low</v>
      </c>
      <c r="R302" s="1" t="str">
        <f t="shared" si="21"/>
        <v>Medium</v>
      </c>
    </row>
    <row r="303" spans="1:18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8"/>
        <v>8255.5499999999993</v>
      </c>
      <c r="P303" s="1" t="str">
        <f t="shared" si="19"/>
        <v>Low Price</v>
      </c>
      <c r="Q303" s="1" t="str">
        <f t="shared" si="20"/>
        <v>High</v>
      </c>
      <c r="R303" s="1" t="str">
        <f t="shared" si="21"/>
        <v>Medium</v>
      </c>
    </row>
    <row r="304" spans="1:18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8"/>
        <v>4088.16</v>
      </c>
      <c r="P304" s="1" t="str">
        <f t="shared" si="19"/>
        <v>Low Price</v>
      </c>
      <c r="Q304" s="1" t="str">
        <f t="shared" si="20"/>
        <v>High</v>
      </c>
      <c r="R304" s="1" t="str">
        <f t="shared" si="21"/>
        <v>Medium</v>
      </c>
    </row>
    <row r="305" spans="1:18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8"/>
        <v>3910.66</v>
      </c>
      <c r="P305" s="1" t="str">
        <f t="shared" si="19"/>
        <v>Low Price</v>
      </c>
      <c r="Q305" s="1" t="str">
        <f t="shared" si="20"/>
        <v>Medium</v>
      </c>
      <c r="R305" s="1" t="str">
        <f t="shared" si="21"/>
        <v>Low</v>
      </c>
    </row>
    <row r="306" spans="1:18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8"/>
        <v>1462.35</v>
      </c>
      <c r="P306" s="1" t="str">
        <f t="shared" si="19"/>
        <v>Low Price</v>
      </c>
      <c r="Q306" s="1" t="str">
        <f t="shared" si="20"/>
        <v>Medium</v>
      </c>
      <c r="R306" s="1" t="str">
        <f t="shared" si="21"/>
        <v>Low</v>
      </c>
    </row>
    <row r="307" spans="1:18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8"/>
        <v>3581.58</v>
      </c>
      <c r="P307" s="1" t="str">
        <f t="shared" si="19"/>
        <v>Low Price</v>
      </c>
      <c r="Q307" s="1" t="str">
        <f t="shared" si="20"/>
        <v>High</v>
      </c>
      <c r="R307" s="1" t="str">
        <f t="shared" si="21"/>
        <v>Low</v>
      </c>
    </row>
    <row r="308" spans="1:18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8"/>
        <v>9678.4</v>
      </c>
      <c r="P308" s="1" t="str">
        <f t="shared" si="19"/>
        <v>Low Price</v>
      </c>
      <c r="Q308" s="1" t="str">
        <f t="shared" si="20"/>
        <v>High</v>
      </c>
      <c r="R308" s="1" t="str">
        <f t="shared" si="21"/>
        <v>Medium</v>
      </c>
    </row>
    <row r="309" spans="1:18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8"/>
        <v>4146.33</v>
      </c>
      <c r="P309" s="1" t="str">
        <f t="shared" si="19"/>
        <v>Low Price</v>
      </c>
      <c r="Q309" s="1" t="str">
        <f t="shared" si="20"/>
        <v>High</v>
      </c>
      <c r="R309" s="1" t="str">
        <f t="shared" si="21"/>
        <v>Low</v>
      </c>
    </row>
    <row r="310" spans="1:18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8"/>
        <v>3968.76</v>
      </c>
      <c r="P310" s="1" t="str">
        <f t="shared" si="19"/>
        <v>Low Price</v>
      </c>
      <c r="Q310" s="1" t="str">
        <f t="shared" si="20"/>
        <v>High</v>
      </c>
      <c r="R310" s="1" t="str">
        <f t="shared" si="21"/>
        <v>Low</v>
      </c>
    </row>
    <row r="311" spans="1:18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8"/>
        <v>11003.76</v>
      </c>
      <c r="P311" s="1" t="str">
        <f t="shared" si="19"/>
        <v>Low Price</v>
      </c>
      <c r="Q311" s="1" t="str">
        <f t="shared" si="20"/>
        <v>High</v>
      </c>
      <c r="R311" s="1" t="str">
        <f t="shared" si="21"/>
        <v>Medium</v>
      </c>
    </row>
    <row r="312" spans="1:18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8"/>
        <v>6098.37</v>
      </c>
      <c r="P312" s="1" t="str">
        <f t="shared" si="19"/>
        <v>Low Price</v>
      </c>
      <c r="Q312" s="1" t="str">
        <f t="shared" si="20"/>
        <v>High</v>
      </c>
      <c r="R312" s="1" t="str">
        <f t="shared" si="21"/>
        <v>Low</v>
      </c>
    </row>
    <row r="313" spans="1:18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8"/>
        <v>2430.36</v>
      </c>
      <c r="P313" s="1" t="str">
        <f t="shared" si="19"/>
        <v>Low Price</v>
      </c>
      <c r="Q313" s="1" t="str">
        <f t="shared" si="20"/>
        <v>High</v>
      </c>
      <c r="R313" s="1" t="str">
        <f t="shared" si="21"/>
        <v>Low</v>
      </c>
    </row>
    <row r="314" spans="1:18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8"/>
        <v>4661.9400000000005</v>
      </c>
      <c r="P314" s="1" t="str">
        <f t="shared" si="19"/>
        <v>Low Price</v>
      </c>
      <c r="Q314" s="1" t="str">
        <f t="shared" si="20"/>
        <v>High</v>
      </c>
      <c r="R314" s="1" t="str">
        <f t="shared" si="21"/>
        <v>Low</v>
      </c>
    </row>
    <row r="315" spans="1:18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8"/>
        <v>23946</v>
      </c>
      <c r="P315" s="1" t="str">
        <f t="shared" si="19"/>
        <v>High Price</v>
      </c>
      <c r="Q315" s="1" t="str">
        <f t="shared" si="20"/>
        <v>High</v>
      </c>
      <c r="R315" s="1" t="str">
        <f t="shared" si="21"/>
        <v>Medium</v>
      </c>
    </row>
    <row r="316" spans="1:18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8"/>
        <v>16298.880000000001</v>
      </c>
      <c r="P316" s="1" t="str">
        <f t="shared" si="19"/>
        <v>High Price</v>
      </c>
      <c r="Q316" s="1" t="str">
        <f t="shared" si="20"/>
        <v>Low</v>
      </c>
      <c r="R316" s="1" t="str">
        <f t="shared" si="21"/>
        <v>Medium</v>
      </c>
    </row>
    <row r="317" spans="1:18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8"/>
        <v>1220.6199999999999</v>
      </c>
      <c r="P317" s="1" t="str">
        <f t="shared" si="19"/>
        <v>Low Price</v>
      </c>
      <c r="Q317" s="1" t="str">
        <f t="shared" si="20"/>
        <v>High</v>
      </c>
      <c r="R317" s="1" t="str">
        <f t="shared" si="21"/>
        <v>Low</v>
      </c>
    </row>
    <row r="318" spans="1:18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8"/>
        <v>14128.02</v>
      </c>
      <c r="P318" s="1" t="str">
        <f t="shared" si="19"/>
        <v>Low Price</v>
      </c>
      <c r="Q318" s="1" t="str">
        <f t="shared" si="20"/>
        <v>High</v>
      </c>
      <c r="R318" s="1" t="str">
        <f t="shared" si="21"/>
        <v>Medium</v>
      </c>
    </row>
    <row r="319" spans="1:18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8"/>
        <v>16228.85</v>
      </c>
      <c r="P319" s="1" t="str">
        <f t="shared" si="19"/>
        <v>High Price</v>
      </c>
      <c r="Q319" s="1" t="str">
        <f t="shared" si="20"/>
        <v>Low</v>
      </c>
      <c r="R319" s="1" t="str">
        <f t="shared" si="21"/>
        <v>Medium</v>
      </c>
    </row>
    <row r="320" spans="1:18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8"/>
        <v>5369.58</v>
      </c>
      <c r="P320" s="1" t="str">
        <f t="shared" si="19"/>
        <v>Low Price</v>
      </c>
      <c r="Q320" s="1" t="str">
        <f t="shared" si="20"/>
        <v>Low</v>
      </c>
      <c r="R320" s="1" t="str">
        <f t="shared" si="21"/>
        <v>Low</v>
      </c>
    </row>
    <row r="321" spans="1:18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8"/>
        <v>2743.75</v>
      </c>
      <c r="P321" s="1" t="str">
        <f t="shared" si="19"/>
        <v>Low Price</v>
      </c>
      <c r="Q321" s="1" t="str">
        <f t="shared" si="20"/>
        <v>High</v>
      </c>
      <c r="R321" s="1" t="str">
        <f t="shared" si="21"/>
        <v>Low</v>
      </c>
    </row>
    <row r="322" spans="1:18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8"/>
        <v>5335.96</v>
      </c>
      <c r="P322" s="1" t="str">
        <f t="shared" si="19"/>
        <v>Low Price</v>
      </c>
      <c r="Q322" s="1" t="str">
        <f t="shared" si="20"/>
        <v>Medium</v>
      </c>
      <c r="R322" s="1" t="str">
        <f t="shared" si="21"/>
        <v>Low</v>
      </c>
    </row>
    <row r="323" spans="1:18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22">L323*M323</f>
        <v>2044.41</v>
      </c>
      <c r="P323" s="1" t="str">
        <f t="shared" ref="P323:P373" si="23">IF(O323&gt;=15000, "High Price", "Low Price")</f>
        <v>Low Price</v>
      </c>
      <c r="Q323" s="1" t="str">
        <f t="shared" ref="Q323:Q373" si="24">_xlfn.IFS(N323&gt;=10, "High",N323&gt;=5,"Medium", N323&lt;5,"Low")</f>
        <v>Low</v>
      </c>
      <c r="R323" s="1" t="str">
        <f t="shared" si="21"/>
        <v>Low</v>
      </c>
    </row>
    <row r="324" spans="1:18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22"/>
        <v>28949.040000000001</v>
      </c>
      <c r="P324" s="1" t="str">
        <f t="shared" si="23"/>
        <v>High Price</v>
      </c>
      <c r="Q324" s="1" t="str">
        <f t="shared" si="24"/>
        <v>High</v>
      </c>
      <c r="R324" s="1" t="str">
        <f t="shared" si="21"/>
        <v>High</v>
      </c>
    </row>
    <row r="325" spans="1:18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22"/>
        <v>7141.6100000000006</v>
      </c>
      <c r="P325" s="1" t="str">
        <f t="shared" si="23"/>
        <v>Low Price</v>
      </c>
      <c r="Q325" s="1" t="str">
        <f t="shared" si="24"/>
        <v>High</v>
      </c>
      <c r="R325" s="1" t="str">
        <f t="shared" si="21"/>
        <v>Medium</v>
      </c>
    </row>
    <row r="326" spans="1:18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22"/>
        <v>6497.16</v>
      </c>
      <c r="P326" s="1" t="str">
        <f t="shared" si="23"/>
        <v>Low Price</v>
      </c>
      <c r="Q326" s="1" t="str">
        <f t="shared" si="24"/>
        <v>Medium</v>
      </c>
      <c r="R326" s="1" t="str">
        <f t="shared" ref="R326:R373" si="25">IF(L326&gt;8,"High",IF(L326&gt;4,"Medium","Low"))</f>
        <v>Low</v>
      </c>
    </row>
    <row r="327" spans="1:18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22"/>
        <v>10380.719999999999</v>
      </c>
      <c r="P327" s="1" t="str">
        <f t="shared" si="23"/>
        <v>Low Price</v>
      </c>
      <c r="Q327" s="1" t="str">
        <f t="shared" si="24"/>
        <v>Low</v>
      </c>
      <c r="R327" s="1" t="str">
        <f t="shared" si="25"/>
        <v>Medium</v>
      </c>
    </row>
    <row r="328" spans="1:18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22"/>
        <v>1219.7</v>
      </c>
      <c r="P328" s="1" t="str">
        <f t="shared" si="23"/>
        <v>Low Price</v>
      </c>
      <c r="Q328" s="1" t="str">
        <f t="shared" si="24"/>
        <v>Medium</v>
      </c>
      <c r="R328" s="1" t="str">
        <f t="shared" si="25"/>
        <v>Low</v>
      </c>
    </row>
    <row r="329" spans="1:18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22"/>
        <v>3354.81</v>
      </c>
      <c r="P329" s="1" t="str">
        <f t="shared" si="23"/>
        <v>Low Price</v>
      </c>
      <c r="Q329" s="1" t="str">
        <f t="shared" si="24"/>
        <v>Low</v>
      </c>
      <c r="R329" s="1" t="str">
        <f t="shared" si="25"/>
        <v>Low</v>
      </c>
    </row>
    <row r="330" spans="1:18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22"/>
        <v>31244.560000000001</v>
      </c>
      <c r="P330" s="1" t="str">
        <f t="shared" si="23"/>
        <v>High Price</v>
      </c>
      <c r="Q330" s="1" t="str">
        <f t="shared" si="24"/>
        <v>High</v>
      </c>
      <c r="R330" s="1" t="str">
        <f t="shared" si="25"/>
        <v>Medium</v>
      </c>
    </row>
    <row r="331" spans="1:18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22"/>
        <v>7729.86</v>
      </c>
      <c r="P331" s="1" t="str">
        <f t="shared" si="23"/>
        <v>Low Price</v>
      </c>
      <c r="Q331" s="1" t="str">
        <f t="shared" si="24"/>
        <v>High</v>
      </c>
      <c r="R331" s="1" t="str">
        <f t="shared" si="25"/>
        <v>Medium</v>
      </c>
    </row>
    <row r="332" spans="1:18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22"/>
        <v>33662.700000000004</v>
      </c>
      <c r="P332" s="1" t="str">
        <f t="shared" si="23"/>
        <v>High Price</v>
      </c>
      <c r="Q332" s="1" t="str">
        <f t="shared" si="24"/>
        <v>High</v>
      </c>
      <c r="R332" s="1" t="str">
        <f t="shared" si="25"/>
        <v>High</v>
      </c>
    </row>
    <row r="333" spans="1:18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22"/>
        <v>22091.31</v>
      </c>
      <c r="P333" s="1" t="str">
        <f t="shared" si="23"/>
        <v>High Price</v>
      </c>
      <c r="Q333" s="1" t="str">
        <f t="shared" si="24"/>
        <v>Medium</v>
      </c>
      <c r="R333" s="1" t="str">
        <f t="shared" si="25"/>
        <v>High</v>
      </c>
    </row>
    <row r="334" spans="1:18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22"/>
        <v>13484.22</v>
      </c>
      <c r="P334" s="1" t="str">
        <f t="shared" si="23"/>
        <v>Low Price</v>
      </c>
      <c r="Q334" s="1" t="str">
        <f t="shared" si="24"/>
        <v>High</v>
      </c>
      <c r="R334" s="1" t="str">
        <f t="shared" si="25"/>
        <v>Medium</v>
      </c>
    </row>
    <row r="335" spans="1:18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22"/>
        <v>3498.88</v>
      </c>
      <c r="P335" s="1" t="str">
        <f t="shared" si="23"/>
        <v>Low Price</v>
      </c>
      <c r="Q335" s="1" t="str">
        <f t="shared" si="24"/>
        <v>High</v>
      </c>
      <c r="R335" s="1" t="str">
        <f t="shared" si="25"/>
        <v>Medium</v>
      </c>
    </row>
    <row r="336" spans="1:18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22"/>
        <v>10934.34</v>
      </c>
      <c r="P336" s="1" t="str">
        <f t="shared" si="23"/>
        <v>Low Price</v>
      </c>
      <c r="Q336" s="1" t="str">
        <f t="shared" si="24"/>
        <v>Low</v>
      </c>
      <c r="R336" s="1" t="str">
        <f t="shared" si="25"/>
        <v>Low</v>
      </c>
    </row>
    <row r="337" spans="1:18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22"/>
        <v>11960.34</v>
      </c>
      <c r="P337" s="1" t="str">
        <f t="shared" si="23"/>
        <v>Low Price</v>
      </c>
      <c r="Q337" s="1" t="str">
        <f t="shared" si="24"/>
        <v>High</v>
      </c>
      <c r="R337" s="1" t="str">
        <f t="shared" si="25"/>
        <v>Low</v>
      </c>
    </row>
    <row r="338" spans="1:18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22"/>
        <v>15581.099999999999</v>
      </c>
      <c r="P338" s="1" t="str">
        <f t="shared" si="23"/>
        <v>High Price</v>
      </c>
      <c r="Q338" s="1" t="str">
        <f t="shared" si="24"/>
        <v>High</v>
      </c>
      <c r="R338" s="1" t="str">
        <f t="shared" si="25"/>
        <v>Medium</v>
      </c>
    </row>
    <row r="339" spans="1:18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22"/>
        <v>4345.8599999999997</v>
      </c>
      <c r="P339" s="1" t="str">
        <f t="shared" si="23"/>
        <v>Low Price</v>
      </c>
      <c r="Q339" s="1" t="str">
        <f t="shared" si="24"/>
        <v>High</v>
      </c>
      <c r="R339" s="1" t="str">
        <f t="shared" si="25"/>
        <v>Low</v>
      </c>
    </row>
    <row r="340" spans="1:18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22"/>
        <v>3775.07</v>
      </c>
      <c r="P340" s="1" t="str">
        <f t="shared" si="23"/>
        <v>Low Price</v>
      </c>
      <c r="Q340" s="1" t="str">
        <f t="shared" si="24"/>
        <v>High</v>
      </c>
      <c r="R340" s="1" t="str">
        <f t="shared" si="25"/>
        <v>Low</v>
      </c>
    </row>
    <row r="341" spans="1:18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22"/>
        <v>6568.2000000000007</v>
      </c>
      <c r="P341" s="1" t="str">
        <f t="shared" si="23"/>
        <v>Low Price</v>
      </c>
      <c r="Q341" s="1" t="str">
        <f t="shared" si="24"/>
        <v>High</v>
      </c>
      <c r="R341" s="1" t="str">
        <f t="shared" si="25"/>
        <v>Low</v>
      </c>
    </row>
    <row r="342" spans="1:18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22"/>
        <v>26727.3</v>
      </c>
      <c r="P342" s="1" t="str">
        <f t="shared" si="23"/>
        <v>High Price</v>
      </c>
      <c r="Q342" s="1" t="str">
        <f t="shared" si="24"/>
        <v>High</v>
      </c>
      <c r="R342" s="1" t="str">
        <f t="shared" si="25"/>
        <v>High</v>
      </c>
    </row>
    <row r="343" spans="1:18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22"/>
        <v>7808.88</v>
      </c>
      <c r="P343" s="1" t="str">
        <f t="shared" si="23"/>
        <v>Low Price</v>
      </c>
      <c r="Q343" s="1" t="str">
        <f t="shared" si="24"/>
        <v>High</v>
      </c>
      <c r="R343" s="1" t="str">
        <f t="shared" si="25"/>
        <v>Low</v>
      </c>
    </row>
    <row r="344" spans="1:18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22"/>
        <v>15484.84</v>
      </c>
      <c r="P344" s="1" t="str">
        <f t="shared" si="23"/>
        <v>High Price</v>
      </c>
      <c r="Q344" s="1" t="str">
        <f t="shared" si="24"/>
        <v>High</v>
      </c>
      <c r="R344" s="1" t="str">
        <f t="shared" si="25"/>
        <v>Low</v>
      </c>
    </row>
    <row r="345" spans="1:18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22"/>
        <v>17977.82</v>
      </c>
      <c r="P345" s="1" t="str">
        <f t="shared" si="23"/>
        <v>High Price</v>
      </c>
      <c r="Q345" s="1" t="str">
        <f t="shared" si="24"/>
        <v>High</v>
      </c>
      <c r="R345" s="1" t="str">
        <f t="shared" si="25"/>
        <v>Medium</v>
      </c>
    </row>
    <row r="346" spans="1:18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22"/>
        <v>1574.59</v>
      </c>
      <c r="P346" s="1" t="str">
        <f t="shared" si="23"/>
        <v>Low Price</v>
      </c>
      <c r="Q346" s="1" t="str">
        <f t="shared" si="24"/>
        <v>Medium</v>
      </c>
      <c r="R346" s="1" t="str">
        <f t="shared" si="25"/>
        <v>Low</v>
      </c>
    </row>
    <row r="347" spans="1:18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22"/>
        <v>28724.04</v>
      </c>
      <c r="P347" s="1" t="str">
        <f t="shared" si="23"/>
        <v>High Price</v>
      </c>
      <c r="Q347" s="1" t="str">
        <f t="shared" si="24"/>
        <v>High</v>
      </c>
      <c r="R347" s="1" t="str">
        <f t="shared" si="25"/>
        <v>High</v>
      </c>
    </row>
    <row r="348" spans="1:18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22"/>
        <v>2748.46</v>
      </c>
      <c r="P348" s="1" t="str">
        <f t="shared" si="23"/>
        <v>Low Price</v>
      </c>
      <c r="Q348" s="1" t="str">
        <f t="shared" si="24"/>
        <v>Low</v>
      </c>
      <c r="R348" s="1" t="str">
        <f t="shared" si="25"/>
        <v>Low</v>
      </c>
    </row>
    <row r="349" spans="1:18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22"/>
        <v>7403.3</v>
      </c>
      <c r="P349" s="1" t="str">
        <f t="shared" si="23"/>
        <v>Low Price</v>
      </c>
      <c r="Q349" s="1" t="str">
        <f t="shared" si="24"/>
        <v>Low</v>
      </c>
      <c r="R349" s="1" t="str">
        <f t="shared" si="25"/>
        <v>Medium</v>
      </c>
    </row>
    <row r="350" spans="1:18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22"/>
        <v>445.38</v>
      </c>
      <c r="P350" s="1" t="str">
        <f t="shared" si="23"/>
        <v>Low Price</v>
      </c>
      <c r="Q350" s="1" t="str">
        <f t="shared" si="24"/>
        <v>High</v>
      </c>
      <c r="R350" s="1" t="str">
        <f t="shared" si="25"/>
        <v>Low</v>
      </c>
    </row>
    <row r="351" spans="1:18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22"/>
        <v>10361.6</v>
      </c>
      <c r="P351" s="1" t="str">
        <f t="shared" si="23"/>
        <v>Low Price</v>
      </c>
      <c r="Q351" s="1" t="str">
        <f t="shared" si="24"/>
        <v>High</v>
      </c>
      <c r="R351" s="1" t="str">
        <f t="shared" si="25"/>
        <v>Medium</v>
      </c>
    </row>
    <row r="352" spans="1:18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22"/>
        <v>559.4</v>
      </c>
      <c r="P352" s="1" t="str">
        <f t="shared" si="23"/>
        <v>Low Price</v>
      </c>
      <c r="Q352" s="1" t="str">
        <f t="shared" si="24"/>
        <v>High</v>
      </c>
      <c r="R352" s="1" t="str">
        <f t="shared" si="25"/>
        <v>Low</v>
      </c>
    </row>
    <row r="353" spans="1:18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22"/>
        <v>2357.7600000000002</v>
      </c>
      <c r="P353" s="1" t="str">
        <f t="shared" si="23"/>
        <v>Low Price</v>
      </c>
      <c r="Q353" s="1" t="str">
        <f t="shared" si="24"/>
        <v>High</v>
      </c>
      <c r="R353" s="1" t="str">
        <f t="shared" si="25"/>
        <v>Low</v>
      </c>
    </row>
    <row r="354" spans="1:18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22"/>
        <v>22638.239999999998</v>
      </c>
      <c r="P354" s="1" t="str">
        <f t="shared" si="23"/>
        <v>High Price</v>
      </c>
      <c r="Q354" s="1" t="str">
        <f t="shared" si="24"/>
        <v>Low</v>
      </c>
      <c r="R354" s="1" t="str">
        <f t="shared" si="25"/>
        <v>Medium</v>
      </c>
    </row>
    <row r="355" spans="1:18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22"/>
        <v>17014.77</v>
      </c>
      <c r="P355" s="1" t="str">
        <f t="shared" si="23"/>
        <v>High Price</v>
      </c>
      <c r="Q355" s="1" t="str">
        <f t="shared" si="24"/>
        <v>High</v>
      </c>
      <c r="R355" s="1" t="str">
        <f t="shared" si="25"/>
        <v>High</v>
      </c>
    </row>
    <row r="356" spans="1:18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22"/>
        <v>1205.76</v>
      </c>
      <c r="P356" s="1" t="str">
        <f t="shared" si="23"/>
        <v>Low Price</v>
      </c>
      <c r="Q356" s="1" t="str">
        <f t="shared" si="24"/>
        <v>Medium</v>
      </c>
      <c r="R356" s="1" t="str">
        <f t="shared" si="25"/>
        <v>Medium</v>
      </c>
    </row>
    <row r="357" spans="1:18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22"/>
        <v>12616.25</v>
      </c>
      <c r="P357" s="1" t="str">
        <f t="shared" si="23"/>
        <v>Low Price</v>
      </c>
      <c r="Q357" s="1" t="str">
        <f t="shared" si="24"/>
        <v>High</v>
      </c>
      <c r="R357" s="1" t="str">
        <f t="shared" si="25"/>
        <v>Medium</v>
      </c>
    </row>
    <row r="358" spans="1:18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22"/>
        <v>5070</v>
      </c>
      <c r="P358" s="1" t="str">
        <f t="shared" si="23"/>
        <v>Low Price</v>
      </c>
      <c r="Q358" s="1" t="str">
        <f t="shared" si="24"/>
        <v>High</v>
      </c>
      <c r="R358" s="1" t="str">
        <f t="shared" si="25"/>
        <v>Medium</v>
      </c>
    </row>
    <row r="359" spans="1:18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22"/>
        <v>9284.08</v>
      </c>
      <c r="P359" s="1" t="str">
        <f t="shared" si="23"/>
        <v>Low Price</v>
      </c>
      <c r="Q359" s="1" t="str">
        <f t="shared" si="24"/>
        <v>Low</v>
      </c>
      <c r="R359" s="1" t="str">
        <f t="shared" si="25"/>
        <v>Medium</v>
      </c>
    </row>
    <row r="360" spans="1:18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22"/>
        <v>15205.679999999998</v>
      </c>
      <c r="P360" s="1" t="str">
        <f t="shared" si="23"/>
        <v>High Price</v>
      </c>
      <c r="Q360" s="1" t="str">
        <f t="shared" si="24"/>
        <v>High</v>
      </c>
      <c r="R360" s="1" t="str">
        <f t="shared" si="25"/>
        <v>Medium</v>
      </c>
    </row>
    <row r="361" spans="1:18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22"/>
        <v>2589.6799999999998</v>
      </c>
      <c r="P361" s="1" t="str">
        <f t="shared" si="23"/>
        <v>Low Price</v>
      </c>
      <c r="Q361" s="1" t="str">
        <f t="shared" si="24"/>
        <v>High</v>
      </c>
      <c r="R361" s="1" t="str">
        <f t="shared" si="25"/>
        <v>Low</v>
      </c>
    </row>
    <row r="362" spans="1:18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22"/>
        <v>6981.93</v>
      </c>
      <c r="P362" s="1" t="str">
        <f t="shared" si="23"/>
        <v>Low Price</v>
      </c>
      <c r="Q362" s="1" t="str">
        <f t="shared" si="24"/>
        <v>Low</v>
      </c>
      <c r="R362" s="1" t="str">
        <f t="shared" si="25"/>
        <v>High</v>
      </c>
    </row>
    <row r="363" spans="1:18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22"/>
        <v>11004.56</v>
      </c>
      <c r="P363" s="1" t="str">
        <f t="shared" si="23"/>
        <v>Low Price</v>
      </c>
      <c r="Q363" s="1" t="str">
        <f t="shared" si="24"/>
        <v>High</v>
      </c>
      <c r="R363" s="1" t="str">
        <f t="shared" si="25"/>
        <v>Low</v>
      </c>
    </row>
    <row r="364" spans="1:18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22"/>
        <v>20295.04</v>
      </c>
      <c r="P364" s="1" t="str">
        <f t="shared" si="23"/>
        <v>High Price</v>
      </c>
      <c r="Q364" s="1" t="str">
        <f t="shared" si="24"/>
        <v>Medium</v>
      </c>
      <c r="R364" s="1" t="str">
        <f t="shared" si="25"/>
        <v>Medium</v>
      </c>
    </row>
    <row r="365" spans="1:18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22"/>
        <v>19866.419999999998</v>
      </c>
      <c r="P365" s="1" t="str">
        <f t="shared" si="23"/>
        <v>High Price</v>
      </c>
      <c r="Q365" s="1" t="str">
        <f t="shared" si="24"/>
        <v>High</v>
      </c>
      <c r="R365" s="1" t="str">
        <f t="shared" si="25"/>
        <v>Medium</v>
      </c>
    </row>
    <row r="366" spans="1:18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22"/>
        <v>4887.1499999999996</v>
      </c>
      <c r="P366" s="1" t="str">
        <f t="shared" si="23"/>
        <v>Low Price</v>
      </c>
      <c r="Q366" s="1" t="str">
        <f t="shared" si="24"/>
        <v>High</v>
      </c>
      <c r="R366" s="1" t="str">
        <f t="shared" si="25"/>
        <v>Medium</v>
      </c>
    </row>
    <row r="367" spans="1:18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22"/>
        <v>10850.21</v>
      </c>
      <c r="P367" s="1" t="str">
        <f t="shared" si="23"/>
        <v>Low Price</v>
      </c>
      <c r="Q367" s="1" t="str">
        <f t="shared" si="24"/>
        <v>High</v>
      </c>
      <c r="R367" s="1" t="str">
        <f t="shared" si="25"/>
        <v>Medium</v>
      </c>
    </row>
    <row r="368" spans="1:18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22"/>
        <v>2647.9500000000003</v>
      </c>
      <c r="P368" s="1" t="str">
        <f t="shared" si="23"/>
        <v>Low Price</v>
      </c>
      <c r="Q368" s="1" t="str">
        <f t="shared" si="24"/>
        <v>Medium</v>
      </c>
      <c r="R368" s="1" t="str">
        <f t="shared" si="25"/>
        <v>Medium</v>
      </c>
    </row>
    <row r="369" spans="1:18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22"/>
        <v>4787.5200000000004</v>
      </c>
      <c r="P369" s="1" t="str">
        <f t="shared" si="23"/>
        <v>Low Price</v>
      </c>
      <c r="Q369" s="1" t="str">
        <f t="shared" si="24"/>
        <v>Low</v>
      </c>
      <c r="R369" s="1" t="str">
        <f t="shared" si="25"/>
        <v>Medium</v>
      </c>
    </row>
    <row r="370" spans="1:18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22"/>
        <v>6773.4600000000009</v>
      </c>
      <c r="P370" s="1" t="str">
        <f t="shared" si="23"/>
        <v>Low Price</v>
      </c>
      <c r="Q370" s="1" t="str">
        <f t="shared" si="24"/>
        <v>High</v>
      </c>
      <c r="R370" s="1" t="str">
        <f t="shared" si="25"/>
        <v>Medium</v>
      </c>
    </row>
    <row r="371" spans="1:18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22"/>
        <v>6437.75</v>
      </c>
      <c r="P371" s="1" t="str">
        <f t="shared" si="23"/>
        <v>Low Price</v>
      </c>
      <c r="Q371" s="1" t="str">
        <f t="shared" si="24"/>
        <v>Low</v>
      </c>
      <c r="R371" s="1" t="str">
        <f t="shared" si="25"/>
        <v>Medium</v>
      </c>
    </row>
    <row r="372" spans="1:18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22"/>
        <v>19713.509999999998</v>
      </c>
      <c r="P372" s="1" t="str">
        <f t="shared" si="23"/>
        <v>High Price</v>
      </c>
      <c r="Q372" s="1" t="str">
        <f t="shared" si="24"/>
        <v>High</v>
      </c>
      <c r="R372" s="1" t="str">
        <f t="shared" si="25"/>
        <v>High</v>
      </c>
    </row>
    <row r="373" spans="1:18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22"/>
        <v>2432.17</v>
      </c>
      <c r="P373" s="1" t="str">
        <f t="shared" si="23"/>
        <v>Low Price</v>
      </c>
      <c r="Q373" s="1" t="str">
        <f t="shared" si="24"/>
        <v>High</v>
      </c>
      <c r="R373" s="1" t="str">
        <f t="shared" si="25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2601-CB02-4DAC-A567-544AA157152D}">
  <dimension ref="A1:O373"/>
  <sheetViews>
    <sheetView workbookViewId="0">
      <selection activeCell="R4" sqref="A1:XFD1048576"/>
    </sheetView>
  </sheetViews>
  <sheetFormatPr defaultRowHeight="14.4" x14ac:dyDescent="0.3"/>
  <cols>
    <col min="1" max="2" width="10.33203125" bestFit="1" customWidth="1"/>
    <col min="15" max="15" width="11.109375" bestFit="1" customWidth="1"/>
  </cols>
  <sheetData>
    <row r="1" spans="1:1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5" x14ac:dyDescent="0.3">
      <c r="A2" s="5">
        <v>45197</v>
      </c>
      <c r="B2" s="5">
        <v>45203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>
        <v>7</v>
      </c>
      <c r="K2" s="1">
        <v>2843.87</v>
      </c>
      <c r="L2" s="1">
        <v>0</v>
      </c>
    </row>
    <row r="3" spans="1:15" x14ac:dyDescent="0.3">
      <c r="A3" s="2">
        <v>45199</v>
      </c>
      <c r="B3" s="2">
        <v>45203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>
        <v>9</v>
      </c>
      <c r="K3" s="1">
        <v>2525.23</v>
      </c>
      <c r="L3" s="1">
        <v>5</v>
      </c>
    </row>
    <row r="4" spans="1:15" x14ac:dyDescent="0.3">
      <c r="A4" s="2">
        <v>45109</v>
      </c>
      <c r="B4" s="2">
        <v>45114</v>
      </c>
      <c r="C4" s="1" t="s">
        <v>14</v>
      </c>
      <c r="D4" s="1" t="s">
        <v>28</v>
      </c>
      <c r="E4" s="1" t="s">
        <v>29</v>
      </c>
      <c r="F4" s="1" t="s">
        <v>24</v>
      </c>
      <c r="G4" s="1" t="s">
        <v>30</v>
      </c>
      <c r="H4" s="1" t="s">
        <v>31</v>
      </c>
      <c r="I4" s="1" t="s">
        <v>32</v>
      </c>
      <c r="J4" s="1">
        <v>6</v>
      </c>
      <c r="K4" s="1">
        <v>3474.34</v>
      </c>
      <c r="L4" s="1">
        <v>15</v>
      </c>
      <c r="N4" t="s">
        <v>12</v>
      </c>
      <c r="O4">
        <v>2000</v>
      </c>
    </row>
    <row r="5" spans="1:15" x14ac:dyDescent="0.3">
      <c r="A5" s="2">
        <v>45079</v>
      </c>
      <c r="B5" s="2">
        <v>45087</v>
      </c>
      <c r="C5" s="1" t="s">
        <v>33</v>
      </c>
      <c r="D5" s="1" t="s">
        <v>28</v>
      </c>
      <c r="E5" s="1" t="s">
        <v>23</v>
      </c>
      <c r="F5" s="1" t="s">
        <v>34</v>
      </c>
      <c r="G5" s="1" t="s">
        <v>25</v>
      </c>
      <c r="H5" s="1" t="s">
        <v>35</v>
      </c>
      <c r="I5" s="1" t="s">
        <v>20</v>
      </c>
      <c r="J5" s="1">
        <v>1</v>
      </c>
      <c r="K5" s="1">
        <v>1008.79</v>
      </c>
      <c r="L5" s="1">
        <v>15</v>
      </c>
      <c r="N5" t="s">
        <v>5</v>
      </c>
      <c r="O5" t="s">
        <v>15</v>
      </c>
    </row>
    <row r="6" spans="1:15" x14ac:dyDescent="0.3">
      <c r="A6" s="2">
        <v>45241</v>
      </c>
      <c r="B6" s="2">
        <v>45244</v>
      </c>
      <c r="C6" s="1" t="s">
        <v>36</v>
      </c>
      <c r="D6" s="1" t="s">
        <v>37</v>
      </c>
      <c r="E6" s="1" t="s">
        <v>29</v>
      </c>
      <c r="F6" s="1" t="s">
        <v>17</v>
      </c>
      <c r="G6" s="1" t="s">
        <v>30</v>
      </c>
      <c r="H6" s="1" t="s">
        <v>38</v>
      </c>
      <c r="I6" s="1" t="s">
        <v>20</v>
      </c>
      <c r="J6" s="1">
        <v>7</v>
      </c>
      <c r="K6" s="1">
        <v>3511.47</v>
      </c>
      <c r="L6" s="1">
        <v>20</v>
      </c>
    </row>
    <row r="7" spans="1:15" x14ac:dyDescent="0.3">
      <c r="A7" s="2">
        <v>45260</v>
      </c>
      <c r="B7" s="2">
        <v>45263</v>
      </c>
      <c r="C7" s="1" t="s">
        <v>39</v>
      </c>
      <c r="D7" s="1" t="s">
        <v>40</v>
      </c>
      <c r="E7" s="1" t="s">
        <v>23</v>
      </c>
      <c r="F7" s="1" t="s">
        <v>41</v>
      </c>
      <c r="G7" s="1" t="s">
        <v>18</v>
      </c>
      <c r="H7" s="1" t="s">
        <v>42</v>
      </c>
      <c r="I7" s="1" t="s">
        <v>32</v>
      </c>
      <c r="J7" s="1">
        <v>3</v>
      </c>
      <c r="K7" s="1">
        <v>3189.55</v>
      </c>
      <c r="L7" s="1">
        <v>10</v>
      </c>
    </row>
    <row r="8" spans="1:15" x14ac:dyDescent="0.3">
      <c r="A8" s="2">
        <v>45050</v>
      </c>
      <c r="B8" s="2">
        <v>45054</v>
      </c>
      <c r="C8" s="1" t="s">
        <v>33</v>
      </c>
      <c r="D8" s="1" t="s">
        <v>40</v>
      </c>
      <c r="E8" s="1" t="s">
        <v>16</v>
      </c>
      <c r="F8" s="1" t="s">
        <v>43</v>
      </c>
      <c r="G8" s="1" t="s">
        <v>30</v>
      </c>
      <c r="H8" s="1" t="s">
        <v>31</v>
      </c>
      <c r="I8" s="1" t="s">
        <v>44</v>
      </c>
      <c r="J8" s="1">
        <v>5</v>
      </c>
      <c r="K8" s="1">
        <v>3030.42</v>
      </c>
      <c r="L8" s="1">
        <v>10</v>
      </c>
    </row>
    <row r="9" spans="1:15" x14ac:dyDescent="0.3">
      <c r="A9" s="2">
        <v>45040</v>
      </c>
      <c r="B9" s="2">
        <v>45041</v>
      </c>
      <c r="C9" s="1" t="s">
        <v>45</v>
      </c>
      <c r="D9" s="1" t="s">
        <v>15</v>
      </c>
      <c r="E9" s="1" t="s">
        <v>23</v>
      </c>
      <c r="F9" s="1" t="s">
        <v>17</v>
      </c>
      <c r="G9" s="1" t="s">
        <v>30</v>
      </c>
      <c r="H9" s="1" t="s">
        <v>31</v>
      </c>
      <c r="I9" s="1" t="s">
        <v>46</v>
      </c>
      <c r="J9" s="1">
        <v>4</v>
      </c>
      <c r="K9" s="1">
        <v>2310.83</v>
      </c>
      <c r="L9" s="1">
        <v>10</v>
      </c>
    </row>
    <row r="10" spans="1:15" x14ac:dyDescent="0.3">
      <c r="A10" s="2">
        <v>45204</v>
      </c>
      <c r="B10" s="2">
        <v>45213</v>
      </c>
      <c r="C10" s="1" t="s">
        <v>14</v>
      </c>
      <c r="D10" s="1" t="s">
        <v>28</v>
      </c>
      <c r="E10" s="1" t="s">
        <v>23</v>
      </c>
      <c r="F10" s="1" t="s">
        <v>24</v>
      </c>
      <c r="G10" s="1" t="s">
        <v>30</v>
      </c>
      <c r="H10" s="1" t="s">
        <v>47</v>
      </c>
      <c r="I10" s="1" t="s">
        <v>27</v>
      </c>
      <c r="J10" s="1">
        <v>5</v>
      </c>
      <c r="K10" s="1">
        <v>1098.04</v>
      </c>
      <c r="L10" s="1">
        <v>15</v>
      </c>
    </row>
    <row r="11" spans="1:15" x14ac:dyDescent="0.3">
      <c r="A11" s="2">
        <v>45139</v>
      </c>
      <c r="B11" s="2">
        <v>45147</v>
      </c>
      <c r="C11" s="1" t="s">
        <v>33</v>
      </c>
      <c r="D11" s="1" t="s">
        <v>37</v>
      </c>
      <c r="E11" s="1" t="s">
        <v>23</v>
      </c>
      <c r="F11" s="1" t="s">
        <v>34</v>
      </c>
      <c r="G11" s="1" t="s">
        <v>48</v>
      </c>
      <c r="H11" s="1" t="s">
        <v>49</v>
      </c>
      <c r="I11" s="1" t="s">
        <v>46</v>
      </c>
      <c r="J11" s="1">
        <v>5</v>
      </c>
      <c r="K11" s="1">
        <v>1780.66</v>
      </c>
      <c r="L11" s="1">
        <v>20</v>
      </c>
    </row>
    <row r="12" spans="1:15" x14ac:dyDescent="0.3">
      <c r="A12" s="2">
        <v>45098</v>
      </c>
      <c r="B12" s="2">
        <v>45106</v>
      </c>
      <c r="C12" s="1" t="s">
        <v>33</v>
      </c>
      <c r="D12" s="1" t="s">
        <v>37</v>
      </c>
      <c r="E12" s="1" t="s">
        <v>16</v>
      </c>
      <c r="F12" s="1" t="s">
        <v>34</v>
      </c>
      <c r="G12" s="1" t="s">
        <v>48</v>
      </c>
      <c r="H12" s="1" t="s">
        <v>49</v>
      </c>
      <c r="I12" s="1" t="s">
        <v>32</v>
      </c>
      <c r="J12" s="1">
        <v>6</v>
      </c>
      <c r="K12" s="1">
        <v>3205.25</v>
      </c>
      <c r="L12" s="1">
        <v>0</v>
      </c>
    </row>
    <row r="13" spans="1:15" x14ac:dyDescent="0.3">
      <c r="A13" s="2">
        <v>45214</v>
      </c>
      <c r="B13" s="2">
        <v>45220</v>
      </c>
      <c r="C13" s="1" t="s">
        <v>45</v>
      </c>
      <c r="D13" s="1" t="s">
        <v>22</v>
      </c>
      <c r="E13" s="1" t="s">
        <v>23</v>
      </c>
      <c r="F13" s="1" t="s">
        <v>43</v>
      </c>
      <c r="G13" s="1" t="s">
        <v>48</v>
      </c>
      <c r="H13" s="1" t="s">
        <v>50</v>
      </c>
      <c r="I13" s="1" t="s">
        <v>20</v>
      </c>
      <c r="J13" s="1">
        <v>6</v>
      </c>
      <c r="K13" s="1">
        <v>272.35000000000002</v>
      </c>
      <c r="L13" s="1">
        <v>5</v>
      </c>
    </row>
    <row r="14" spans="1:15" x14ac:dyDescent="0.3">
      <c r="A14" s="2">
        <v>45100</v>
      </c>
      <c r="B14" s="2">
        <v>45107</v>
      </c>
      <c r="C14" s="1" t="s">
        <v>15</v>
      </c>
      <c r="D14" s="1" t="s">
        <v>22</v>
      </c>
      <c r="E14" s="1" t="s">
        <v>16</v>
      </c>
      <c r="F14" s="1" t="s">
        <v>34</v>
      </c>
      <c r="G14" s="1" t="s">
        <v>18</v>
      </c>
      <c r="H14" s="1" t="s">
        <v>42</v>
      </c>
      <c r="I14" s="1" t="s">
        <v>20</v>
      </c>
      <c r="J14" s="1">
        <v>8</v>
      </c>
      <c r="K14" s="1">
        <v>3160.9</v>
      </c>
      <c r="L14" s="1">
        <v>0</v>
      </c>
    </row>
    <row r="15" spans="1:15" x14ac:dyDescent="0.3">
      <c r="A15" s="2">
        <v>45039</v>
      </c>
      <c r="B15" s="2">
        <v>45045</v>
      </c>
      <c r="C15" s="1" t="s">
        <v>36</v>
      </c>
      <c r="D15" s="1" t="s">
        <v>37</v>
      </c>
      <c r="E15" s="1" t="s">
        <v>29</v>
      </c>
      <c r="F15" s="1" t="s">
        <v>34</v>
      </c>
      <c r="G15" s="1" t="s">
        <v>25</v>
      </c>
      <c r="H15" s="1" t="s">
        <v>35</v>
      </c>
      <c r="I15" s="1" t="s">
        <v>27</v>
      </c>
      <c r="J15" s="1">
        <v>8</v>
      </c>
      <c r="K15" s="1">
        <v>1074.27</v>
      </c>
      <c r="L15" s="1">
        <v>15</v>
      </c>
    </row>
    <row r="16" spans="1:15" x14ac:dyDescent="0.3">
      <c r="A16" s="2">
        <v>45048</v>
      </c>
      <c r="B16" s="2">
        <v>45057</v>
      </c>
      <c r="C16" s="1" t="s">
        <v>39</v>
      </c>
      <c r="D16" s="1" t="s">
        <v>22</v>
      </c>
      <c r="E16" s="1" t="s">
        <v>23</v>
      </c>
      <c r="F16" s="1" t="s">
        <v>17</v>
      </c>
      <c r="G16" s="1" t="s">
        <v>51</v>
      </c>
      <c r="H16" s="1" t="s">
        <v>52</v>
      </c>
      <c r="I16" s="1" t="s">
        <v>20</v>
      </c>
      <c r="J16" s="1">
        <v>9</v>
      </c>
      <c r="K16" s="1">
        <v>705.59</v>
      </c>
      <c r="L16" s="1">
        <v>10</v>
      </c>
    </row>
    <row r="17" spans="1:12" x14ac:dyDescent="0.3">
      <c r="A17" s="2">
        <v>44958</v>
      </c>
      <c r="B17" s="2">
        <v>44961</v>
      </c>
      <c r="C17" s="1" t="s">
        <v>21</v>
      </c>
      <c r="D17" s="1" t="s">
        <v>28</v>
      </c>
      <c r="E17" s="1" t="s">
        <v>16</v>
      </c>
      <c r="F17" s="1" t="s">
        <v>41</v>
      </c>
      <c r="G17" s="1" t="s">
        <v>30</v>
      </c>
      <c r="H17" s="1" t="s">
        <v>38</v>
      </c>
      <c r="I17" s="1" t="s">
        <v>20</v>
      </c>
      <c r="J17" s="1">
        <v>8</v>
      </c>
      <c r="K17" s="1">
        <v>595.45000000000005</v>
      </c>
      <c r="L17" s="1">
        <v>5</v>
      </c>
    </row>
    <row r="18" spans="1:12" x14ac:dyDescent="0.3">
      <c r="A18" s="2">
        <v>45148</v>
      </c>
      <c r="B18" s="2">
        <v>45151</v>
      </c>
      <c r="C18" s="1" t="s">
        <v>15</v>
      </c>
      <c r="D18" s="1" t="s">
        <v>53</v>
      </c>
      <c r="E18" s="1" t="s">
        <v>16</v>
      </c>
      <c r="F18" s="1" t="s">
        <v>43</v>
      </c>
      <c r="G18" s="1" t="s">
        <v>30</v>
      </c>
      <c r="H18" s="1" t="s">
        <v>38</v>
      </c>
      <c r="I18" s="1" t="s">
        <v>27</v>
      </c>
      <c r="J18" s="1">
        <v>2</v>
      </c>
      <c r="K18" s="1">
        <v>254.91</v>
      </c>
      <c r="L18" s="1">
        <v>15</v>
      </c>
    </row>
    <row r="19" spans="1:12" x14ac:dyDescent="0.3">
      <c r="A19" s="2">
        <v>45045</v>
      </c>
      <c r="B19" s="2">
        <v>45048</v>
      </c>
      <c r="C19" s="1" t="s">
        <v>14</v>
      </c>
      <c r="D19" s="1" t="s">
        <v>28</v>
      </c>
      <c r="E19" s="1" t="s">
        <v>23</v>
      </c>
      <c r="F19" s="1" t="s">
        <v>17</v>
      </c>
      <c r="G19" s="1" t="s">
        <v>18</v>
      </c>
      <c r="H19" s="1" t="s">
        <v>54</v>
      </c>
      <c r="I19" s="1" t="s">
        <v>27</v>
      </c>
      <c r="J19" s="1">
        <v>1</v>
      </c>
      <c r="K19" s="1">
        <v>2165.81</v>
      </c>
      <c r="L19" s="1">
        <v>15</v>
      </c>
    </row>
    <row r="20" spans="1:12" x14ac:dyDescent="0.3">
      <c r="A20" s="2">
        <v>44965</v>
      </c>
      <c r="B20" s="2">
        <v>44968</v>
      </c>
      <c r="C20" s="1" t="s">
        <v>33</v>
      </c>
      <c r="D20" s="1" t="s">
        <v>37</v>
      </c>
      <c r="E20" s="1" t="s">
        <v>29</v>
      </c>
      <c r="F20" s="1" t="s">
        <v>41</v>
      </c>
      <c r="G20" s="1" t="s">
        <v>30</v>
      </c>
      <c r="H20" s="1" t="s">
        <v>38</v>
      </c>
      <c r="I20" s="1" t="s">
        <v>32</v>
      </c>
      <c r="J20" s="1">
        <v>2</v>
      </c>
      <c r="K20" s="1">
        <v>990.3</v>
      </c>
      <c r="L20" s="1">
        <v>15</v>
      </c>
    </row>
    <row r="21" spans="1:12" x14ac:dyDescent="0.3">
      <c r="A21" s="2">
        <v>45194</v>
      </c>
      <c r="B21" s="2">
        <v>45203</v>
      </c>
      <c r="C21" s="1" t="s">
        <v>45</v>
      </c>
      <c r="D21" s="1" t="s">
        <v>37</v>
      </c>
      <c r="E21" s="1" t="s">
        <v>16</v>
      </c>
      <c r="F21" s="1" t="s">
        <v>17</v>
      </c>
      <c r="G21" s="1" t="s">
        <v>48</v>
      </c>
      <c r="H21" s="1" t="s">
        <v>50</v>
      </c>
      <c r="I21" s="1" t="s">
        <v>20</v>
      </c>
      <c r="J21" s="1">
        <v>2</v>
      </c>
      <c r="K21" s="1">
        <v>3959.31</v>
      </c>
      <c r="L21" s="1">
        <v>5</v>
      </c>
    </row>
    <row r="22" spans="1:12" x14ac:dyDescent="0.3">
      <c r="A22" s="2">
        <v>45159</v>
      </c>
      <c r="B22" s="2">
        <v>45163</v>
      </c>
      <c r="C22" s="1" t="s">
        <v>45</v>
      </c>
      <c r="D22" s="1" t="s">
        <v>28</v>
      </c>
      <c r="E22" s="1" t="s">
        <v>23</v>
      </c>
      <c r="F22" s="1" t="s">
        <v>17</v>
      </c>
      <c r="G22" s="1" t="s">
        <v>51</v>
      </c>
      <c r="H22" s="1" t="s">
        <v>55</v>
      </c>
      <c r="I22" s="1" t="s">
        <v>20</v>
      </c>
      <c r="J22" s="1">
        <v>3</v>
      </c>
      <c r="K22" s="1">
        <v>2361.58</v>
      </c>
      <c r="L22" s="1">
        <v>5</v>
      </c>
    </row>
    <row r="23" spans="1:12" x14ac:dyDescent="0.3">
      <c r="A23" s="2">
        <v>44944</v>
      </c>
      <c r="B23" s="2">
        <v>44951</v>
      </c>
      <c r="C23" s="1" t="s">
        <v>36</v>
      </c>
      <c r="D23" s="1" t="s">
        <v>22</v>
      </c>
      <c r="E23" s="1" t="s">
        <v>29</v>
      </c>
      <c r="F23" s="1" t="s">
        <v>34</v>
      </c>
      <c r="G23" s="1" t="s">
        <v>56</v>
      </c>
      <c r="H23" s="1" t="s">
        <v>57</v>
      </c>
      <c r="I23" s="1" t="s">
        <v>32</v>
      </c>
      <c r="J23" s="1">
        <v>7</v>
      </c>
      <c r="K23" s="1">
        <v>680.86</v>
      </c>
      <c r="L23" s="1">
        <v>20</v>
      </c>
    </row>
    <row r="24" spans="1:12" x14ac:dyDescent="0.3">
      <c r="A24" s="2">
        <v>45075</v>
      </c>
      <c r="B24" s="2">
        <v>45084</v>
      </c>
      <c r="C24" s="1" t="s">
        <v>15</v>
      </c>
      <c r="D24" s="1" t="s">
        <v>22</v>
      </c>
      <c r="E24" s="1" t="s">
        <v>16</v>
      </c>
      <c r="F24" s="1" t="s">
        <v>41</v>
      </c>
      <c r="G24" s="1" t="s">
        <v>30</v>
      </c>
      <c r="H24" s="1" t="s">
        <v>31</v>
      </c>
      <c r="I24" s="1" t="s">
        <v>44</v>
      </c>
      <c r="J24" s="1">
        <v>2</v>
      </c>
      <c r="K24" s="1">
        <v>2801.74</v>
      </c>
      <c r="L24" s="1">
        <v>20</v>
      </c>
    </row>
    <row r="25" spans="1:12" x14ac:dyDescent="0.3">
      <c r="A25" s="2">
        <v>45075</v>
      </c>
      <c r="B25" s="2">
        <v>45082</v>
      </c>
      <c r="C25" s="1" t="s">
        <v>21</v>
      </c>
      <c r="D25" s="1" t="s">
        <v>40</v>
      </c>
      <c r="E25" s="1" t="s">
        <v>16</v>
      </c>
      <c r="F25" s="1" t="s">
        <v>43</v>
      </c>
      <c r="G25" s="1" t="s">
        <v>48</v>
      </c>
      <c r="H25" s="1" t="s">
        <v>50</v>
      </c>
      <c r="I25" s="1" t="s">
        <v>44</v>
      </c>
      <c r="J25" s="1">
        <v>1</v>
      </c>
      <c r="K25" s="1">
        <v>3606.31</v>
      </c>
      <c r="L25" s="1">
        <v>0</v>
      </c>
    </row>
    <row r="26" spans="1:12" x14ac:dyDescent="0.3">
      <c r="A26" s="2">
        <v>45052</v>
      </c>
      <c r="B26" s="2">
        <v>45061</v>
      </c>
      <c r="C26" s="1" t="s">
        <v>36</v>
      </c>
      <c r="D26" s="1" t="s">
        <v>37</v>
      </c>
      <c r="E26" s="1" t="s">
        <v>29</v>
      </c>
      <c r="F26" s="1" t="s">
        <v>43</v>
      </c>
      <c r="G26" s="1" t="s">
        <v>56</v>
      </c>
      <c r="H26" s="1" t="s">
        <v>58</v>
      </c>
      <c r="I26" s="1" t="s">
        <v>44</v>
      </c>
      <c r="J26" s="1">
        <v>6</v>
      </c>
      <c r="K26" s="1">
        <v>3018.94</v>
      </c>
      <c r="L26" s="1">
        <v>5</v>
      </c>
    </row>
    <row r="27" spans="1:12" x14ac:dyDescent="0.3">
      <c r="A27" s="2">
        <v>45228</v>
      </c>
      <c r="B27" s="2">
        <v>45231</v>
      </c>
      <c r="C27" s="1" t="s">
        <v>33</v>
      </c>
      <c r="D27" s="1" t="s">
        <v>15</v>
      </c>
      <c r="E27" s="1" t="s">
        <v>29</v>
      </c>
      <c r="F27" s="1" t="s">
        <v>41</v>
      </c>
      <c r="G27" s="1" t="s">
        <v>51</v>
      </c>
      <c r="H27" s="1" t="s">
        <v>59</v>
      </c>
      <c r="I27" s="1" t="s">
        <v>32</v>
      </c>
      <c r="J27" s="1">
        <v>9</v>
      </c>
      <c r="K27" s="1">
        <v>444.29</v>
      </c>
      <c r="L27" s="1">
        <v>5</v>
      </c>
    </row>
    <row r="28" spans="1:12" x14ac:dyDescent="0.3">
      <c r="A28" s="2">
        <v>45286</v>
      </c>
      <c r="B28" s="2">
        <v>45290</v>
      </c>
      <c r="C28" s="1" t="s">
        <v>36</v>
      </c>
      <c r="D28" s="1" t="s">
        <v>40</v>
      </c>
      <c r="E28" s="1" t="s">
        <v>23</v>
      </c>
      <c r="F28" s="1" t="s">
        <v>34</v>
      </c>
      <c r="G28" s="1" t="s">
        <v>56</v>
      </c>
      <c r="H28" s="1" t="s">
        <v>57</v>
      </c>
      <c r="I28" s="1" t="s">
        <v>20</v>
      </c>
      <c r="J28" s="1">
        <v>3</v>
      </c>
      <c r="K28" s="1">
        <v>3599.15</v>
      </c>
      <c r="L28" s="1">
        <v>5</v>
      </c>
    </row>
    <row r="29" spans="1:12" x14ac:dyDescent="0.3">
      <c r="A29" s="2">
        <v>45164</v>
      </c>
      <c r="B29" s="2">
        <v>45172</v>
      </c>
      <c r="C29" s="1" t="s">
        <v>39</v>
      </c>
      <c r="D29" s="1" t="s">
        <v>22</v>
      </c>
      <c r="E29" s="1" t="s">
        <v>23</v>
      </c>
      <c r="F29" s="1" t="s">
        <v>24</v>
      </c>
      <c r="G29" s="1" t="s">
        <v>48</v>
      </c>
      <c r="H29" s="1" t="s">
        <v>50</v>
      </c>
      <c r="I29" s="1" t="s">
        <v>32</v>
      </c>
      <c r="J29" s="1">
        <v>6</v>
      </c>
      <c r="K29" s="1">
        <v>3206.63</v>
      </c>
      <c r="L29" s="1">
        <v>20</v>
      </c>
    </row>
    <row r="30" spans="1:12" x14ac:dyDescent="0.3">
      <c r="A30" s="2">
        <v>45061</v>
      </c>
      <c r="B30" s="2">
        <v>45067</v>
      </c>
      <c r="C30" s="1" t="s">
        <v>45</v>
      </c>
      <c r="D30" s="1" t="s">
        <v>28</v>
      </c>
      <c r="E30" s="1" t="s">
        <v>16</v>
      </c>
      <c r="F30" s="1" t="s">
        <v>17</v>
      </c>
      <c r="G30" s="1" t="s">
        <v>25</v>
      </c>
      <c r="H30" s="1" t="s">
        <v>26</v>
      </c>
      <c r="I30" s="1" t="s">
        <v>32</v>
      </c>
      <c r="J30" s="1">
        <v>3</v>
      </c>
      <c r="K30" s="1">
        <v>759.47</v>
      </c>
      <c r="L30" s="1">
        <v>15</v>
      </c>
    </row>
    <row r="31" spans="1:12" x14ac:dyDescent="0.3">
      <c r="A31" s="2">
        <v>45077</v>
      </c>
      <c r="B31" s="2">
        <v>45082</v>
      </c>
      <c r="C31" s="1" t="s">
        <v>45</v>
      </c>
      <c r="D31" s="1" t="s">
        <v>22</v>
      </c>
      <c r="E31" s="1" t="s">
        <v>29</v>
      </c>
      <c r="F31" s="1" t="s">
        <v>34</v>
      </c>
      <c r="G31" s="1" t="s">
        <v>25</v>
      </c>
      <c r="H31" s="1" t="s">
        <v>60</v>
      </c>
      <c r="I31" s="1" t="s">
        <v>44</v>
      </c>
      <c r="J31" s="1">
        <v>1</v>
      </c>
      <c r="K31" s="1">
        <v>349.38</v>
      </c>
      <c r="L31" s="1">
        <v>10</v>
      </c>
    </row>
    <row r="32" spans="1:12" x14ac:dyDescent="0.3">
      <c r="A32" s="2">
        <v>45162</v>
      </c>
      <c r="B32" s="2">
        <v>45166</v>
      </c>
      <c r="C32" s="1" t="s">
        <v>14</v>
      </c>
      <c r="D32" s="1" t="s">
        <v>28</v>
      </c>
      <c r="E32" s="1" t="s">
        <v>29</v>
      </c>
      <c r="F32" s="1" t="s">
        <v>41</v>
      </c>
      <c r="G32" s="1" t="s">
        <v>56</v>
      </c>
      <c r="H32" s="1" t="s">
        <v>61</v>
      </c>
      <c r="I32" s="1" t="s">
        <v>46</v>
      </c>
      <c r="J32" s="1">
        <v>5</v>
      </c>
      <c r="K32" s="1">
        <v>2295.65</v>
      </c>
      <c r="L32" s="1">
        <v>20</v>
      </c>
    </row>
    <row r="33" spans="1:12" x14ac:dyDescent="0.3">
      <c r="A33" s="2">
        <v>45150</v>
      </c>
      <c r="B33" s="2">
        <v>45158</v>
      </c>
      <c r="C33" s="1" t="s">
        <v>14</v>
      </c>
      <c r="D33" s="1" t="s">
        <v>40</v>
      </c>
      <c r="E33" s="1" t="s">
        <v>29</v>
      </c>
      <c r="F33" s="1" t="s">
        <v>17</v>
      </c>
      <c r="G33" s="1" t="s">
        <v>18</v>
      </c>
      <c r="H33" s="1" t="s">
        <v>42</v>
      </c>
      <c r="I33" s="1" t="s">
        <v>20</v>
      </c>
      <c r="J33" s="1">
        <v>4</v>
      </c>
      <c r="K33" s="1">
        <v>750.74</v>
      </c>
      <c r="L33" s="1">
        <v>5</v>
      </c>
    </row>
    <row r="34" spans="1:12" x14ac:dyDescent="0.3">
      <c r="A34" s="2">
        <v>45129</v>
      </c>
      <c r="B34" s="2">
        <v>45130</v>
      </c>
      <c r="C34" s="1" t="s">
        <v>21</v>
      </c>
      <c r="D34" s="1" t="s">
        <v>37</v>
      </c>
      <c r="E34" s="1" t="s">
        <v>16</v>
      </c>
      <c r="F34" s="1" t="s">
        <v>43</v>
      </c>
      <c r="G34" s="1" t="s">
        <v>56</v>
      </c>
      <c r="H34" s="1" t="s">
        <v>58</v>
      </c>
      <c r="I34" s="1" t="s">
        <v>44</v>
      </c>
      <c r="J34" s="1">
        <v>7</v>
      </c>
      <c r="K34" s="1">
        <v>3363.18</v>
      </c>
      <c r="L34" s="1">
        <v>20</v>
      </c>
    </row>
    <row r="35" spans="1:12" x14ac:dyDescent="0.3">
      <c r="A35" s="2">
        <v>45182</v>
      </c>
      <c r="B35" s="2">
        <v>45191</v>
      </c>
      <c r="C35" s="1" t="s">
        <v>33</v>
      </c>
      <c r="D35" s="1" t="s">
        <v>22</v>
      </c>
      <c r="E35" s="1" t="s">
        <v>29</v>
      </c>
      <c r="F35" s="1" t="s">
        <v>24</v>
      </c>
      <c r="G35" s="1" t="s">
        <v>30</v>
      </c>
      <c r="H35" s="1" t="s">
        <v>47</v>
      </c>
      <c r="I35" s="1" t="s">
        <v>46</v>
      </c>
      <c r="J35" s="1">
        <v>6</v>
      </c>
      <c r="K35" s="1">
        <v>1529.59</v>
      </c>
      <c r="L35" s="1">
        <v>0</v>
      </c>
    </row>
    <row r="36" spans="1:12" x14ac:dyDescent="0.3">
      <c r="A36" s="2">
        <v>45012</v>
      </c>
      <c r="B36" s="2">
        <v>45013</v>
      </c>
      <c r="C36" s="1" t="s">
        <v>39</v>
      </c>
      <c r="D36" s="1" t="s">
        <v>28</v>
      </c>
      <c r="E36" s="1" t="s">
        <v>29</v>
      </c>
      <c r="F36" s="1" t="s">
        <v>43</v>
      </c>
      <c r="G36" s="1" t="s">
        <v>30</v>
      </c>
      <c r="H36" s="1" t="s">
        <v>47</v>
      </c>
      <c r="I36" s="1" t="s">
        <v>46</v>
      </c>
      <c r="J36" s="1">
        <v>7</v>
      </c>
      <c r="K36" s="1">
        <v>3664.64</v>
      </c>
      <c r="L36" s="1">
        <v>5</v>
      </c>
    </row>
    <row r="37" spans="1:12" x14ac:dyDescent="0.3">
      <c r="A37" s="2">
        <v>45076</v>
      </c>
      <c r="B37" s="2">
        <v>45084</v>
      </c>
      <c r="C37" s="1" t="s">
        <v>15</v>
      </c>
      <c r="D37" s="1" t="s">
        <v>37</v>
      </c>
      <c r="E37" s="1" t="s">
        <v>16</v>
      </c>
      <c r="F37" s="1" t="s">
        <v>41</v>
      </c>
      <c r="G37" s="1" t="s">
        <v>25</v>
      </c>
      <c r="H37" s="1" t="s">
        <v>26</v>
      </c>
      <c r="I37" s="1" t="s">
        <v>27</v>
      </c>
      <c r="J37" s="1">
        <v>5</v>
      </c>
      <c r="K37" s="1">
        <v>2327.9</v>
      </c>
      <c r="L37" s="1">
        <v>0</v>
      </c>
    </row>
    <row r="38" spans="1:12" x14ac:dyDescent="0.3">
      <c r="A38" s="2">
        <v>45161</v>
      </c>
      <c r="B38" s="2">
        <v>45165</v>
      </c>
      <c r="C38" s="1" t="s">
        <v>36</v>
      </c>
      <c r="D38" s="1" t="s">
        <v>15</v>
      </c>
      <c r="E38" s="1" t="s">
        <v>23</v>
      </c>
      <c r="F38" s="1" t="s">
        <v>17</v>
      </c>
      <c r="G38" s="1" t="s">
        <v>18</v>
      </c>
      <c r="H38" s="1" t="s">
        <v>54</v>
      </c>
      <c r="I38" s="1" t="s">
        <v>20</v>
      </c>
      <c r="J38" s="1">
        <v>4</v>
      </c>
      <c r="K38" s="1">
        <v>853.29</v>
      </c>
      <c r="L38" s="1">
        <v>5</v>
      </c>
    </row>
    <row r="39" spans="1:12" x14ac:dyDescent="0.3">
      <c r="A39" s="2">
        <v>45271</v>
      </c>
      <c r="B39" s="2">
        <v>45280</v>
      </c>
      <c r="C39" s="1" t="s">
        <v>21</v>
      </c>
      <c r="D39" s="1" t="s">
        <v>28</v>
      </c>
      <c r="E39" s="1" t="s">
        <v>23</v>
      </c>
      <c r="F39" s="1" t="s">
        <v>41</v>
      </c>
      <c r="G39" s="1" t="s">
        <v>48</v>
      </c>
      <c r="H39" s="1" t="s">
        <v>62</v>
      </c>
      <c r="I39" s="1" t="s">
        <v>46</v>
      </c>
      <c r="J39" s="1">
        <v>7</v>
      </c>
      <c r="K39" s="1">
        <v>687.46</v>
      </c>
      <c r="L39" s="1">
        <v>20</v>
      </c>
    </row>
    <row r="40" spans="1:12" x14ac:dyDescent="0.3">
      <c r="A40" s="2">
        <v>44948</v>
      </c>
      <c r="B40" s="2">
        <v>44953</v>
      </c>
      <c r="C40" s="1" t="s">
        <v>33</v>
      </c>
      <c r="D40" s="1" t="s">
        <v>40</v>
      </c>
      <c r="E40" s="1" t="s">
        <v>16</v>
      </c>
      <c r="F40" s="1" t="s">
        <v>17</v>
      </c>
      <c r="G40" s="1" t="s">
        <v>30</v>
      </c>
      <c r="H40" s="1" t="s">
        <v>47</v>
      </c>
      <c r="I40" s="1" t="s">
        <v>44</v>
      </c>
      <c r="J40" s="1">
        <v>7</v>
      </c>
      <c r="K40" s="1">
        <v>2369.42</v>
      </c>
      <c r="L40" s="1">
        <v>15</v>
      </c>
    </row>
    <row r="41" spans="1:12" x14ac:dyDescent="0.3">
      <c r="A41" s="2">
        <v>45274</v>
      </c>
      <c r="B41" s="2">
        <v>45277</v>
      </c>
      <c r="C41" s="1" t="s">
        <v>14</v>
      </c>
      <c r="D41" s="1" t="s">
        <v>15</v>
      </c>
      <c r="E41" s="1" t="s">
        <v>29</v>
      </c>
      <c r="F41" s="1" t="s">
        <v>34</v>
      </c>
      <c r="G41" s="1" t="s">
        <v>25</v>
      </c>
      <c r="H41" s="1" t="s">
        <v>26</v>
      </c>
      <c r="I41" s="1" t="s">
        <v>27</v>
      </c>
      <c r="J41" s="1">
        <v>6</v>
      </c>
      <c r="K41" s="1">
        <v>3083.25</v>
      </c>
      <c r="L41" s="1">
        <v>10</v>
      </c>
    </row>
    <row r="42" spans="1:12" x14ac:dyDescent="0.3">
      <c r="A42" s="2">
        <v>45211</v>
      </c>
      <c r="B42" s="2">
        <v>45220</v>
      </c>
      <c r="C42" s="1" t="s">
        <v>36</v>
      </c>
      <c r="D42" s="1" t="s">
        <v>15</v>
      </c>
      <c r="E42" s="1" t="s">
        <v>16</v>
      </c>
      <c r="F42" s="1" t="s">
        <v>24</v>
      </c>
      <c r="G42" s="1" t="s">
        <v>51</v>
      </c>
      <c r="H42" s="1" t="s">
        <v>63</v>
      </c>
      <c r="I42" s="1" t="s">
        <v>20</v>
      </c>
      <c r="J42" s="1">
        <v>8</v>
      </c>
      <c r="K42" s="1">
        <v>3158.8</v>
      </c>
      <c r="L42" s="1">
        <v>0</v>
      </c>
    </row>
    <row r="43" spans="1:12" x14ac:dyDescent="0.3">
      <c r="A43" s="2">
        <v>45195</v>
      </c>
      <c r="B43" s="2">
        <v>45204</v>
      </c>
      <c r="C43" s="1" t="s">
        <v>14</v>
      </c>
      <c r="D43" s="1" t="s">
        <v>53</v>
      </c>
      <c r="E43" s="1" t="s">
        <v>23</v>
      </c>
      <c r="F43" s="1" t="s">
        <v>34</v>
      </c>
      <c r="G43" s="1" t="s">
        <v>25</v>
      </c>
      <c r="H43" s="1" t="s">
        <v>26</v>
      </c>
      <c r="I43" s="1" t="s">
        <v>32</v>
      </c>
      <c r="J43" s="1">
        <v>4</v>
      </c>
      <c r="K43" s="1">
        <v>1211.67</v>
      </c>
      <c r="L43" s="1">
        <v>20</v>
      </c>
    </row>
    <row r="44" spans="1:12" x14ac:dyDescent="0.3">
      <c r="A44" s="2">
        <v>45184</v>
      </c>
      <c r="B44" s="2">
        <v>45188</v>
      </c>
      <c r="C44" s="1" t="s">
        <v>36</v>
      </c>
      <c r="D44" s="1" t="s">
        <v>22</v>
      </c>
      <c r="E44" s="1" t="s">
        <v>23</v>
      </c>
      <c r="F44" s="1" t="s">
        <v>34</v>
      </c>
      <c r="G44" s="1" t="s">
        <v>30</v>
      </c>
      <c r="H44" s="1" t="s">
        <v>47</v>
      </c>
      <c r="I44" s="1" t="s">
        <v>44</v>
      </c>
      <c r="J44" s="1">
        <v>5</v>
      </c>
      <c r="K44" s="1">
        <v>936.35</v>
      </c>
      <c r="L44" s="1">
        <v>15</v>
      </c>
    </row>
    <row r="45" spans="1:12" x14ac:dyDescent="0.3">
      <c r="A45" s="2">
        <v>44955</v>
      </c>
      <c r="B45" s="2">
        <v>44959</v>
      </c>
      <c r="C45" s="1" t="s">
        <v>15</v>
      </c>
      <c r="D45" s="1" t="s">
        <v>28</v>
      </c>
      <c r="E45" s="1" t="s">
        <v>16</v>
      </c>
      <c r="F45" s="1" t="s">
        <v>41</v>
      </c>
      <c r="G45" s="1" t="s">
        <v>30</v>
      </c>
      <c r="H45" s="1" t="s">
        <v>47</v>
      </c>
      <c r="I45" s="1" t="s">
        <v>46</v>
      </c>
      <c r="J45" s="1">
        <v>4</v>
      </c>
      <c r="K45" s="1">
        <v>214.51</v>
      </c>
      <c r="L45" s="1">
        <v>20</v>
      </c>
    </row>
    <row r="46" spans="1:12" x14ac:dyDescent="0.3">
      <c r="A46" s="2">
        <v>45139</v>
      </c>
      <c r="B46" s="2">
        <v>45147</v>
      </c>
      <c r="C46" s="1" t="s">
        <v>33</v>
      </c>
      <c r="D46" s="1" t="s">
        <v>15</v>
      </c>
      <c r="E46" s="1" t="s">
        <v>16</v>
      </c>
      <c r="F46" s="1" t="s">
        <v>24</v>
      </c>
      <c r="G46" s="1" t="s">
        <v>25</v>
      </c>
      <c r="H46" s="1" t="s">
        <v>60</v>
      </c>
      <c r="I46" s="1" t="s">
        <v>46</v>
      </c>
      <c r="J46" s="1">
        <v>1</v>
      </c>
      <c r="K46" s="1">
        <v>2764.92</v>
      </c>
      <c r="L46" s="1">
        <v>0</v>
      </c>
    </row>
    <row r="47" spans="1:12" x14ac:dyDescent="0.3">
      <c r="A47" s="2">
        <v>45209</v>
      </c>
      <c r="B47" s="2">
        <v>45211</v>
      </c>
      <c r="C47" s="1" t="s">
        <v>36</v>
      </c>
      <c r="D47" s="1" t="s">
        <v>53</v>
      </c>
      <c r="E47" s="1" t="s">
        <v>23</v>
      </c>
      <c r="F47" s="1" t="s">
        <v>17</v>
      </c>
      <c r="G47" s="1" t="s">
        <v>48</v>
      </c>
      <c r="H47" s="1" t="s">
        <v>50</v>
      </c>
      <c r="I47" s="1" t="s">
        <v>44</v>
      </c>
      <c r="J47" s="1">
        <v>8</v>
      </c>
      <c r="K47" s="1">
        <v>444.79</v>
      </c>
      <c r="L47" s="1">
        <v>10</v>
      </c>
    </row>
    <row r="48" spans="1:12" x14ac:dyDescent="0.3">
      <c r="A48" s="2">
        <v>44976</v>
      </c>
      <c r="B48" s="2">
        <v>44985</v>
      </c>
      <c r="C48" s="1" t="s">
        <v>39</v>
      </c>
      <c r="D48" s="1" t="s">
        <v>40</v>
      </c>
      <c r="E48" s="1" t="s">
        <v>16</v>
      </c>
      <c r="F48" s="1" t="s">
        <v>17</v>
      </c>
      <c r="G48" s="1" t="s">
        <v>56</v>
      </c>
      <c r="H48" s="1" t="s">
        <v>61</v>
      </c>
      <c r="I48" s="1" t="s">
        <v>46</v>
      </c>
      <c r="J48" s="1">
        <v>1</v>
      </c>
      <c r="K48" s="1">
        <v>1769.93</v>
      </c>
      <c r="L48" s="1">
        <v>20</v>
      </c>
    </row>
    <row r="49" spans="1:12" x14ac:dyDescent="0.3">
      <c r="A49" s="2">
        <v>45021</v>
      </c>
      <c r="B49" s="2">
        <v>45027</v>
      </c>
      <c r="C49" s="1" t="s">
        <v>21</v>
      </c>
      <c r="D49" s="1" t="s">
        <v>37</v>
      </c>
      <c r="E49" s="1" t="s">
        <v>23</v>
      </c>
      <c r="F49" s="1" t="s">
        <v>43</v>
      </c>
      <c r="G49" s="1" t="s">
        <v>30</v>
      </c>
      <c r="H49" s="1" t="s">
        <v>64</v>
      </c>
      <c r="I49" s="1" t="s">
        <v>27</v>
      </c>
      <c r="J49" s="1">
        <v>5</v>
      </c>
      <c r="K49" s="1">
        <v>2466.48</v>
      </c>
      <c r="L49" s="1">
        <v>5</v>
      </c>
    </row>
    <row r="50" spans="1:12" x14ac:dyDescent="0.3">
      <c r="A50" s="2">
        <v>45014</v>
      </c>
      <c r="B50" s="2">
        <v>45023</v>
      </c>
      <c r="C50" s="1" t="s">
        <v>45</v>
      </c>
      <c r="D50" s="1" t="s">
        <v>28</v>
      </c>
      <c r="E50" s="1" t="s">
        <v>16</v>
      </c>
      <c r="F50" s="1" t="s">
        <v>17</v>
      </c>
      <c r="G50" s="1" t="s">
        <v>25</v>
      </c>
      <c r="H50" s="1" t="s">
        <v>26</v>
      </c>
      <c r="I50" s="1" t="s">
        <v>20</v>
      </c>
      <c r="J50" s="1">
        <v>6</v>
      </c>
      <c r="K50" s="1">
        <v>3757.87</v>
      </c>
      <c r="L50" s="1">
        <v>15</v>
      </c>
    </row>
    <row r="51" spans="1:12" x14ac:dyDescent="0.3">
      <c r="A51" s="2">
        <v>44970</v>
      </c>
      <c r="B51" s="2">
        <v>44978</v>
      </c>
      <c r="C51" s="1" t="s">
        <v>39</v>
      </c>
      <c r="D51" s="1" t="s">
        <v>15</v>
      </c>
      <c r="E51" s="1" t="s">
        <v>16</v>
      </c>
      <c r="F51" s="1" t="s">
        <v>41</v>
      </c>
      <c r="G51" s="1" t="s">
        <v>25</v>
      </c>
      <c r="H51" s="1" t="s">
        <v>60</v>
      </c>
      <c r="I51" s="1" t="s">
        <v>27</v>
      </c>
      <c r="J51" s="1">
        <v>6</v>
      </c>
      <c r="K51" s="1">
        <v>1350.44</v>
      </c>
      <c r="L51" s="1">
        <v>20</v>
      </c>
    </row>
    <row r="52" spans="1:12" x14ac:dyDescent="0.3">
      <c r="A52" s="2">
        <v>45097</v>
      </c>
      <c r="B52" s="2">
        <v>45098</v>
      </c>
      <c r="C52" s="1" t="s">
        <v>21</v>
      </c>
      <c r="D52" s="1" t="s">
        <v>53</v>
      </c>
      <c r="E52" s="1" t="s">
        <v>23</v>
      </c>
      <c r="F52" s="1" t="s">
        <v>34</v>
      </c>
      <c r="G52" s="1" t="s">
        <v>56</v>
      </c>
      <c r="H52" s="1" t="s">
        <v>61</v>
      </c>
      <c r="I52" s="1" t="s">
        <v>32</v>
      </c>
      <c r="J52" s="1">
        <v>3</v>
      </c>
      <c r="K52" s="1">
        <v>2668.52</v>
      </c>
      <c r="L52" s="1">
        <v>5</v>
      </c>
    </row>
    <row r="53" spans="1:12" x14ac:dyDescent="0.3">
      <c r="A53" s="2">
        <v>45115</v>
      </c>
      <c r="B53" s="2">
        <v>45118</v>
      </c>
      <c r="C53" s="1" t="s">
        <v>45</v>
      </c>
      <c r="D53" s="1" t="s">
        <v>15</v>
      </c>
      <c r="E53" s="1" t="s">
        <v>16</v>
      </c>
      <c r="F53" s="1" t="s">
        <v>34</v>
      </c>
      <c r="G53" s="1" t="s">
        <v>51</v>
      </c>
      <c r="H53" s="1" t="s">
        <v>63</v>
      </c>
      <c r="I53" s="1" t="s">
        <v>20</v>
      </c>
      <c r="J53" s="1">
        <v>5</v>
      </c>
      <c r="K53" s="1">
        <v>2534.0700000000002</v>
      </c>
      <c r="L53" s="1">
        <v>10</v>
      </c>
    </row>
    <row r="54" spans="1:12" x14ac:dyDescent="0.3">
      <c r="A54" s="2">
        <v>45279</v>
      </c>
      <c r="B54" s="2">
        <v>45281</v>
      </c>
      <c r="C54" s="1" t="s">
        <v>39</v>
      </c>
      <c r="D54" s="1" t="s">
        <v>22</v>
      </c>
      <c r="E54" s="1" t="s">
        <v>23</v>
      </c>
      <c r="F54" s="1" t="s">
        <v>24</v>
      </c>
      <c r="G54" s="1" t="s">
        <v>48</v>
      </c>
      <c r="H54" s="1" t="s">
        <v>49</v>
      </c>
      <c r="I54" s="1" t="s">
        <v>20</v>
      </c>
      <c r="J54" s="1">
        <v>8</v>
      </c>
      <c r="K54" s="1">
        <v>1428.62</v>
      </c>
      <c r="L54" s="1">
        <v>10</v>
      </c>
    </row>
    <row r="55" spans="1:12" x14ac:dyDescent="0.3">
      <c r="A55" s="2">
        <v>45110</v>
      </c>
      <c r="B55" s="2">
        <v>45115</v>
      </c>
      <c r="C55" s="1" t="s">
        <v>36</v>
      </c>
      <c r="D55" s="1" t="s">
        <v>15</v>
      </c>
      <c r="E55" s="1" t="s">
        <v>23</v>
      </c>
      <c r="F55" s="1" t="s">
        <v>17</v>
      </c>
      <c r="G55" s="1" t="s">
        <v>51</v>
      </c>
      <c r="H55" s="1" t="s">
        <v>63</v>
      </c>
      <c r="I55" s="1" t="s">
        <v>44</v>
      </c>
      <c r="J55" s="1">
        <v>2</v>
      </c>
      <c r="K55" s="1">
        <v>3723.19</v>
      </c>
      <c r="L55" s="1">
        <v>5</v>
      </c>
    </row>
    <row r="56" spans="1:12" x14ac:dyDescent="0.3">
      <c r="A56" s="2">
        <v>44929</v>
      </c>
      <c r="B56" s="2">
        <v>44934</v>
      </c>
      <c r="C56" s="1" t="s">
        <v>36</v>
      </c>
      <c r="D56" s="1" t="s">
        <v>28</v>
      </c>
      <c r="E56" s="1" t="s">
        <v>16</v>
      </c>
      <c r="F56" s="1" t="s">
        <v>41</v>
      </c>
      <c r="G56" s="1" t="s">
        <v>56</v>
      </c>
      <c r="H56" s="1" t="s">
        <v>61</v>
      </c>
      <c r="I56" s="1" t="s">
        <v>44</v>
      </c>
      <c r="J56" s="1">
        <v>6</v>
      </c>
      <c r="K56" s="1">
        <v>3402.72</v>
      </c>
      <c r="L56" s="1">
        <v>15</v>
      </c>
    </row>
    <row r="57" spans="1:12" x14ac:dyDescent="0.3">
      <c r="A57" s="2">
        <v>45117</v>
      </c>
      <c r="B57" s="2">
        <v>45122</v>
      </c>
      <c r="C57" s="1" t="s">
        <v>36</v>
      </c>
      <c r="D57" s="1" t="s">
        <v>28</v>
      </c>
      <c r="E57" s="1" t="s">
        <v>16</v>
      </c>
      <c r="F57" s="1" t="s">
        <v>24</v>
      </c>
      <c r="G57" s="1" t="s">
        <v>56</v>
      </c>
      <c r="H57" s="1" t="s">
        <v>57</v>
      </c>
      <c r="I57" s="1" t="s">
        <v>32</v>
      </c>
      <c r="J57" s="1">
        <v>9</v>
      </c>
      <c r="K57" s="1">
        <v>1012.33</v>
      </c>
      <c r="L57" s="1">
        <v>20</v>
      </c>
    </row>
    <row r="58" spans="1:12" x14ac:dyDescent="0.3">
      <c r="A58" s="2">
        <v>44945</v>
      </c>
      <c r="B58" s="2">
        <v>44950</v>
      </c>
      <c r="C58" s="1" t="s">
        <v>39</v>
      </c>
      <c r="D58" s="1" t="s">
        <v>40</v>
      </c>
      <c r="E58" s="1" t="s">
        <v>23</v>
      </c>
      <c r="F58" s="1" t="s">
        <v>41</v>
      </c>
      <c r="G58" s="1" t="s">
        <v>51</v>
      </c>
      <c r="H58" s="1" t="s">
        <v>63</v>
      </c>
      <c r="I58" s="1" t="s">
        <v>32</v>
      </c>
      <c r="J58" s="1">
        <v>8</v>
      </c>
      <c r="K58" s="1">
        <v>2122.36</v>
      </c>
      <c r="L58" s="1">
        <v>0</v>
      </c>
    </row>
    <row r="59" spans="1:12" x14ac:dyDescent="0.3">
      <c r="A59" s="2">
        <v>44949</v>
      </c>
      <c r="B59" s="2">
        <v>44952</v>
      </c>
      <c r="C59" s="1" t="s">
        <v>45</v>
      </c>
      <c r="D59" s="1" t="s">
        <v>40</v>
      </c>
      <c r="E59" s="1" t="s">
        <v>29</v>
      </c>
      <c r="F59" s="1" t="s">
        <v>41</v>
      </c>
      <c r="G59" s="1" t="s">
        <v>56</v>
      </c>
      <c r="H59" s="1" t="s">
        <v>61</v>
      </c>
      <c r="I59" s="1" t="s">
        <v>44</v>
      </c>
      <c r="J59" s="1">
        <v>8</v>
      </c>
      <c r="K59" s="1">
        <v>3128.25</v>
      </c>
      <c r="L59" s="1">
        <v>15</v>
      </c>
    </row>
    <row r="60" spans="1:12" x14ac:dyDescent="0.3">
      <c r="A60" s="2">
        <v>44956</v>
      </c>
      <c r="B60" s="2">
        <v>44957</v>
      </c>
      <c r="C60" s="1" t="s">
        <v>36</v>
      </c>
      <c r="D60" s="1" t="s">
        <v>53</v>
      </c>
      <c r="E60" s="1" t="s">
        <v>23</v>
      </c>
      <c r="F60" s="1" t="s">
        <v>41</v>
      </c>
      <c r="G60" s="1" t="s">
        <v>25</v>
      </c>
      <c r="H60" s="1" t="s">
        <v>35</v>
      </c>
      <c r="I60" s="1" t="s">
        <v>44</v>
      </c>
      <c r="J60" s="1">
        <v>7</v>
      </c>
      <c r="K60" s="1">
        <v>319.56</v>
      </c>
      <c r="L60" s="1">
        <v>10</v>
      </c>
    </row>
    <row r="61" spans="1:12" x14ac:dyDescent="0.3">
      <c r="A61" s="2">
        <v>45034</v>
      </c>
      <c r="B61" s="2">
        <v>45043</v>
      </c>
      <c r="C61" s="1" t="s">
        <v>39</v>
      </c>
      <c r="D61" s="1" t="s">
        <v>22</v>
      </c>
      <c r="E61" s="1" t="s">
        <v>29</v>
      </c>
      <c r="F61" s="1" t="s">
        <v>41</v>
      </c>
      <c r="G61" s="1" t="s">
        <v>56</v>
      </c>
      <c r="H61" s="1" t="s">
        <v>61</v>
      </c>
      <c r="I61" s="1" t="s">
        <v>27</v>
      </c>
      <c r="J61" s="1">
        <v>6</v>
      </c>
      <c r="K61" s="1">
        <v>2645.71</v>
      </c>
      <c r="L61" s="1">
        <v>10</v>
      </c>
    </row>
    <row r="62" spans="1:12" x14ac:dyDescent="0.3">
      <c r="A62" s="2">
        <v>45207</v>
      </c>
      <c r="B62" s="2">
        <v>45216</v>
      </c>
      <c r="C62" s="1" t="s">
        <v>39</v>
      </c>
      <c r="D62" s="1" t="s">
        <v>15</v>
      </c>
      <c r="E62" s="1" t="s">
        <v>29</v>
      </c>
      <c r="F62" s="1" t="s">
        <v>17</v>
      </c>
      <c r="G62" s="1" t="s">
        <v>25</v>
      </c>
      <c r="H62" s="1" t="s">
        <v>35</v>
      </c>
      <c r="I62" s="1" t="s">
        <v>46</v>
      </c>
      <c r="J62" s="1">
        <v>2</v>
      </c>
      <c r="K62" s="1">
        <v>1041.2</v>
      </c>
      <c r="L62" s="1">
        <v>15</v>
      </c>
    </row>
    <row r="63" spans="1:12" x14ac:dyDescent="0.3">
      <c r="A63" s="2">
        <v>45054</v>
      </c>
      <c r="B63" s="2">
        <v>45058</v>
      </c>
      <c r="C63" s="1" t="s">
        <v>14</v>
      </c>
      <c r="D63" s="1" t="s">
        <v>37</v>
      </c>
      <c r="E63" s="1" t="s">
        <v>16</v>
      </c>
      <c r="F63" s="1" t="s">
        <v>41</v>
      </c>
      <c r="G63" s="1" t="s">
        <v>18</v>
      </c>
      <c r="H63" s="1" t="s">
        <v>42</v>
      </c>
      <c r="I63" s="1" t="s">
        <v>44</v>
      </c>
      <c r="J63" s="1">
        <v>2</v>
      </c>
      <c r="K63" s="1">
        <v>2773.21</v>
      </c>
      <c r="L63" s="1">
        <v>10</v>
      </c>
    </row>
    <row r="64" spans="1:12" x14ac:dyDescent="0.3">
      <c r="A64" s="2">
        <v>45155</v>
      </c>
      <c r="B64" s="2">
        <v>45158</v>
      </c>
      <c r="C64" s="1" t="s">
        <v>14</v>
      </c>
      <c r="D64" s="1" t="s">
        <v>22</v>
      </c>
      <c r="E64" s="1" t="s">
        <v>16</v>
      </c>
      <c r="F64" s="1" t="s">
        <v>34</v>
      </c>
      <c r="G64" s="1" t="s">
        <v>56</v>
      </c>
      <c r="H64" s="1" t="s">
        <v>66</v>
      </c>
      <c r="I64" s="1" t="s">
        <v>44</v>
      </c>
      <c r="J64" s="1">
        <v>8</v>
      </c>
      <c r="K64" s="1">
        <v>3769.71</v>
      </c>
      <c r="L64" s="1">
        <v>5</v>
      </c>
    </row>
    <row r="65" spans="1:12" x14ac:dyDescent="0.3">
      <c r="A65" s="2">
        <v>45037</v>
      </c>
      <c r="B65" s="2">
        <v>45038</v>
      </c>
      <c r="C65" s="1" t="s">
        <v>15</v>
      </c>
      <c r="D65" s="1" t="s">
        <v>40</v>
      </c>
      <c r="E65" s="1" t="s">
        <v>23</v>
      </c>
      <c r="F65" s="1" t="s">
        <v>41</v>
      </c>
      <c r="G65" s="1" t="s">
        <v>51</v>
      </c>
      <c r="H65" s="1" t="s">
        <v>63</v>
      </c>
      <c r="I65" s="1" t="s">
        <v>27</v>
      </c>
      <c r="J65" s="1">
        <v>1</v>
      </c>
      <c r="K65" s="1">
        <v>330.13</v>
      </c>
      <c r="L65" s="1">
        <v>15</v>
      </c>
    </row>
    <row r="66" spans="1:12" x14ac:dyDescent="0.3">
      <c r="A66" s="2">
        <v>45062</v>
      </c>
      <c r="B66" s="2">
        <v>45064</v>
      </c>
      <c r="C66" s="1" t="s">
        <v>33</v>
      </c>
      <c r="D66" s="1" t="s">
        <v>40</v>
      </c>
      <c r="E66" s="1" t="s">
        <v>29</v>
      </c>
      <c r="F66" s="1" t="s">
        <v>43</v>
      </c>
      <c r="G66" s="1" t="s">
        <v>30</v>
      </c>
      <c r="H66" s="1" t="s">
        <v>47</v>
      </c>
      <c r="I66" s="1" t="s">
        <v>27</v>
      </c>
      <c r="J66" s="1">
        <v>6</v>
      </c>
      <c r="K66" s="1">
        <v>1380.66</v>
      </c>
      <c r="L66" s="1">
        <v>0</v>
      </c>
    </row>
    <row r="67" spans="1:12" x14ac:dyDescent="0.3">
      <c r="A67" s="2">
        <v>45288</v>
      </c>
      <c r="B67" s="2">
        <v>45296</v>
      </c>
      <c r="C67" s="1" t="s">
        <v>14</v>
      </c>
      <c r="D67" s="1" t="s">
        <v>22</v>
      </c>
      <c r="E67" s="1" t="s">
        <v>16</v>
      </c>
      <c r="F67" s="1" t="s">
        <v>43</v>
      </c>
      <c r="G67" s="1" t="s">
        <v>56</v>
      </c>
      <c r="H67" s="1" t="s">
        <v>61</v>
      </c>
      <c r="I67" s="1" t="s">
        <v>32</v>
      </c>
      <c r="J67" s="1">
        <v>6</v>
      </c>
      <c r="K67" s="1">
        <v>1836.98</v>
      </c>
      <c r="L67" s="1">
        <v>5</v>
      </c>
    </row>
    <row r="68" spans="1:12" x14ac:dyDescent="0.3">
      <c r="A68" s="2">
        <v>45112</v>
      </c>
      <c r="B68" s="2">
        <v>45113</v>
      </c>
      <c r="C68" s="1" t="s">
        <v>45</v>
      </c>
      <c r="D68" s="1" t="s">
        <v>40</v>
      </c>
      <c r="E68" s="1" t="s">
        <v>16</v>
      </c>
      <c r="F68" s="1" t="s">
        <v>34</v>
      </c>
      <c r="G68" s="1" t="s">
        <v>30</v>
      </c>
      <c r="H68" s="1" t="s">
        <v>38</v>
      </c>
      <c r="I68" s="1" t="s">
        <v>32</v>
      </c>
      <c r="J68" s="1">
        <v>4</v>
      </c>
      <c r="K68" s="1">
        <v>3612.15</v>
      </c>
      <c r="L68" s="1">
        <v>20</v>
      </c>
    </row>
    <row r="69" spans="1:12" x14ac:dyDescent="0.3">
      <c r="A69" s="2">
        <v>45070</v>
      </c>
      <c r="B69" s="2">
        <v>45078</v>
      </c>
      <c r="C69" s="1" t="s">
        <v>14</v>
      </c>
      <c r="D69" s="1" t="s">
        <v>28</v>
      </c>
      <c r="E69" s="1" t="s">
        <v>16</v>
      </c>
      <c r="F69" s="1" t="s">
        <v>17</v>
      </c>
      <c r="G69" s="1" t="s">
        <v>25</v>
      </c>
      <c r="H69" s="1" t="s">
        <v>60</v>
      </c>
      <c r="I69" s="1" t="s">
        <v>46</v>
      </c>
      <c r="J69" s="1">
        <v>3</v>
      </c>
      <c r="K69" s="1">
        <v>3854.71</v>
      </c>
      <c r="L69" s="1">
        <v>5</v>
      </c>
    </row>
    <row r="70" spans="1:12" x14ac:dyDescent="0.3">
      <c r="A70" s="2">
        <v>44998</v>
      </c>
      <c r="B70" s="2">
        <v>45005</v>
      </c>
      <c r="C70" s="1" t="s">
        <v>15</v>
      </c>
      <c r="D70" s="1" t="s">
        <v>53</v>
      </c>
      <c r="E70" s="1" t="s">
        <v>16</v>
      </c>
      <c r="F70" s="1" t="s">
        <v>17</v>
      </c>
      <c r="G70" s="1" t="s">
        <v>18</v>
      </c>
      <c r="H70" s="1" t="s">
        <v>54</v>
      </c>
      <c r="I70" s="1" t="s">
        <v>46</v>
      </c>
      <c r="J70" s="1">
        <v>3</v>
      </c>
      <c r="K70" s="1">
        <v>1859.84</v>
      </c>
      <c r="L70" s="1">
        <v>15</v>
      </c>
    </row>
    <row r="71" spans="1:12" x14ac:dyDescent="0.3">
      <c r="A71" s="2">
        <v>45055</v>
      </c>
      <c r="B71" s="2">
        <v>45063</v>
      </c>
      <c r="C71" s="1" t="s">
        <v>39</v>
      </c>
      <c r="D71" s="1" t="s">
        <v>15</v>
      </c>
      <c r="E71" s="1" t="s">
        <v>16</v>
      </c>
      <c r="F71" s="1" t="s">
        <v>24</v>
      </c>
      <c r="G71" s="1" t="s">
        <v>48</v>
      </c>
      <c r="H71" s="1" t="s">
        <v>67</v>
      </c>
      <c r="I71" s="1" t="s">
        <v>20</v>
      </c>
      <c r="J71" s="1">
        <v>1</v>
      </c>
      <c r="K71" s="1">
        <v>3037.61</v>
      </c>
      <c r="L71" s="1">
        <v>5</v>
      </c>
    </row>
    <row r="72" spans="1:12" x14ac:dyDescent="0.3">
      <c r="A72" s="2">
        <v>45290</v>
      </c>
      <c r="B72" s="2">
        <v>45296</v>
      </c>
      <c r="C72" s="1" t="s">
        <v>15</v>
      </c>
      <c r="D72" s="1" t="s">
        <v>53</v>
      </c>
      <c r="E72" s="1" t="s">
        <v>29</v>
      </c>
      <c r="F72" s="1" t="s">
        <v>34</v>
      </c>
      <c r="G72" s="1" t="s">
        <v>18</v>
      </c>
      <c r="H72" s="1" t="s">
        <v>42</v>
      </c>
      <c r="I72" s="1" t="s">
        <v>32</v>
      </c>
      <c r="J72" s="1">
        <v>3</v>
      </c>
      <c r="K72" s="1">
        <v>2196.89</v>
      </c>
      <c r="L72" s="1">
        <v>0</v>
      </c>
    </row>
    <row r="73" spans="1:12" x14ac:dyDescent="0.3">
      <c r="A73" s="2">
        <v>45187</v>
      </c>
      <c r="B73" s="2">
        <v>45196</v>
      </c>
      <c r="C73" s="1" t="s">
        <v>39</v>
      </c>
      <c r="D73" s="1" t="s">
        <v>15</v>
      </c>
      <c r="E73" s="1" t="s">
        <v>29</v>
      </c>
      <c r="F73" s="1" t="s">
        <v>41</v>
      </c>
      <c r="G73" s="1" t="s">
        <v>56</v>
      </c>
      <c r="H73" s="1" t="s">
        <v>57</v>
      </c>
      <c r="I73" s="1" t="s">
        <v>44</v>
      </c>
      <c r="J73" s="1">
        <v>4</v>
      </c>
      <c r="K73" s="1">
        <v>2220.46</v>
      </c>
      <c r="L73" s="1">
        <v>0</v>
      </c>
    </row>
    <row r="74" spans="1:12" x14ac:dyDescent="0.3">
      <c r="A74" s="2">
        <v>44929</v>
      </c>
      <c r="B74" s="2">
        <v>44932</v>
      </c>
      <c r="C74" s="1" t="s">
        <v>21</v>
      </c>
      <c r="D74" s="1" t="s">
        <v>15</v>
      </c>
      <c r="E74" s="1" t="s">
        <v>29</v>
      </c>
      <c r="F74" s="1" t="s">
        <v>34</v>
      </c>
      <c r="G74" s="1" t="s">
        <v>30</v>
      </c>
      <c r="H74" s="1" t="s">
        <v>38</v>
      </c>
      <c r="I74" s="1" t="s">
        <v>32</v>
      </c>
      <c r="J74" s="1">
        <v>5</v>
      </c>
      <c r="K74" s="1">
        <v>1220.68</v>
      </c>
      <c r="L74" s="1">
        <v>20</v>
      </c>
    </row>
    <row r="75" spans="1:12" x14ac:dyDescent="0.3">
      <c r="A75" s="2">
        <v>45030</v>
      </c>
      <c r="B75" s="2">
        <v>45034</v>
      </c>
      <c r="C75" s="1" t="s">
        <v>21</v>
      </c>
      <c r="D75" s="1" t="s">
        <v>53</v>
      </c>
      <c r="E75" s="1" t="s">
        <v>29</v>
      </c>
      <c r="F75" s="1" t="s">
        <v>24</v>
      </c>
      <c r="G75" s="1" t="s">
        <v>30</v>
      </c>
      <c r="H75" s="1" t="s">
        <v>31</v>
      </c>
      <c r="I75" s="1" t="s">
        <v>44</v>
      </c>
      <c r="J75" s="1">
        <v>3</v>
      </c>
      <c r="K75" s="1">
        <v>985.28</v>
      </c>
      <c r="L75" s="1">
        <v>10</v>
      </c>
    </row>
    <row r="76" spans="1:12" x14ac:dyDescent="0.3">
      <c r="A76" s="2">
        <v>45246</v>
      </c>
      <c r="B76" s="2">
        <v>45254</v>
      </c>
      <c r="C76" s="1" t="s">
        <v>33</v>
      </c>
      <c r="D76" s="1" t="s">
        <v>15</v>
      </c>
      <c r="E76" s="1" t="s">
        <v>29</v>
      </c>
      <c r="F76" s="1" t="s">
        <v>34</v>
      </c>
      <c r="G76" s="1" t="s">
        <v>30</v>
      </c>
      <c r="H76" s="1" t="s">
        <v>31</v>
      </c>
      <c r="I76" s="1" t="s">
        <v>32</v>
      </c>
      <c r="J76" s="1">
        <v>5</v>
      </c>
      <c r="K76" s="1">
        <v>2291.86</v>
      </c>
      <c r="L76" s="1">
        <v>15</v>
      </c>
    </row>
    <row r="77" spans="1:12" x14ac:dyDescent="0.3">
      <c r="A77" s="2">
        <v>45288</v>
      </c>
      <c r="B77" s="2">
        <v>45293</v>
      </c>
      <c r="C77" s="1" t="s">
        <v>14</v>
      </c>
      <c r="D77" s="1" t="s">
        <v>53</v>
      </c>
      <c r="E77" s="1" t="s">
        <v>16</v>
      </c>
      <c r="F77" s="1" t="s">
        <v>24</v>
      </c>
      <c r="G77" s="1" t="s">
        <v>51</v>
      </c>
      <c r="H77" s="1" t="s">
        <v>55</v>
      </c>
      <c r="I77" s="1" t="s">
        <v>27</v>
      </c>
      <c r="J77" s="1">
        <v>3</v>
      </c>
      <c r="K77" s="1">
        <v>262.25</v>
      </c>
      <c r="L77" s="1">
        <v>10</v>
      </c>
    </row>
    <row r="78" spans="1:12" x14ac:dyDescent="0.3">
      <c r="A78" s="2">
        <v>45280</v>
      </c>
      <c r="B78" s="2">
        <v>45283</v>
      </c>
      <c r="C78" s="1" t="s">
        <v>45</v>
      </c>
      <c r="D78" s="1" t="s">
        <v>15</v>
      </c>
      <c r="E78" s="1" t="s">
        <v>29</v>
      </c>
      <c r="F78" s="1" t="s">
        <v>17</v>
      </c>
      <c r="G78" s="1" t="s">
        <v>25</v>
      </c>
      <c r="H78" s="1" t="s">
        <v>26</v>
      </c>
      <c r="I78" s="1" t="s">
        <v>46</v>
      </c>
      <c r="J78" s="1">
        <v>6</v>
      </c>
      <c r="K78" s="1">
        <v>3642.91</v>
      </c>
      <c r="L78" s="1">
        <v>0</v>
      </c>
    </row>
    <row r="79" spans="1:12" x14ac:dyDescent="0.3">
      <c r="A79" s="2">
        <v>44936</v>
      </c>
      <c r="B79" s="2">
        <v>44942</v>
      </c>
      <c r="C79" s="1" t="s">
        <v>45</v>
      </c>
      <c r="D79" s="1" t="s">
        <v>37</v>
      </c>
      <c r="E79" s="1" t="s">
        <v>23</v>
      </c>
      <c r="F79" s="1" t="s">
        <v>41</v>
      </c>
      <c r="G79" s="1" t="s">
        <v>48</v>
      </c>
      <c r="H79" s="1" t="s">
        <v>62</v>
      </c>
      <c r="I79" s="1" t="s">
        <v>46</v>
      </c>
      <c r="J79" s="1">
        <v>6</v>
      </c>
      <c r="K79" s="1">
        <v>751.69</v>
      </c>
      <c r="L79" s="1">
        <v>0</v>
      </c>
    </row>
    <row r="80" spans="1:12" x14ac:dyDescent="0.3">
      <c r="A80" s="2">
        <v>45228</v>
      </c>
      <c r="B80" s="2">
        <v>45232</v>
      </c>
      <c r="C80" s="1" t="s">
        <v>36</v>
      </c>
      <c r="D80" s="1" t="s">
        <v>22</v>
      </c>
      <c r="E80" s="1" t="s">
        <v>16</v>
      </c>
      <c r="F80" s="1" t="s">
        <v>24</v>
      </c>
      <c r="G80" s="1" t="s">
        <v>56</v>
      </c>
      <c r="H80" s="1" t="s">
        <v>61</v>
      </c>
      <c r="I80" s="1" t="s">
        <v>20</v>
      </c>
      <c r="J80" s="1">
        <v>8</v>
      </c>
      <c r="K80" s="1">
        <v>997.34</v>
      </c>
      <c r="L80" s="1">
        <v>5</v>
      </c>
    </row>
    <row r="81" spans="1:12" x14ac:dyDescent="0.3">
      <c r="A81" s="2">
        <v>45157</v>
      </c>
      <c r="B81" s="2">
        <v>45166</v>
      </c>
      <c r="C81" s="1" t="s">
        <v>39</v>
      </c>
      <c r="D81" s="1" t="s">
        <v>28</v>
      </c>
      <c r="E81" s="1" t="s">
        <v>29</v>
      </c>
      <c r="F81" s="1" t="s">
        <v>43</v>
      </c>
      <c r="G81" s="1" t="s">
        <v>51</v>
      </c>
      <c r="H81" s="1" t="s">
        <v>55</v>
      </c>
      <c r="I81" s="1" t="s">
        <v>32</v>
      </c>
      <c r="J81" s="1">
        <v>2</v>
      </c>
      <c r="K81" s="1">
        <v>2145.36</v>
      </c>
      <c r="L81" s="1">
        <v>20</v>
      </c>
    </row>
    <row r="82" spans="1:12" x14ac:dyDescent="0.3">
      <c r="A82" s="2">
        <v>45145</v>
      </c>
      <c r="B82" s="2">
        <v>45148</v>
      </c>
      <c r="C82" s="1" t="s">
        <v>45</v>
      </c>
      <c r="D82" s="1" t="s">
        <v>15</v>
      </c>
      <c r="E82" s="1" t="s">
        <v>29</v>
      </c>
      <c r="F82" s="1" t="s">
        <v>17</v>
      </c>
      <c r="G82" s="1" t="s">
        <v>48</v>
      </c>
      <c r="H82" s="1" t="s">
        <v>49</v>
      </c>
      <c r="I82" s="1" t="s">
        <v>27</v>
      </c>
      <c r="J82" s="1">
        <v>1</v>
      </c>
      <c r="K82" s="1">
        <v>2883.94</v>
      </c>
      <c r="L82" s="1">
        <v>20</v>
      </c>
    </row>
    <row r="83" spans="1:12" x14ac:dyDescent="0.3">
      <c r="A83" s="2">
        <v>44992</v>
      </c>
      <c r="B83" s="2">
        <v>44996</v>
      </c>
      <c r="C83" s="1" t="s">
        <v>33</v>
      </c>
      <c r="D83" s="1" t="s">
        <v>37</v>
      </c>
      <c r="E83" s="1" t="s">
        <v>29</v>
      </c>
      <c r="F83" s="1" t="s">
        <v>43</v>
      </c>
      <c r="G83" s="1" t="s">
        <v>30</v>
      </c>
      <c r="H83" s="1" t="s">
        <v>64</v>
      </c>
      <c r="I83" s="1" t="s">
        <v>44</v>
      </c>
      <c r="J83" s="1">
        <v>4</v>
      </c>
      <c r="K83" s="1">
        <v>518.55999999999995</v>
      </c>
      <c r="L83" s="1">
        <v>20</v>
      </c>
    </row>
    <row r="84" spans="1:12" x14ac:dyDescent="0.3">
      <c r="A84" s="2">
        <v>45038</v>
      </c>
      <c r="B84" s="2">
        <v>45045</v>
      </c>
      <c r="C84" s="1" t="s">
        <v>39</v>
      </c>
      <c r="D84" s="1" t="s">
        <v>28</v>
      </c>
      <c r="E84" s="1" t="s">
        <v>16</v>
      </c>
      <c r="F84" s="1" t="s">
        <v>17</v>
      </c>
      <c r="G84" s="1" t="s">
        <v>30</v>
      </c>
      <c r="H84" s="1" t="s">
        <v>38</v>
      </c>
      <c r="I84" s="1" t="s">
        <v>46</v>
      </c>
      <c r="J84" s="1">
        <v>7</v>
      </c>
      <c r="K84" s="1">
        <v>1373.12</v>
      </c>
      <c r="L84" s="1">
        <v>5</v>
      </c>
    </row>
    <row r="85" spans="1:12" x14ac:dyDescent="0.3">
      <c r="A85" s="2">
        <v>44939</v>
      </c>
      <c r="B85" s="2">
        <v>44946</v>
      </c>
      <c r="C85" s="1" t="s">
        <v>33</v>
      </c>
      <c r="D85" s="1" t="s">
        <v>28</v>
      </c>
      <c r="E85" s="1" t="s">
        <v>16</v>
      </c>
      <c r="F85" s="1" t="s">
        <v>41</v>
      </c>
      <c r="G85" s="1" t="s">
        <v>48</v>
      </c>
      <c r="H85" s="1" t="s">
        <v>62</v>
      </c>
      <c r="I85" s="1" t="s">
        <v>46</v>
      </c>
      <c r="J85" s="1">
        <v>3</v>
      </c>
      <c r="K85" s="1">
        <v>3879.4</v>
      </c>
      <c r="L85" s="1">
        <v>20</v>
      </c>
    </row>
    <row r="86" spans="1:12" x14ac:dyDescent="0.3">
      <c r="A86" s="2">
        <v>45016</v>
      </c>
      <c r="B86" s="2">
        <v>45019</v>
      </c>
      <c r="C86" s="1" t="s">
        <v>36</v>
      </c>
      <c r="D86" s="1" t="s">
        <v>15</v>
      </c>
      <c r="E86" s="1" t="s">
        <v>16</v>
      </c>
      <c r="F86" s="1" t="s">
        <v>43</v>
      </c>
      <c r="G86" s="1" t="s">
        <v>25</v>
      </c>
      <c r="H86" s="1" t="s">
        <v>26</v>
      </c>
      <c r="I86" s="1" t="s">
        <v>27</v>
      </c>
      <c r="J86" s="1">
        <v>5</v>
      </c>
      <c r="K86" s="1">
        <v>3370.52</v>
      </c>
      <c r="L86" s="1">
        <v>10</v>
      </c>
    </row>
    <row r="87" spans="1:12" x14ac:dyDescent="0.3">
      <c r="A87" s="2">
        <v>45240</v>
      </c>
      <c r="B87" s="2">
        <v>45246</v>
      </c>
      <c r="C87" s="1" t="s">
        <v>45</v>
      </c>
      <c r="D87" s="1" t="s">
        <v>37</v>
      </c>
      <c r="E87" s="1" t="s">
        <v>29</v>
      </c>
      <c r="F87" s="1" t="s">
        <v>17</v>
      </c>
      <c r="G87" s="1" t="s">
        <v>48</v>
      </c>
      <c r="H87" s="1" t="s">
        <v>49</v>
      </c>
      <c r="I87" s="1" t="s">
        <v>32</v>
      </c>
      <c r="J87" s="1">
        <v>3</v>
      </c>
      <c r="K87" s="1">
        <v>343.33</v>
      </c>
      <c r="L87" s="1">
        <v>5</v>
      </c>
    </row>
    <row r="88" spans="1:12" x14ac:dyDescent="0.3">
      <c r="A88" s="2">
        <v>44980</v>
      </c>
      <c r="B88" s="2">
        <v>44982</v>
      </c>
      <c r="C88" s="1" t="s">
        <v>39</v>
      </c>
      <c r="D88" s="1" t="s">
        <v>28</v>
      </c>
      <c r="E88" s="1" t="s">
        <v>16</v>
      </c>
      <c r="F88" s="1" t="s">
        <v>41</v>
      </c>
      <c r="G88" s="1" t="s">
        <v>51</v>
      </c>
      <c r="H88" s="1" t="s">
        <v>55</v>
      </c>
      <c r="I88" s="1" t="s">
        <v>32</v>
      </c>
      <c r="J88" s="1">
        <v>9</v>
      </c>
      <c r="K88" s="1">
        <v>1938.76</v>
      </c>
      <c r="L88" s="1">
        <v>20</v>
      </c>
    </row>
    <row r="89" spans="1:12" x14ac:dyDescent="0.3">
      <c r="A89" s="2">
        <v>44938</v>
      </c>
      <c r="B89" s="2">
        <v>44946</v>
      </c>
      <c r="C89" s="1" t="s">
        <v>21</v>
      </c>
      <c r="D89" s="1" t="s">
        <v>15</v>
      </c>
      <c r="E89" s="1" t="s">
        <v>29</v>
      </c>
      <c r="F89" s="1" t="s">
        <v>24</v>
      </c>
      <c r="G89" s="1" t="s">
        <v>51</v>
      </c>
      <c r="H89" s="1" t="s">
        <v>59</v>
      </c>
      <c r="I89" s="1" t="s">
        <v>20</v>
      </c>
      <c r="J89" s="1">
        <v>4</v>
      </c>
      <c r="K89" s="1">
        <v>1611.52</v>
      </c>
      <c r="L89" s="1">
        <v>10</v>
      </c>
    </row>
    <row r="90" spans="1:12" x14ac:dyDescent="0.3">
      <c r="A90" s="2">
        <v>45135</v>
      </c>
      <c r="B90" s="2">
        <v>45137</v>
      </c>
      <c r="C90" s="1" t="s">
        <v>39</v>
      </c>
      <c r="D90" s="1" t="s">
        <v>53</v>
      </c>
      <c r="E90" s="1" t="s">
        <v>29</v>
      </c>
      <c r="F90" s="1" t="s">
        <v>41</v>
      </c>
      <c r="G90" s="1" t="s">
        <v>48</v>
      </c>
      <c r="H90" s="1" t="s">
        <v>49</v>
      </c>
      <c r="I90" s="1" t="s">
        <v>46</v>
      </c>
      <c r="J90" s="1">
        <v>3</v>
      </c>
      <c r="K90" s="1">
        <v>1368.86</v>
      </c>
      <c r="L90" s="1">
        <v>10</v>
      </c>
    </row>
    <row r="91" spans="1:12" x14ac:dyDescent="0.3">
      <c r="A91" s="2">
        <v>44940</v>
      </c>
      <c r="B91" s="2">
        <v>44947</v>
      </c>
      <c r="C91" s="1" t="s">
        <v>39</v>
      </c>
      <c r="D91" s="1" t="s">
        <v>15</v>
      </c>
      <c r="E91" s="1" t="s">
        <v>16</v>
      </c>
      <c r="F91" s="1" t="s">
        <v>24</v>
      </c>
      <c r="G91" s="1" t="s">
        <v>51</v>
      </c>
      <c r="H91" s="1" t="s">
        <v>59</v>
      </c>
      <c r="I91" s="1" t="s">
        <v>32</v>
      </c>
      <c r="J91" s="1">
        <v>2</v>
      </c>
      <c r="K91" s="1">
        <v>1249.94</v>
      </c>
      <c r="L91" s="1">
        <v>10</v>
      </c>
    </row>
    <row r="92" spans="1:12" x14ac:dyDescent="0.3">
      <c r="A92" s="2">
        <v>45047</v>
      </c>
      <c r="B92" s="2">
        <v>45056</v>
      </c>
      <c r="C92" s="1" t="s">
        <v>36</v>
      </c>
      <c r="D92" s="1" t="s">
        <v>22</v>
      </c>
      <c r="E92" s="1" t="s">
        <v>23</v>
      </c>
      <c r="F92" s="1" t="s">
        <v>17</v>
      </c>
      <c r="G92" s="1" t="s">
        <v>51</v>
      </c>
      <c r="H92" s="1" t="s">
        <v>59</v>
      </c>
      <c r="I92" s="1" t="s">
        <v>27</v>
      </c>
      <c r="J92" s="1">
        <v>9</v>
      </c>
      <c r="K92" s="1">
        <v>501.79</v>
      </c>
      <c r="L92" s="1">
        <v>5</v>
      </c>
    </row>
    <row r="93" spans="1:12" x14ac:dyDescent="0.3">
      <c r="A93" s="2">
        <v>44946</v>
      </c>
      <c r="B93" s="2">
        <v>44947</v>
      </c>
      <c r="C93" s="1" t="s">
        <v>36</v>
      </c>
      <c r="D93" s="1" t="s">
        <v>53</v>
      </c>
      <c r="E93" s="1" t="s">
        <v>23</v>
      </c>
      <c r="F93" s="1" t="s">
        <v>41</v>
      </c>
      <c r="G93" s="1" t="s">
        <v>25</v>
      </c>
      <c r="H93" s="1" t="s">
        <v>35</v>
      </c>
      <c r="I93" s="1" t="s">
        <v>44</v>
      </c>
      <c r="J93" s="1">
        <v>4</v>
      </c>
      <c r="K93" s="1">
        <v>1362.08</v>
      </c>
      <c r="L93" s="1">
        <v>15</v>
      </c>
    </row>
    <row r="94" spans="1:12" x14ac:dyDescent="0.3">
      <c r="A94" s="2">
        <v>45001</v>
      </c>
      <c r="B94" s="2">
        <v>45009</v>
      </c>
      <c r="C94" s="1" t="s">
        <v>45</v>
      </c>
      <c r="D94" s="1" t="s">
        <v>37</v>
      </c>
      <c r="E94" s="1" t="s">
        <v>16</v>
      </c>
      <c r="F94" s="1" t="s">
        <v>41</v>
      </c>
      <c r="G94" s="1" t="s">
        <v>51</v>
      </c>
      <c r="H94" s="1" t="s">
        <v>52</v>
      </c>
      <c r="I94" s="1" t="s">
        <v>27</v>
      </c>
      <c r="J94" s="1">
        <v>3</v>
      </c>
      <c r="K94" s="1">
        <v>315.75</v>
      </c>
      <c r="L94" s="1">
        <v>20</v>
      </c>
    </row>
    <row r="95" spans="1:12" x14ac:dyDescent="0.3">
      <c r="A95" s="2">
        <v>45169</v>
      </c>
      <c r="B95" s="2">
        <v>45176</v>
      </c>
      <c r="C95" s="1" t="s">
        <v>15</v>
      </c>
      <c r="D95" s="1" t="s">
        <v>28</v>
      </c>
      <c r="E95" s="1" t="s">
        <v>23</v>
      </c>
      <c r="F95" s="1" t="s">
        <v>17</v>
      </c>
      <c r="G95" s="1" t="s">
        <v>18</v>
      </c>
      <c r="H95" s="1" t="s">
        <v>42</v>
      </c>
      <c r="I95" s="1" t="s">
        <v>46</v>
      </c>
      <c r="J95" s="1">
        <v>7</v>
      </c>
      <c r="K95" s="1">
        <v>3156.71</v>
      </c>
      <c r="L95" s="1">
        <v>10</v>
      </c>
    </row>
    <row r="96" spans="1:12" x14ac:dyDescent="0.3">
      <c r="A96" s="2">
        <v>45149</v>
      </c>
      <c r="B96" s="2">
        <v>45155</v>
      </c>
      <c r="C96" s="1" t="s">
        <v>15</v>
      </c>
      <c r="D96" s="1" t="s">
        <v>15</v>
      </c>
      <c r="E96" s="1" t="s">
        <v>29</v>
      </c>
      <c r="F96" s="1" t="s">
        <v>41</v>
      </c>
      <c r="G96" s="1" t="s">
        <v>56</v>
      </c>
      <c r="H96" s="1" t="s">
        <v>58</v>
      </c>
      <c r="I96" s="1" t="s">
        <v>27</v>
      </c>
      <c r="J96" s="1">
        <v>8</v>
      </c>
      <c r="K96" s="1">
        <v>1683.18</v>
      </c>
      <c r="L96" s="1">
        <v>15</v>
      </c>
    </row>
    <row r="97" spans="1:12" x14ac:dyDescent="0.3">
      <c r="A97" s="2">
        <v>44996</v>
      </c>
      <c r="B97" s="2">
        <v>45002</v>
      </c>
      <c r="C97" s="1" t="s">
        <v>36</v>
      </c>
      <c r="D97" s="1" t="s">
        <v>53</v>
      </c>
      <c r="E97" s="1" t="s">
        <v>29</v>
      </c>
      <c r="F97" s="1" t="s">
        <v>24</v>
      </c>
      <c r="G97" s="1" t="s">
        <v>30</v>
      </c>
      <c r="H97" s="1" t="s">
        <v>38</v>
      </c>
      <c r="I97" s="1" t="s">
        <v>20</v>
      </c>
      <c r="J97" s="1">
        <v>2</v>
      </c>
      <c r="K97" s="1">
        <v>1859.03</v>
      </c>
      <c r="L97" s="1">
        <v>20</v>
      </c>
    </row>
    <row r="98" spans="1:12" x14ac:dyDescent="0.3">
      <c r="A98" s="2">
        <v>45238</v>
      </c>
      <c r="B98" s="2">
        <v>45244</v>
      </c>
      <c r="C98" s="1" t="s">
        <v>45</v>
      </c>
      <c r="D98" s="1" t="s">
        <v>22</v>
      </c>
      <c r="E98" s="1" t="s">
        <v>16</v>
      </c>
      <c r="F98" s="1" t="s">
        <v>41</v>
      </c>
      <c r="G98" s="1" t="s">
        <v>18</v>
      </c>
      <c r="H98" s="1" t="s">
        <v>19</v>
      </c>
      <c r="I98" s="1" t="s">
        <v>46</v>
      </c>
      <c r="J98" s="1">
        <v>7</v>
      </c>
      <c r="K98" s="1">
        <v>3590.34</v>
      </c>
      <c r="L98" s="1">
        <v>20</v>
      </c>
    </row>
    <row r="99" spans="1:12" x14ac:dyDescent="0.3">
      <c r="A99" s="2">
        <v>45027</v>
      </c>
      <c r="B99" s="2">
        <v>45029</v>
      </c>
      <c r="C99" s="1" t="s">
        <v>45</v>
      </c>
      <c r="D99" s="1" t="s">
        <v>40</v>
      </c>
      <c r="E99" s="1" t="s">
        <v>23</v>
      </c>
      <c r="F99" s="1" t="s">
        <v>34</v>
      </c>
      <c r="G99" s="1" t="s">
        <v>25</v>
      </c>
      <c r="H99" s="1" t="s">
        <v>26</v>
      </c>
      <c r="I99" s="1" t="s">
        <v>20</v>
      </c>
      <c r="J99" s="1">
        <v>5</v>
      </c>
      <c r="K99" s="1">
        <v>181.03</v>
      </c>
      <c r="L99" s="1">
        <v>10</v>
      </c>
    </row>
    <row r="100" spans="1:12" x14ac:dyDescent="0.3">
      <c r="A100" s="2">
        <v>45112</v>
      </c>
      <c r="B100" s="2">
        <v>45113</v>
      </c>
      <c r="C100" s="1" t="s">
        <v>45</v>
      </c>
      <c r="D100" s="1" t="s">
        <v>22</v>
      </c>
      <c r="E100" s="1" t="s">
        <v>29</v>
      </c>
      <c r="F100" s="1" t="s">
        <v>24</v>
      </c>
      <c r="G100" s="1" t="s">
        <v>48</v>
      </c>
      <c r="H100" s="1" t="s">
        <v>62</v>
      </c>
      <c r="I100" s="1" t="s">
        <v>46</v>
      </c>
      <c r="J100" s="1">
        <v>3</v>
      </c>
      <c r="K100" s="1">
        <v>3781.22</v>
      </c>
      <c r="L100" s="1">
        <v>5</v>
      </c>
    </row>
    <row r="101" spans="1:12" x14ac:dyDescent="0.3">
      <c r="A101" s="2">
        <v>45058</v>
      </c>
      <c r="B101" s="2">
        <v>45064</v>
      </c>
      <c r="C101" s="1" t="s">
        <v>45</v>
      </c>
      <c r="D101" s="1" t="s">
        <v>37</v>
      </c>
      <c r="E101" s="1" t="s">
        <v>16</v>
      </c>
      <c r="F101" s="1" t="s">
        <v>43</v>
      </c>
      <c r="G101" s="1" t="s">
        <v>51</v>
      </c>
      <c r="H101" s="1" t="s">
        <v>59</v>
      </c>
      <c r="I101" s="1" t="s">
        <v>44</v>
      </c>
      <c r="J101" s="1">
        <v>5</v>
      </c>
      <c r="K101" s="1">
        <v>1063.01</v>
      </c>
      <c r="L101" s="1">
        <v>15</v>
      </c>
    </row>
    <row r="102" spans="1:12" x14ac:dyDescent="0.3">
      <c r="A102" s="2">
        <v>45037</v>
      </c>
      <c r="B102" s="2">
        <v>45045</v>
      </c>
      <c r="C102" s="1" t="s">
        <v>14</v>
      </c>
      <c r="D102" s="1" t="s">
        <v>28</v>
      </c>
      <c r="E102" s="1" t="s">
        <v>23</v>
      </c>
      <c r="F102" s="1" t="s">
        <v>17</v>
      </c>
      <c r="G102" s="1" t="s">
        <v>25</v>
      </c>
      <c r="H102" s="1" t="s">
        <v>35</v>
      </c>
      <c r="I102" s="1" t="s">
        <v>20</v>
      </c>
      <c r="J102" s="1">
        <v>2</v>
      </c>
      <c r="K102" s="1">
        <v>564.30999999999995</v>
      </c>
      <c r="L102" s="1">
        <v>15</v>
      </c>
    </row>
    <row r="103" spans="1:12" x14ac:dyDescent="0.3">
      <c r="A103" s="2">
        <v>44946</v>
      </c>
      <c r="B103" s="2">
        <v>44947</v>
      </c>
      <c r="C103" s="1" t="s">
        <v>45</v>
      </c>
      <c r="D103" s="1" t="s">
        <v>15</v>
      </c>
      <c r="E103" s="1" t="s">
        <v>23</v>
      </c>
      <c r="F103" s="1" t="s">
        <v>34</v>
      </c>
      <c r="G103" s="1" t="s">
        <v>51</v>
      </c>
      <c r="H103" s="1" t="s">
        <v>55</v>
      </c>
      <c r="I103" s="1" t="s">
        <v>46</v>
      </c>
      <c r="J103" s="1">
        <v>6</v>
      </c>
      <c r="K103" s="1">
        <v>2076.84</v>
      </c>
      <c r="L103" s="1">
        <v>20</v>
      </c>
    </row>
    <row r="104" spans="1:12" x14ac:dyDescent="0.3">
      <c r="A104" s="2">
        <v>44950</v>
      </c>
      <c r="B104" s="2">
        <v>44959</v>
      </c>
      <c r="C104" s="1" t="s">
        <v>14</v>
      </c>
      <c r="D104" s="1" t="s">
        <v>53</v>
      </c>
      <c r="E104" s="1" t="s">
        <v>29</v>
      </c>
      <c r="F104" s="1" t="s">
        <v>34</v>
      </c>
      <c r="G104" s="1" t="s">
        <v>48</v>
      </c>
      <c r="H104" s="1" t="s">
        <v>67</v>
      </c>
      <c r="I104" s="1" t="s">
        <v>32</v>
      </c>
      <c r="J104" s="1">
        <v>1</v>
      </c>
      <c r="K104" s="1">
        <v>1820.02</v>
      </c>
      <c r="L104" s="1">
        <v>10</v>
      </c>
    </row>
    <row r="105" spans="1:12" x14ac:dyDescent="0.3">
      <c r="A105" s="2">
        <v>45153</v>
      </c>
      <c r="B105" s="2">
        <v>45154</v>
      </c>
      <c r="C105" s="1" t="s">
        <v>36</v>
      </c>
      <c r="D105" s="1" t="s">
        <v>40</v>
      </c>
      <c r="E105" s="1" t="s">
        <v>29</v>
      </c>
      <c r="F105" s="1" t="s">
        <v>17</v>
      </c>
      <c r="G105" s="1" t="s">
        <v>25</v>
      </c>
      <c r="H105" s="1" t="s">
        <v>35</v>
      </c>
      <c r="I105" s="1" t="s">
        <v>20</v>
      </c>
      <c r="J105" s="1">
        <v>4</v>
      </c>
      <c r="K105" s="1">
        <v>1110.5899999999999</v>
      </c>
      <c r="L105" s="1">
        <v>20</v>
      </c>
    </row>
    <row r="106" spans="1:12" x14ac:dyDescent="0.3">
      <c r="A106" s="2">
        <v>45080</v>
      </c>
      <c r="B106" s="2">
        <v>45083</v>
      </c>
      <c r="C106" s="1" t="s">
        <v>15</v>
      </c>
      <c r="D106" s="1" t="s">
        <v>22</v>
      </c>
      <c r="E106" s="1" t="s">
        <v>16</v>
      </c>
      <c r="F106" s="1" t="s">
        <v>17</v>
      </c>
      <c r="G106" s="1" t="s">
        <v>25</v>
      </c>
      <c r="H106" s="1" t="s">
        <v>60</v>
      </c>
      <c r="I106" s="1" t="s">
        <v>20</v>
      </c>
      <c r="J106" s="1">
        <v>6</v>
      </c>
      <c r="K106" s="1">
        <v>2257.77</v>
      </c>
      <c r="L106" s="1">
        <v>20</v>
      </c>
    </row>
    <row r="107" spans="1:12" x14ac:dyDescent="0.3">
      <c r="A107" s="2">
        <v>45219</v>
      </c>
      <c r="B107" s="2">
        <v>45227</v>
      </c>
      <c r="C107" s="1" t="s">
        <v>39</v>
      </c>
      <c r="D107" s="1" t="s">
        <v>22</v>
      </c>
      <c r="E107" s="1" t="s">
        <v>29</v>
      </c>
      <c r="F107" s="1" t="s">
        <v>24</v>
      </c>
      <c r="G107" s="1" t="s">
        <v>25</v>
      </c>
      <c r="H107" s="1" t="s">
        <v>68</v>
      </c>
      <c r="I107" s="1" t="s">
        <v>44</v>
      </c>
      <c r="J107" s="1">
        <v>9</v>
      </c>
      <c r="K107" s="1">
        <v>1206.3800000000001</v>
      </c>
      <c r="L107" s="1">
        <v>10</v>
      </c>
    </row>
    <row r="108" spans="1:12" x14ac:dyDescent="0.3">
      <c r="A108" s="2">
        <v>45156</v>
      </c>
      <c r="B108" s="2">
        <v>45159</v>
      </c>
      <c r="C108" s="1" t="s">
        <v>21</v>
      </c>
      <c r="D108" s="1" t="s">
        <v>53</v>
      </c>
      <c r="E108" s="1" t="s">
        <v>23</v>
      </c>
      <c r="F108" s="1" t="s">
        <v>41</v>
      </c>
      <c r="G108" s="1" t="s">
        <v>56</v>
      </c>
      <c r="H108" s="1" t="s">
        <v>61</v>
      </c>
      <c r="I108" s="1" t="s">
        <v>27</v>
      </c>
      <c r="J108" s="1">
        <v>2</v>
      </c>
      <c r="K108" s="1">
        <v>3621.09</v>
      </c>
      <c r="L108" s="1">
        <v>0</v>
      </c>
    </row>
    <row r="109" spans="1:12" x14ac:dyDescent="0.3">
      <c r="A109" s="2">
        <v>45236</v>
      </c>
      <c r="B109" s="2">
        <v>45240</v>
      </c>
      <c r="C109" s="1" t="s">
        <v>15</v>
      </c>
      <c r="D109" s="1" t="s">
        <v>40</v>
      </c>
      <c r="E109" s="1" t="s">
        <v>29</v>
      </c>
      <c r="F109" s="1" t="s">
        <v>17</v>
      </c>
      <c r="G109" s="1" t="s">
        <v>51</v>
      </c>
      <c r="H109" s="1" t="s">
        <v>59</v>
      </c>
      <c r="I109" s="1" t="s">
        <v>46</v>
      </c>
      <c r="J109" s="1">
        <v>7</v>
      </c>
      <c r="K109" s="1">
        <v>978.54</v>
      </c>
      <c r="L109" s="1">
        <v>15</v>
      </c>
    </row>
    <row r="110" spans="1:12" x14ac:dyDescent="0.3">
      <c r="A110" s="2">
        <v>45285</v>
      </c>
      <c r="B110" s="2">
        <v>45293</v>
      </c>
      <c r="C110" s="1" t="s">
        <v>39</v>
      </c>
      <c r="D110" s="1" t="s">
        <v>53</v>
      </c>
      <c r="E110" s="1" t="s">
        <v>16</v>
      </c>
      <c r="F110" s="1" t="s">
        <v>41</v>
      </c>
      <c r="G110" s="1" t="s">
        <v>56</v>
      </c>
      <c r="H110" s="1" t="s">
        <v>57</v>
      </c>
      <c r="I110" s="1" t="s">
        <v>46</v>
      </c>
      <c r="J110" s="1">
        <v>6</v>
      </c>
      <c r="K110" s="1">
        <v>3554.77</v>
      </c>
      <c r="L110" s="1">
        <v>20</v>
      </c>
    </row>
    <row r="111" spans="1:12" x14ac:dyDescent="0.3">
      <c r="A111" s="2">
        <v>45128</v>
      </c>
      <c r="B111" s="2">
        <v>45129</v>
      </c>
      <c r="C111" s="1" t="s">
        <v>21</v>
      </c>
      <c r="D111" s="1" t="s">
        <v>15</v>
      </c>
      <c r="E111" s="1" t="s">
        <v>16</v>
      </c>
      <c r="F111" s="1" t="s">
        <v>43</v>
      </c>
      <c r="G111" s="1" t="s">
        <v>30</v>
      </c>
      <c r="H111" s="1" t="s">
        <v>47</v>
      </c>
      <c r="I111" s="1" t="s">
        <v>32</v>
      </c>
      <c r="J111" s="1">
        <v>2</v>
      </c>
      <c r="K111" s="1">
        <v>2303.71</v>
      </c>
      <c r="L111" s="1">
        <v>20</v>
      </c>
    </row>
    <row r="112" spans="1:12" x14ac:dyDescent="0.3">
      <c r="A112" s="2">
        <v>44964</v>
      </c>
      <c r="B112" s="2">
        <v>44970</v>
      </c>
      <c r="C112" s="1" t="s">
        <v>15</v>
      </c>
      <c r="D112" s="1" t="s">
        <v>37</v>
      </c>
      <c r="E112" s="1" t="s">
        <v>16</v>
      </c>
      <c r="F112" s="1" t="s">
        <v>34</v>
      </c>
      <c r="G112" s="1" t="s">
        <v>30</v>
      </c>
      <c r="H112" s="1" t="s">
        <v>31</v>
      </c>
      <c r="I112" s="1" t="s">
        <v>32</v>
      </c>
      <c r="J112" s="1">
        <v>8</v>
      </c>
      <c r="K112" s="1">
        <v>3339.68</v>
      </c>
      <c r="L112" s="1">
        <v>0</v>
      </c>
    </row>
    <row r="113" spans="1:12" x14ac:dyDescent="0.3">
      <c r="A113" s="2">
        <v>45186</v>
      </c>
      <c r="B113" s="2">
        <v>45187</v>
      </c>
      <c r="C113" s="1" t="s">
        <v>39</v>
      </c>
      <c r="D113" s="1" t="s">
        <v>22</v>
      </c>
      <c r="E113" s="1" t="s">
        <v>23</v>
      </c>
      <c r="F113" s="1" t="s">
        <v>41</v>
      </c>
      <c r="G113" s="1" t="s">
        <v>51</v>
      </c>
      <c r="H113" s="1" t="s">
        <v>52</v>
      </c>
      <c r="I113" s="1" t="s">
        <v>46</v>
      </c>
      <c r="J113" s="1">
        <v>7</v>
      </c>
      <c r="K113" s="1">
        <v>2894.46</v>
      </c>
      <c r="L113" s="1">
        <v>5</v>
      </c>
    </row>
    <row r="114" spans="1:12" x14ac:dyDescent="0.3">
      <c r="A114" s="2">
        <v>45114</v>
      </c>
      <c r="B114" s="2">
        <v>45115</v>
      </c>
      <c r="C114" s="1" t="s">
        <v>15</v>
      </c>
      <c r="D114" s="1" t="s">
        <v>15</v>
      </c>
      <c r="E114" s="1" t="s">
        <v>23</v>
      </c>
      <c r="F114" s="1" t="s">
        <v>34</v>
      </c>
      <c r="G114" s="1" t="s">
        <v>56</v>
      </c>
      <c r="H114" s="1" t="s">
        <v>61</v>
      </c>
      <c r="I114" s="1" t="s">
        <v>32</v>
      </c>
      <c r="J114" s="1">
        <v>5</v>
      </c>
      <c r="K114" s="1">
        <v>2832.28</v>
      </c>
      <c r="L114" s="1">
        <v>0</v>
      </c>
    </row>
    <row r="115" spans="1:12" x14ac:dyDescent="0.3">
      <c r="A115" s="2">
        <v>44983</v>
      </c>
      <c r="B115" s="2">
        <v>44991</v>
      </c>
      <c r="C115" s="1" t="s">
        <v>15</v>
      </c>
      <c r="D115" s="1" t="s">
        <v>37</v>
      </c>
      <c r="E115" s="1" t="s">
        <v>23</v>
      </c>
      <c r="F115" s="1" t="s">
        <v>41</v>
      </c>
      <c r="G115" s="1" t="s">
        <v>48</v>
      </c>
      <c r="H115" s="1" t="s">
        <v>62</v>
      </c>
      <c r="I115" s="1" t="s">
        <v>44</v>
      </c>
      <c r="J115" s="1">
        <v>5</v>
      </c>
      <c r="K115" s="1">
        <v>1398.73</v>
      </c>
      <c r="L115" s="1">
        <v>0</v>
      </c>
    </row>
    <row r="116" spans="1:12" x14ac:dyDescent="0.3">
      <c r="A116" s="2">
        <v>44946</v>
      </c>
      <c r="B116" s="2">
        <v>44950</v>
      </c>
      <c r="C116" s="1" t="s">
        <v>21</v>
      </c>
      <c r="D116" s="1" t="s">
        <v>15</v>
      </c>
      <c r="E116" s="1" t="s">
        <v>23</v>
      </c>
      <c r="F116" s="1" t="s">
        <v>43</v>
      </c>
      <c r="G116" s="1" t="s">
        <v>25</v>
      </c>
      <c r="H116" s="1" t="s">
        <v>68</v>
      </c>
      <c r="I116" s="1" t="s">
        <v>46</v>
      </c>
      <c r="J116" s="1">
        <v>7</v>
      </c>
      <c r="K116" s="1">
        <v>1050.5</v>
      </c>
      <c r="L116" s="1">
        <v>20</v>
      </c>
    </row>
    <row r="117" spans="1:12" x14ac:dyDescent="0.3">
      <c r="A117" s="2">
        <v>45199</v>
      </c>
      <c r="B117" s="2">
        <v>45200</v>
      </c>
      <c r="C117" s="1" t="s">
        <v>15</v>
      </c>
      <c r="D117" s="1" t="s">
        <v>40</v>
      </c>
      <c r="E117" s="1" t="s">
        <v>23</v>
      </c>
      <c r="F117" s="1" t="s">
        <v>17</v>
      </c>
      <c r="G117" s="1" t="s">
        <v>25</v>
      </c>
      <c r="H117" s="1" t="s">
        <v>60</v>
      </c>
      <c r="I117" s="1" t="s">
        <v>32</v>
      </c>
      <c r="J117" s="1">
        <v>9</v>
      </c>
      <c r="K117" s="1">
        <v>961.91</v>
      </c>
      <c r="L117" s="1">
        <v>15</v>
      </c>
    </row>
    <row r="118" spans="1:12" x14ac:dyDescent="0.3">
      <c r="A118" s="2">
        <v>45045</v>
      </c>
      <c r="B118" s="2">
        <v>45052</v>
      </c>
      <c r="C118" s="1" t="s">
        <v>15</v>
      </c>
      <c r="D118" s="1" t="s">
        <v>22</v>
      </c>
      <c r="E118" s="1" t="s">
        <v>29</v>
      </c>
      <c r="F118" s="1" t="s">
        <v>43</v>
      </c>
      <c r="G118" s="1" t="s">
        <v>51</v>
      </c>
      <c r="H118" s="1" t="s">
        <v>63</v>
      </c>
      <c r="I118" s="1" t="s">
        <v>46</v>
      </c>
      <c r="J118" s="1">
        <v>9</v>
      </c>
      <c r="K118" s="1">
        <v>3450.19</v>
      </c>
      <c r="L118" s="1">
        <v>0</v>
      </c>
    </row>
    <row r="119" spans="1:12" x14ac:dyDescent="0.3">
      <c r="A119" s="2">
        <v>44997</v>
      </c>
      <c r="B119" s="2">
        <v>45002</v>
      </c>
      <c r="C119" s="1" t="s">
        <v>21</v>
      </c>
      <c r="D119" s="1" t="s">
        <v>53</v>
      </c>
      <c r="E119" s="1" t="s">
        <v>23</v>
      </c>
      <c r="F119" s="1" t="s">
        <v>17</v>
      </c>
      <c r="G119" s="1" t="s">
        <v>30</v>
      </c>
      <c r="H119" s="1" t="s">
        <v>47</v>
      </c>
      <c r="I119" s="1" t="s">
        <v>27</v>
      </c>
      <c r="J119" s="1">
        <v>9</v>
      </c>
      <c r="K119" s="1">
        <v>3308.64</v>
      </c>
      <c r="L119" s="1">
        <v>5</v>
      </c>
    </row>
    <row r="120" spans="1:12" x14ac:dyDescent="0.3">
      <c r="A120" s="2">
        <v>44930</v>
      </c>
      <c r="B120" s="2">
        <v>44935</v>
      </c>
      <c r="C120" s="1" t="s">
        <v>36</v>
      </c>
      <c r="D120" s="1" t="s">
        <v>53</v>
      </c>
      <c r="E120" s="1" t="s">
        <v>23</v>
      </c>
      <c r="F120" s="1" t="s">
        <v>17</v>
      </c>
      <c r="G120" s="1" t="s">
        <v>30</v>
      </c>
      <c r="H120" s="1" t="s">
        <v>38</v>
      </c>
      <c r="I120" s="1" t="s">
        <v>20</v>
      </c>
      <c r="J120" s="1">
        <v>6</v>
      </c>
      <c r="K120" s="1">
        <v>1846.21</v>
      </c>
      <c r="L120" s="1">
        <v>10</v>
      </c>
    </row>
    <row r="121" spans="1:12" x14ac:dyDescent="0.3">
      <c r="A121" s="2">
        <v>45147</v>
      </c>
      <c r="B121" s="2">
        <v>45148</v>
      </c>
      <c r="C121" s="1" t="s">
        <v>45</v>
      </c>
      <c r="D121" s="1" t="s">
        <v>37</v>
      </c>
      <c r="E121" s="1" t="s">
        <v>29</v>
      </c>
      <c r="F121" s="1" t="s">
        <v>34</v>
      </c>
      <c r="G121" s="1" t="s">
        <v>25</v>
      </c>
      <c r="H121" s="1" t="s">
        <v>60</v>
      </c>
      <c r="I121" s="1" t="s">
        <v>46</v>
      </c>
      <c r="J121" s="1">
        <v>6</v>
      </c>
      <c r="K121" s="1">
        <v>659.76</v>
      </c>
      <c r="L121" s="1">
        <v>0</v>
      </c>
    </row>
    <row r="122" spans="1:12" x14ac:dyDescent="0.3">
      <c r="A122" s="2">
        <v>44940</v>
      </c>
      <c r="B122" s="2">
        <v>44946</v>
      </c>
      <c r="C122" s="1" t="s">
        <v>33</v>
      </c>
      <c r="D122" s="1" t="s">
        <v>28</v>
      </c>
      <c r="E122" s="1" t="s">
        <v>23</v>
      </c>
      <c r="F122" s="1" t="s">
        <v>43</v>
      </c>
      <c r="G122" s="1" t="s">
        <v>51</v>
      </c>
      <c r="H122" s="1" t="s">
        <v>55</v>
      </c>
      <c r="I122" s="1" t="s">
        <v>20</v>
      </c>
      <c r="J122" s="1">
        <v>3</v>
      </c>
      <c r="K122" s="1">
        <v>1621.67</v>
      </c>
      <c r="L122" s="1">
        <v>0</v>
      </c>
    </row>
    <row r="123" spans="1:12" x14ac:dyDescent="0.3">
      <c r="A123" s="2">
        <v>44929</v>
      </c>
      <c r="B123" s="2">
        <v>44938</v>
      </c>
      <c r="C123" s="1" t="s">
        <v>14</v>
      </c>
      <c r="D123" s="1" t="s">
        <v>40</v>
      </c>
      <c r="E123" s="1" t="s">
        <v>16</v>
      </c>
      <c r="F123" s="1" t="s">
        <v>41</v>
      </c>
      <c r="G123" s="1" t="s">
        <v>56</v>
      </c>
      <c r="H123" s="1" t="s">
        <v>61</v>
      </c>
      <c r="I123" s="1" t="s">
        <v>32</v>
      </c>
      <c r="J123" s="1">
        <v>1</v>
      </c>
      <c r="K123" s="1">
        <v>2534.4699999999998</v>
      </c>
      <c r="L123" s="1">
        <v>5</v>
      </c>
    </row>
    <row r="124" spans="1:12" x14ac:dyDescent="0.3">
      <c r="A124" s="2">
        <v>45142</v>
      </c>
      <c r="B124" s="2">
        <v>45151</v>
      </c>
      <c r="C124" s="1" t="s">
        <v>33</v>
      </c>
      <c r="D124" s="1" t="s">
        <v>37</v>
      </c>
      <c r="E124" s="1" t="s">
        <v>23</v>
      </c>
      <c r="F124" s="1" t="s">
        <v>43</v>
      </c>
      <c r="G124" s="1" t="s">
        <v>30</v>
      </c>
      <c r="H124" s="1" t="s">
        <v>31</v>
      </c>
      <c r="I124" s="1" t="s">
        <v>20</v>
      </c>
      <c r="J124" s="1">
        <v>7</v>
      </c>
      <c r="K124" s="1">
        <v>1899.45</v>
      </c>
      <c r="L124" s="1">
        <v>15</v>
      </c>
    </row>
    <row r="125" spans="1:12" x14ac:dyDescent="0.3">
      <c r="A125" s="2">
        <v>45155</v>
      </c>
      <c r="B125" s="2">
        <v>45163</v>
      </c>
      <c r="C125" s="1" t="s">
        <v>33</v>
      </c>
      <c r="D125" s="1" t="s">
        <v>28</v>
      </c>
      <c r="E125" s="1" t="s">
        <v>23</v>
      </c>
      <c r="F125" s="1" t="s">
        <v>34</v>
      </c>
      <c r="G125" s="1" t="s">
        <v>56</v>
      </c>
      <c r="H125" s="1" t="s">
        <v>57</v>
      </c>
      <c r="I125" s="1" t="s">
        <v>46</v>
      </c>
      <c r="J125" s="1">
        <v>4</v>
      </c>
      <c r="K125" s="1">
        <v>3153.73</v>
      </c>
      <c r="L125" s="1">
        <v>0</v>
      </c>
    </row>
    <row r="126" spans="1:12" x14ac:dyDescent="0.3">
      <c r="A126" s="2">
        <v>45262</v>
      </c>
      <c r="B126" s="2">
        <v>45267</v>
      </c>
      <c r="C126" s="1" t="s">
        <v>39</v>
      </c>
      <c r="D126" s="1" t="s">
        <v>15</v>
      </c>
      <c r="E126" s="1" t="s">
        <v>16</v>
      </c>
      <c r="F126" s="1" t="s">
        <v>17</v>
      </c>
      <c r="G126" s="1" t="s">
        <v>30</v>
      </c>
      <c r="H126" s="1" t="s">
        <v>47</v>
      </c>
      <c r="I126" s="1" t="s">
        <v>27</v>
      </c>
      <c r="J126" s="1">
        <v>1</v>
      </c>
      <c r="K126" s="1">
        <v>3990.85</v>
      </c>
      <c r="L126" s="1">
        <v>0</v>
      </c>
    </row>
    <row r="127" spans="1:12" x14ac:dyDescent="0.3">
      <c r="A127" s="2">
        <v>44981</v>
      </c>
      <c r="B127" s="2">
        <v>44990</v>
      </c>
      <c r="C127" s="1" t="s">
        <v>39</v>
      </c>
      <c r="D127" s="1" t="s">
        <v>15</v>
      </c>
      <c r="E127" s="1" t="s">
        <v>16</v>
      </c>
      <c r="F127" s="1" t="s">
        <v>24</v>
      </c>
      <c r="G127" s="1" t="s">
        <v>18</v>
      </c>
      <c r="H127" s="1" t="s">
        <v>42</v>
      </c>
      <c r="I127" s="1" t="s">
        <v>46</v>
      </c>
      <c r="J127" s="1">
        <v>6</v>
      </c>
      <c r="K127" s="1">
        <v>1919.66</v>
      </c>
      <c r="L127" s="1">
        <v>5</v>
      </c>
    </row>
    <row r="128" spans="1:12" x14ac:dyDescent="0.3">
      <c r="A128" s="2">
        <v>45180</v>
      </c>
      <c r="B128" s="2">
        <v>45181</v>
      </c>
      <c r="C128" s="1" t="s">
        <v>45</v>
      </c>
      <c r="D128" s="1" t="s">
        <v>22</v>
      </c>
      <c r="E128" s="1" t="s">
        <v>16</v>
      </c>
      <c r="F128" s="1" t="s">
        <v>24</v>
      </c>
      <c r="G128" s="1" t="s">
        <v>30</v>
      </c>
      <c r="H128" s="1" t="s">
        <v>38</v>
      </c>
      <c r="I128" s="1" t="s">
        <v>32</v>
      </c>
      <c r="J128" s="1">
        <v>6</v>
      </c>
      <c r="K128" s="1">
        <v>1809.29</v>
      </c>
      <c r="L128" s="1">
        <v>0</v>
      </c>
    </row>
    <row r="129" spans="1:12" x14ac:dyDescent="0.3">
      <c r="A129" s="2">
        <v>45088</v>
      </c>
      <c r="B129" s="2">
        <v>45093</v>
      </c>
      <c r="C129" s="1" t="s">
        <v>21</v>
      </c>
      <c r="D129" s="1" t="s">
        <v>28</v>
      </c>
      <c r="E129" s="1" t="s">
        <v>16</v>
      </c>
      <c r="F129" s="1" t="s">
        <v>34</v>
      </c>
      <c r="G129" s="1" t="s">
        <v>51</v>
      </c>
      <c r="H129" s="1" t="s">
        <v>52</v>
      </c>
      <c r="I129" s="1" t="s">
        <v>20</v>
      </c>
      <c r="J129" s="1">
        <v>1</v>
      </c>
      <c r="K129" s="1">
        <v>912.67</v>
      </c>
      <c r="L129" s="1">
        <v>0</v>
      </c>
    </row>
    <row r="130" spans="1:12" x14ac:dyDescent="0.3">
      <c r="A130" s="2">
        <v>45084</v>
      </c>
      <c r="B130" s="2">
        <v>45087</v>
      </c>
      <c r="C130" s="1" t="s">
        <v>45</v>
      </c>
      <c r="D130" s="1" t="s">
        <v>22</v>
      </c>
      <c r="E130" s="1" t="s">
        <v>16</v>
      </c>
      <c r="F130" s="1" t="s">
        <v>41</v>
      </c>
      <c r="G130" s="1" t="s">
        <v>51</v>
      </c>
      <c r="H130" s="1" t="s">
        <v>52</v>
      </c>
      <c r="I130" s="1" t="s">
        <v>44</v>
      </c>
      <c r="J130" s="1">
        <v>2</v>
      </c>
      <c r="K130" s="1">
        <v>402.91</v>
      </c>
      <c r="L130" s="1">
        <v>10</v>
      </c>
    </row>
    <row r="131" spans="1:12" x14ac:dyDescent="0.3">
      <c r="A131" s="2">
        <v>45008</v>
      </c>
      <c r="B131" s="2">
        <v>45015</v>
      </c>
      <c r="C131" s="1" t="s">
        <v>15</v>
      </c>
      <c r="D131" s="1" t="s">
        <v>53</v>
      </c>
      <c r="E131" s="1" t="s">
        <v>29</v>
      </c>
      <c r="F131" s="1" t="s">
        <v>41</v>
      </c>
      <c r="G131" s="1" t="s">
        <v>56</v>
      </c>
      <c r="H131" s="1" t="s">
        <v>58</v>
      </c>
      <c r="I131" s="1" t="s">
        <v>46</v>
      </c>
      <c r="J131" s="1">
        <v>4</v>
      </c>
      <c r="K131" s="1">
        <v>3565.41</v>
      </c>
      <c r="L131" s="1">
        <v>20</v>
      </c>
    </row>
    <row r="132" spans="1:12" x14ac:dyDescent="0.3">
      <c r="A132" s="2">
        <v>45085</v>
      </c>
      <c r="B132" s="2">
        <v>45092</v>
      </c>
      <c r="C132" s="1" t="s">
        <v>36</v>
      </c>
      <c r="D132" s="1" t="s">
        <v>28</v>
      </c>
      <c r="E132" s="1" t="s">
        <v>16</v>
      </c>
      <c r="F132" s="1" t="s">
        <v>24</v>
      </c>
      <c r="G132" s="1" t="s">
        <v>30</v>
      </c>
      <c r="H132" s="1" t="s">
        <v>38</v>
      </c>
      <c r="I132" s="1" t="s">
        <v>27</v>
      </c>
      <c r="J132" s="1">
        <v>2</v>
      </c>
      <c r="K132" s="1">
        <v>1766.42</v>
      </c>
      <c r="L132" s="1">
        <v>10</v>
      </c>
    </row>
    <row r="133" spans="1:12" x14ac:dyDescent="0.3">
      <c r="A133" s="2">
        <v>45114</v>
      </c>
      <c r="B133" s="2">
        <v>45123</v>
      </c>
      <c r="C133" s="1" t="s">
        <v>15</v>
      </c>
      <c r="D133" s="1" t="s">
        <v>37</v>
      </c>
      <c r="E133" s="1" t="s">
        <v>16</v>
      </c>
      <c r="F133" s="1" t="s">
        <v>41</v>
      </c>
      <c r="G133" s="1" t="s">
        <v>48</v>
      </c>
      <c r="H133" s="1" t="s">
        <v>50</v>
      </c>
      <c r="I133" s="1" t="s">
        <v>32</v>
      </c>
      <c r="J133" s="1">
        <v>1</v>
      </c>
      <c r="K133" s="1">
        <v>2063.0500000000002</v>
      </c>
      <c r="L133" s="1">
        <v>0</v>
      </c>
    </row>
    <row r="134" spans="1:12" x14ac:dyDescent="0.3">
      <c r="A134" s="2">
        <v>44986</v>
      </c>
      <c r="B134" s="2">
        <v>44993</v>
      </c>
      <c r="C134" s="1" t="s">
        <v>36</v>
      </c>
      <c r="D134" s="1" t="s">
        <v>53</v>
      </c>
      <c r="E134" s="1" t="s">
        <v>29</v>
      </c>
      <c r="F134" s="1" t="s">
        <v>24</v>
      </c>
      <c r="G134" s="1" t="s">
        <v>56</v>
      </c>
      <c r="H134" s="1" t="s">
        <v>57</v>
      </c>
      <c r="I134" s="1" t="s">
        <v>20</v>
      </c>
      <c r="J134" s="1">
        <v>7</v>
      </c>
      <c r="K134" s="1">
        <v>3680.23</v>
      </c>
      <c r="L134" s="1">
        <v>5</v>
      </c>
    </row>
    <row r="135" spans="1:12" x14ac:dyDescent="0.3">
      <c r="A135" s="2">
        <v>45231</v>
      </c>
      <c r="B135" s="2">
        <v>45234</v>
      </c>
      <c r="C135" s="1" t="s">
        <v>39</v>
      </c>
      <c r="D135" s="1" t="s">
        <v>53</v>
      </c>
      <c r="E135" s="1" t="s">
        <v>29</v>
      </c>
      <c r="F135" s="1" t="s">
        <v>17</v>
      </c>
      <c r="G135" s="1" t="s">
        <v>18</v>
      </c>
      <c r="H135" s="1" t="s">
        <v>54</v>
      </c>
      <c r="I135" s="1" t="s">
        <v>32</v>
      </c>
      <c r="J135" s="1">
        <v>8</v>
      </c>
      <c r="K135" s="1">
        <v>3138.72</v>
      </c>
      <c r="L135" s="1">
        <v>20</v>
      </c>
    </row>
    <row r="136" spans="1:12" x14ac:dyDescent="0.3">
      <c r="A136" s="2">
        <v>45245</v>
      </c>
      <c r="B136" s="2">
        <v>45246</v>
      </c>
      <c r="C136" s="1" t="s">
        <v>36</v>
      </c>
      <c r="D136" s="1" t="s">
        <v>37</v>
      </c>
      <c r="E136" s="1" t="s">
        <v>23</v>
      </c>
      <c r="F136" s="1" t="s">
        <v>34</v>
      </c>
      <c r="G136" s="1" t="s">
        <v>56</v>
      </c>
      <c r="H136" s="1" t="s">
        <v>58</v>
      </c>
      <c r="I136" s="1" t="s">
        <v>46</v>
      </c>
      <c r="J136" s="1">
        <v>6</v>
      </c>
      <c r="K136" s="1">
        <v>652.42999999999995</v>
      </c>
      <c r="L136" s="1">
        <v>10</v>
      </c>
    </row>
    <row r="137" spans="1:12" x14ac:dyDescent="0.3">
      <c r="A137" s="2">
        <v>45137</v>
      </c>
      <c r="B137" s="2">
        <v>45145</v>
      </c>
      <c r="C137" s="1" t="s">
        <v>39</v>
      </c>
      <c r="D137" s="1" t="s">
        <v>40</v>
      </c>
      <c r="E137" s="1" t="s">
        <v>29</v>
      </c>
      <c r="F137" s="1" t="s">
        <v>41</v>
      </c>
      <c r="G137" s="1" t="s">
        <v>56</v>
      </c>
      <c r="H137" s="1" t="s">
        <v>61</v>
      </c>
      <c r="I137" s="1" t="s">
        <v>32</v>
      </c>
      <c r="J137" s="1">
        <v>4</v>
      </c>
      <c r="K137" s="1">
        <v>2326.87</v>
      </c>
      <c r="L137" s="1">
        <v>15</v>
      </c>
    </row>
    <row r="138" spans="1:12" x14ac:dyDescent="0.3">
      <c r="A138" s="2">
        <v>45078</v>
      </c>
      <c r="B138" s="2">
        <v>45081</v>
      </c>
      <c r="C138" s="1" t="s">
        <v>21</v>
      </c>
      <c r="D138" s="1" t="s">
        <v>53</v>
      </c>
      <c r="E138" s="1" t="s">
        <v>23</v>
      </c>
      <c r="F138" s="1" t="s">
        <v>24</v>
      </c>
      <c r="G138" s="1" t="s">
        <v>30</v>
      </c>
      <c r="H138" s="1" t="s">
        <v>47</v>
      </c>
      <c r="I138" s="1" t="s">
        <v>20</v>
      </c>
      <c r="J138" s="1">
        <v>6</v>
      </c>
      <c r="K138" s="1">
        <v>1852.67</v>
      </c>
      <c r="L138" s="1">
        <v>5</v>
      </c>
    </row>
    <row r="139" spans="1:12" x14ac:dyDescent="0.3">
      <c r="A139" s="2">
        <v>45035</v>
      </c>
      <c r="B139" s="2">
        <v>45043</v>
      </c>
      <c r="C139" s="1" t="s">
        <v>33</v>
      </c>
      <c r="D139" s="1" t="s">
        <v>28</v>
      </c>
      <c r="E139" s="1" t="s">
        <v>29</v>
      </c>
      <c r="F139" s="1" t="s">
        <v>43</v>
      </c>
      <c r="G139" s="1" t="s">
        <v>18</v>
      </c>
      <c r="H139" s="1" t="s">
        <v>19</v>
      </c>
      <c r="I139" s="1" t="s">
        <v>46</v>
      </c>
      <c r="J139" s="1">
        <v>3</v>
      </c>
      <c r="K139" s="1">
        <v>3219.26</v>
      </c>
      <c r="L139" s="1">
        <v>10</v>
      </c>
    </row>
    <row r="140" spans="1:12" x14ac:dyDescent="0.3">
      <c r="A140" s="2">
        <v>45002</v>
      </c>
      <c r="B140" s="2">
        <v>45010</v>
      </c>
      <c r="C140" s="1" t="s">
        <v>21</v>
      </c>
      <c r="D140" s="1" t="s">
        <v>22</v>
      </c>
      <c r="E140" s="1" t="s">
        <v>29</v>
      </c>
      <c r="F140" s="1" t="s">
        <v>41</v>
      </c>
      <c r="G140" s="1" t="s">
        <v>56</v>
      </c>
      <c r="H140" s="1" t="s">
        <v>61</v>
      </c>
      <c r="I140" s="1" t="s">
        <v>32</v>
      </c>
      <c r="J140" s="1">
        <v>8</v>
      </c>
      <c r="K140" s="1">
        <v>2938.3</v>
      </c>
      <c r="L140" s="1">
        <v>15</v>
      </c>
    </row>
    <row r="141" spans="1:12" x14ac:dyDescent="0.3">
      <c r="A141" s="2">
        <v>44956</v>
      </c>
      <c r="B141" s="2">
        <v>44961</v>
      </c>
      <c r="C141" s="1" t="s">
        <v>21</v>
      </c>
      <c r="D141" s="1" t="s">
        <v>53</v>
      </c>
      <c r="E141" s="1" t="s">
        <v>23</v>
      </c>
      <c r="F141" s="1" t="s">
        <v>17</v>
      </c>
      <c r="G141" s="1" t="s">
        <v>48</v>
      </c>
      <c r="H141" s="1" t="s">
        <v>50</v>
      </c>
      <c r="I141" s="1" t="s">
        <v>27</v>
      </c>
      <c r="J141" s="1">
        <v>2</v>
      </c>
      <c r="K141" s="1">
        <v>2808.06</v>
      </c>
      <c r="L141" s="1">
        <v>0</v>
      </c>
    </row>
    <row r="142" spans="1:12" x14ac:dyDescent="0.3">
      <c r="A142" s="2">
        <v>45240</v>
      </c>
      <c r="B142" s="2">
        <v>45241</v>
      </c>
      <c r="C142" s="1" t="s">
        <v>33</v>
      </c>
      <c r="D142" s="1" t="s">
        <v>28</v>
      </c>
      <c r="E142" s="1" t="s">
        <v>29</v>
      </c>
      <c r="F142" s="1" t="s">
        <v>17</v>
      </c>
      <c r="G142" s="1" t="s">
        <v>48</v>
      </c>
      <c r="H142" s="1" t="s">
        <v>62</v>
      </c>
      <c r="I142" s="1" t="s">
        <v>46</v>
      </c>
      <c r="J142" s="1">
        <v>5</v>
      </c>
      <c r="K142" s="1">
        <v>1461.1</v>
      </c>
      <c r="L142" s="1">
        <v>15</v>
      </c>
    </row>
    <row r="143" spans="1:12" x14ac:dyDescent="0.3">
      <c r="A143" s="2">
        <v>45043</v>
      </c>
      <c r="B143" s="2">
        <v>45050</v>
      </c>
      <c r="C143" s="1" t="s">
        <v>36</v>
      </c>
      <c r="D143" s="1" t="s">
        <v>15</v>
      </c>
      <c r="E143" s="1" t="s">
        <v>23</v>
      </c>
      <c r="F143" s="1" t="s">
        <v>43</v>
      </c>
      <c r="G143" s="1" t="s">
        <v>51</v>
      </c>
      <c r="H143" s="1" t="s">
        <v>55</v>
      </c>
      <c r="I143" s="1" t="s">
        <v>46</v>
      </c>
      <c r="J143" s="1">
        <v>1</v>
      </c>
      <c r="K143" s="1">
        <v>3249.11</v>
      </c>
      <c r="L143" s="1">
        <v>10</v>
      </c>
    </row>
    <row r="144" spans="1:12" x14ac:dyDescent="0.3">
      <c r="A144" s="2">
        <v>45118</v>
      </c>
      <c r="B144" s="2">
        <v>45126</v>
      </c>
      <c r="C144" s="1" t="s">
        <v>39</v>
      </c>
      <c r="D144" s="1" t="s">
        <v>22</v>
      </c>
      <c r="E144" s="1" t="s">
        <v>16</v>
      </c>
      <c r="F144" s="1" t="s">
        <v>41</v>
      </c>
      <c r="G144" s="1" t="s">
        <v>18</v>
      </c>
      <c r="H144" s="1" t="s">
        <v>42</v>
      </c>
      <c r="I144" s="1" t="s">
        <v>44</v>
      </c>
      <c r="J144" s="1">
        <v>2</v>
      </c>
      <c r="K144" s="1">
        <v>764.56</v>
      </c>
      <c r="L144" s="1">
        <v>0</v>
      </c>
    </row>
    <row r="145" spans="1:12" x14ac:dyDescent="0.3">
      <c r="A145" s="2">
        <v>44945</v>
      </c>
      <c r="B145" s="2">
        <v>44954</v>
      </c>
      <c r="C145" s="1" t="s">
        <v>15</v>
      </c>
      <c r="D145" s="1" t="s">
        <v>28</v>
      </c>
      <c r="E145" s="1" t="s">
        <v>29</v>
      </c>
      <c r="F145" s="1" t="s">
        <v>24</v>
      </c>
      <c r="G145" s="1" t="s">
        <v>51</v>
      </c>
      <c r="H145" s="1" t="s">
        <v>55</v>
      </c>
      <c r="I145" s="1" t="s">
        <v>20</v>
      </c>
      <c r="J145" s="1">
        <v>4</v>
      </c>
      <c r="K145" s="1">
        <v>1442.15</v>
      </c>
      <c r="L145" s="1">
        <v>15</v>
      </c>
    </row>
    <row r="146" spans="1:12" x14ac:dyDescent="0.3">
      <c r="A146" s="2">
        <v>45099</v>
      </c>
      <c r="B146" s="2">
        <v>45106</v>
      </c>
      <c r="C146" s="1" t="s">
        <v>39</v>
      </c>
      <c r="D146" s="1" t="s">
        <v>37</v>
      </c>
      <c r="E146" s="1" t="s">
        <v>23</v>
      </c>
      <c r="F146" s="1" t="s">
        <v>17</v>
      </c>
      <c r="G146" s="1" t="s">
        <v>56</v>
      </c>
      <c r="H146" s="1" t="s">
        <v>58</v>
      </c>
      <c r="I146" s="1" t="s">
        <v>44</v>
      </c>
      <c r="J146" s="1">
        <v>6</v>
      </c>
      <c r="K146" s="1">
        <v>445.71</v>
      </c>
      <c r="L146" s="1">
        <v>15</v>
      </c>
    </row>
    <row r="147" spans="1:12" x14ac:dyDescent="0.3">
      <c r="A147" s="2">
        <v>45154</v>
      </c>
      <c r="B147" s="2">
        <v>45161</v>
      </c>
      <c r="C147" s="1" t="s">
        <v>15</v>
      </c>
      <c r="D147" s="1" t="s">
        <v>22</v>
      </c>
      <c r="E147" s="1" t="s">
        <v>29</v>
      </c>
      <c r="F147" s="1" t="s">
        <v>24</v>
      </c>
      <c r="G147" s="1" t="s">
        <v>18</v>
      </c>
      <c r="H147" s="1" t="s">
        <v>19</v>
      </c>
      <c r="I147" s="1" t="s">
        <v>32</v>
      </c>
      <c r="J147" s="1">
        <v>8</v>
      </c>
      <c r="K147" s="1">
        <v>1054.73</v>
      </c>
      <c r="L147" s="1">
        <v>0</v>
      </c>
    </row>
    <row r="148" spans="1:12" x14ac:dyDescent="0.3">
      <c r="A148" s="2">
        <v>45276</v>
      </c>
      <c r="B148" s="2">
        <v>45277</v>
      </c>
      <c r="C148" s="1" t="s">
        <v>21</v>
      </c>
      <c r="D148" s="1" t="s">
        <v>40</v>
      </c>
      <c r="E148" s="1" t="s">
        <v>23</v>
      </c>
      <c r="F148" s="1" t="s">
        <v>17</v>
      </c>
      <c r="G148" s="1" t="s">
        <v>48</v>
      </c>
      <c r="H148" s="1" t="s">
        <v>62</v>
      </c>
      <c r="I148" s="1" t="s">
        <v>27</v>
      </c>
      <c r="J148" s="1">
        <v>8</v>
      </c>
      <c r="K148" s="1">
        <v>3346.08</v>
      </c>
      <c r="L148" s="1">
        <v>15</v>
      </c>
    </row>
    <row r="149" spans="1:12" x14ac:dyDescent="0.3">
      <c r="A149" s="2">
        <v>45109</v>
      </c>
      <c r="B149" s="2">
        <v>45113</v>
      </c>
      <c r="C149" s="1" t="s">
        <v>33</v>
      </c>
      <c r="D149" s="1" t="s">
        <v>15</v>
      </c>
      <c r="E149" s="1" t="s">
        <v>23</v>
      </c>
      <c r="F149" s="1" t="s">
        <v>24</v>
      </c>
      <c r="G149" s="1" t="s">
        <v>48</v>
      </c>
      <c r="H149" s="1" t="s">
        <v>67</v>
      </c>
      <c r="I149" s="1" t="s">
        <v>44</v>
      </c>
      <c r="J149" s="1">
        <v>6</v>
      </c>
      <c r="K149" s="1">
        <v>3800.77</v>
      </c>
      <c r="L149" s="1">
        <v>0</v>
      </c>
    </row>
    <row r="150" spans="1:12" x14ac:dyDescent="0.3">
      <c r="A150" s="2">
        <v>45039</v>
      </c>
      <c r="B150" s="2">
        <v>45041</v>
      </c>
      <c r="C150" s="1" t="s">
        <v>21</v>
      </c>
      <c r="D150" s="1" t="s">
        <v>37</v>
      </c>
      <c r="E150" s="1" t="s">
        <v>16</v>
      </c>
      <c r="F150" s="1" t="s">
        <v>43</v>
      </c>
      <c r="G150" s="1" t="s">
        <v>30</v>
      </c>
      <c r="H150" s="1" t="s">
        <v>47</v>
      </c>
      <c r="I150" s="1" t="s">
        <v>46</v>
      </c>
      <c r="J150" s="1">
        <v>4</v>
      </c>
      <c r="K150" s="1">
        <v>1322.72</v>
      </c>
      <c r="L150" s="1">
        <v>5</v>
      </c>
    </row>
    <row r="151" spans="1:12" x14ac:dyDescent="0.3">
      <c r="A151" s="2">
        <v>45109</v>
      </c>
      <c r="B151" s="2">
        <v>45111</v>
      </c>
      <c r="C151" s="1" t="s">
        <v>45</v>
      </c>
      <c r="D151" s="1" t="s">
        <v>40</v>
      </c>
      <c r="E151" s="1" t="s">
        <v>16</v>
      </c>
      <c r="F151" s="1" t="s">
        <v>34</v>
      </c>
      <c r="G151" s="1" t="s">
        <v>18</v>
      </c>
      <c r="H151" s="1" t="s">
        <v>19</v>
      </c>
      <c r="I151" s="1" t="s">
        <v>32</v>
      </c>
      <c r="J151" s="1">
        <v>8</v>
      </c>
      <c r="K151" s="1">
        <v>1168.3900000000001</v>
      </c>
      <c r="L151" s="1">
        <v>10</v>
      </c>
    </row>
    <row r="152" spans="1:12" x14ac:dyDescent="0.3">
      <c r="A152" s="2">
        <v>45072</v>
      </c>
      <c r="B152" s="2">
        <v>45074</v>
      </c>
      <c r="C152" s="1" t="s">
        <v>36</v>
      </c>
      <c r="D152" s="1" t="s">
        <v>28</v>
      </c>
      <c r="E152" s="1" t="s">
        <v>23</v>
      </c>
      <c r="F152" s="1" t="s">
        <v>43</v>
      </c>
      <c r="G152" s="1" t="s">
        <v>56</v>
      </c>
      <c r="H152" s="1" t="s">
        <v>57</v>
      </c>
      <c r="I152" s="1" t="s">
        <v>32</v>
      </c>
      <c r="J152" s="1">
        <v>8</v>
      </c>
      <c r="K152" s="1">
        <v>1227.5899999999999</v>
      </c>
      <c r="L152" s="1">
        <v>5</v>
      </c>
    </row>
    <row r="153" spans="1:12" x14ac:dyDescent="0.3">
      <c r="A153" s="2">
        <v>45245</v>
      </c>
      <c r="B153" s="2">
        <v>45249</v>
      </c>
      <c r="C153" s="1" t="s">
        <v>15</v>
      </c>
      <c r="D153" s="1" t="s">
        <v>22</v>
      </c>
      <c r="E153" s="1" t="s">
        <v>29</v>
      </c>
      <c r="F153" s="1" t="s">
        <v>43</v>
      </c>
      <c r="G153" s="1" t="s">
        <v>51</v>
      </c>
      <c r="H153" s="1" t="s">
        <v>52</v>
      </c>
      <c r="I153" s="1" t="s">
        <v>44</v>
      </c>
      <c r="J153" s="1">
        <v>1</v>
      </c>
      <c r="K153" s="1">
        <v>1219.22</v>
      </c>
      <c r="L153" s="1">
        <v>20</v>
      </c>
    </row>
    <row r="154" spans="1:12" x14ac:dyDescent="0.3">
      <c r="A154" s="2">
        <v>45042</v>
      </c>
      <c r="B154" s="2">
        <v>45043</v>
      </c>
      <c r="C154" s="1" t="s">
        <v>39</v>
      </c>
      <c r="D154" s="1" t="s">
        <v>15</v>
      </c>
      <c r="E154" s="1" t="s">
        <v>23</v>
      </c>
      <c r="F154" s="1" t="s">
        <v>34</v>
      </c>
      <c r="G154" s="1" t="s">
        <v>51</v>
      </c>
      <c r="H154" s="1" t="s">
        <v>63</v>
      </c>
      <c r="I154" s="1" t="s">
        <v>44</v>
      </c>
      <c r="J154" s="1">
        <v>4</v>
      </c>
      <c r="K154" s="1">
        <v>288.33</v>
      </c>
      <c r="L154" s="1">
        <v>20</v>
      </c>
    </row>
    <row r="155" spans="1:12" x14ac:dyDescent="0.3">
      <c r="A155" s="2">
        <v>45039</v>
      </c>
      <c r="B155" s="2">
        <v>45043</v>
      </c>
      <c r="C155" s="1" t="s">
        <v>33</v>
      </c>
      <c r="D155" s="1" t="s">
        <v>37</v>
      </c>
      <c r="E155" s="1" t="s">
        <v>23</v>
      </c>
      <c r="F155" s="1" t="s">
        <v>34</v>
      </c>
      <c r="G155" s="1" t="s">
        <v>56</v>
      </c>
      <c r="H155" s="1" t="s">
        <v>61</v>
      </c>
      <c r="I155" s="1" t="s">
        <v>27</v>
      </c>
      <c r="J155" s="1">
        <v>4</v>
      </c>
      <c r="K155" s="1">
        <v>3718.63</v>
      </c>
      <c r="L155" s="1">
        <v>20</v>
      </c>
    </row>
    <row r="156" spans="1:12" x14ac:dyDescent="0.3">
      <c r="A156" s="2">
        <v>45177</v>
      </c>
      <c r="B156" s="2">
        <v>45179</v>
      </c>
      <c r="C156" s="1" t="s">
        <v>15</v>
      </c>
      <c r="D156" s="1" t="s">
        <v>40</v>
      </c>
      <c r="E156" s="1" t="s">
        <v>29</v>
      </c>
      <c r="F156" s="1" t="s">
        <v>41</v>
      </c>
      <c r="G156" s="1" t="s">
        <v>25</v>
      </c>
      <c r="H156" s="1" t="s">
        <v>26</v>
      </c>
      <c r="I156" s="1" t="s">
        <v>20</v>
      </c>
      <c r="J156" s="1">
        <v>7</v>
      </c>
      <c r="K156" s="1">
        <v>972.74</v>
      </c>
      <c r="L156" s="1">
        <v>0</v>
      </c>
    </row>
    <row r="157" spans="1:12" x14ac:dyDescent="0.3">
      <c r="A157" s="2">
        <v>45177</v>
      </c>
      <c r="B157" s="2">
        <v>45182</v>
      </c>
      <c r="C157" s="1" t="s">
        <v>39</v>
      </c>
      <c r="D157" s="1" t="s">
        <v>40</v>
      </c>
      <c r="E157" s="1" t="s">
        <v>29</v>
      </c>
      <c r="F157" s="1" t="s">
        <v>41</v>
      </c>
      <c r="G157" s="1" t="s">
        <v>30</v>
      </c>
      <c r="H157" s="1" t="s">
        <v>31</v>
      </c>
      <c r="I157" s="1" t="s">
        <v>44</v>
      </c>
      <c r="J157" s="1">
        <v>7</v>
      </c>
      <c r="K157" s="1">
        <v>1767.02</v>
      </c>
      <c r="L157" s="1">
        <v>15</v>
      </c>
    </row>
    <row r="158" spans="1:12" x14ac:dyDescent="0.3">
      <c r="A158" s="2">
        <v>45229</v>
      </c>
      <c r="B158" s="2">
        <v>45232</v>
      </c>
      <c r="C158" s="1" t="s">
        <v>36</v>
      </c>
      <c r="D158" s="1" t="s">
        <v>15</v>
      </c>
      <c r="E158" s="1" t="s">
        <v>29</v>
      </c>
      <c r="F158" s="1" t="s">
        <v>43</v>
      </c>
      <c r="G158" s="1" t="s">
        <v>51</v>
      </c>
      <c r="H158" s="1" t="s">
        <v>55</v>
      </c>
      <c r="I158" s="1" t="s">
        <v>44</v>
      </c>
      <c r="J158" s="1">
        <v>8</v>
      </c>
      <c r="K158" s="1">
        <v>187.29</v>
      </c>
      <c r="L158" s="1">
        <v>5</v>
      </c>
    </row>
    <row r="159" spans="1:12" x14ac:dyDescent="0.3">
      <c r="A159" s="2">
        <v>45044</v>
      </c>
      <c r="B159" s="2">
        <v>45048</v>
      </c>
      <c r="C159" s="1" t="s">
        <v>36</v>
      </c>
      <c r="D159" s="1" t="s">
        <v>15</v>
      </c>
      <c r="E159" s="1" t="s">
        <v>23</v>
      </c>
      <c r="F159" s="1" t="s">
        <v>17</v>
      </c>
      <c r="G159" s="1" t="s">
        <v>30</v>
      </c>
      <c r="H159" s="1" t="s">
        <v>64</v>
      </c>
      <c r="I159" s="1" t="s">
        <v>32</v>
      </c>
      <c r="J159" s="1">
        <v>7</v>
      </c>
      <c r="K159" s="1">
        <v>2964.96</v>
      </c>
      <c r="L159" s="1">
        <v>5</v>
      </c>
    </row>
    <row r="160" spans="1:12" x14ac:dyDescent="0.3">
      <c r="A160" s="2">
        <v>45227</v>
      </c>
      <c r="B160" s="2">
        <v>45228</v>
      </c>
      <c r="C160" s="1" t="s">
        <v>14</v>
      </c>
      <c r="D160" s="1" t="s">
        <v>40</v>
      </c>
      <c r="E160" s="1" t="s">
        <v>23</v>
      </c>
      <c r="F160" s="1" t="s">
        <v>17</v>
      </c>
      <c r="G160" s="1" t="s">
        <v>18</v>
      </c>
      <c r="H160" s="1" t="s">
        <v>42</v>
      </c>
      <c r="I160" s="1" t="s">
        <v>20</v>
      </c>
      <c r="J160" s="1">
        <v>8</v>
      </c>
      <c r="K160" s="1">
        <v>3795.01</v>
      </c>
      <c r="L160" s="1">
        <v>5</v>
      </c>
    </row>
    <row r="161" spans="1:12" x14ac:dyDescent="0.3">
      <c r="A161" s="2">
        <v>45087</v>
      </c>
      <c r="B161" s="2">
        <v>45088</v>
      </c>
      <c r="C161" s="1" t="s">
        <v>45</v>
      </c>
      <c r="D161" s="1" t="s">
        <v>53</v>
      </c>
      <c r="E161" s="1" t="s">
        <v>16</v>
      </c>
      <c r="F161" s="1" t="s">
        <v>41</v>
      </c>
      <c r="G161" s="1" t="s">
        <v>48</v>
      </c>
      <c r="H161" s="1" t="s">
        <v>62</v>
      </c>
      <c r="I161" s="1" t="s">
        <v>46</v>
      </c>
      <c r="J161" s="1">
        <v>9</v>
      </c>
      <c r="K161" s="1">
        <v>3159.22</v>
      </c>
      <c r="L161" s="1">
        <v>20</v>
      </c>
    </row>
    <row r="162" spans="1:12" x14ac:dyDescent="0.3">
      <c r="A162" s="2">
        <v>45124</v>
      </c>
      <c r="B162" s="2">
        <v>45127</v>
      </c>
      <c r="C162" s="1" t="s">
        <v>14</v>
      </c>
      <c r="D162" s="1" t="s">
        <v>37</v>
      </c>
      <c r="E162" s="1" t="s">
        <v>23</v>
      </c>
      <c r="F162" s="1" t="s">
        <v>41</v>
      </c>
      <c r="G162" s="1" t="s">
        <v>30</v>
      </c>
      <c r="H162" s="1" t="s">
        <v>64</v>
      </c>
      <c r="I162" s="1" t="s">
        <v>27</v>
      </c>
      <c r="J162" s="1">
        <v>3</v>
      </c>
      <c r="K162" s="1">
        <v>1357.77</v>
      </c>
      <c r="L162" s="1">
        <v>5</v>
      </c>
    </row>
    <row r="163" spans="1:12" x14ac:dyDescent="0.3">
      <c r="A163" s="2">
        <v>45186</v>
      </c>
      <c r="B163" s="2">
        <v>45195</v>
      </c>
      <c r="C163" s="1" t="s">
        <v>33</v>
      </c>
      <c r="D163" s="1" t="s">
        <v>15</v>
      </c>
      <c r="E163" s="1" t="s">
        <v>29</v>
      </c>
      <c r="F163" s="1" t="s">
        <v>17</v>
      </c>
      <c r="G163" s="1" t="s">
        <v>51</v>
      </c>
      <c r="H163" s="1" t="s">
        <v>52</v>
      </c>
      <c r="I163" s="1" t="s">
        <v>27</v>
      </c>
      <c r="J163" s="1">
        <v>3</v>
      </c>
      <c r="K163" s="1">
        <v>1104.31</v>
      </c>
      <c r="L163" s="1">
        <v>15</v>
      </c>
    </row>
    <row r="164" spans="1:12" x14ac:dyDescent="0.3">
      <c r="A164" s="2">
        <v>45074</v>
      </c>
      <c r="B164" s="2">
        <v>45081</v>
      </c>
      <c r="C164" s="1" t="s">
        <v>15</v>
      </c>
      <c r="D164" s="1" t="s">
        <v>40</v>
      </c>
      <c r="E164" s="1" t="s">
        <v>16</v>
      </c>
      <c r="F164" s="1" t="s">
        <v>17</v>
      </c>
      <c r="G164" s="1" t="s">
        <v>30</v>
      </c>
      <c r="H164" s="1" t="s">
        <v>31</v>
      </c>
      <c r="I164" s="1" t="s">
        <v>44</v>
      </c>
      <c r="J164" s="1">
        <v>4</v>
      </c>
      <c r="K164" s="1">
        <v>2836.21</v>
      </c>
      <c r="L164" s="1">
        <v>20</v>
      </c>
    </row>
    <row r="165" spans="1:12" x14ac:dyDescent="0.3">
      <c r="A165" s="2">
        <v>45124</v>
      </c>
      <c r="B165" s="2">
        <v>45126</v>
      </c>
      <c r="C165" s="1" t="s">
        <v>39</v>
      </c>
      <c r="D165" s="1" t="s">
        <v>28</v>
      </c>
      <c r="E165" s="1" t="s">
        <v>16</v>
      </c>
      <c r="F165" s="1" t="s">
        <v>17</v>
      </c>
      <c r="G165" s="1" t="s">
        <v>25</v>
      </c>
      <c r="H165" s="1" t="s">
        <v>60</v>
      </c>
      <c r="I165" s="1" t="s">
        <v>44</v>
      </c>
      <c r="J165" s="1">
        <v>7</v>
      </c>
      <c r="K165" s="1">
        <v>174.09</v>
      </c>
      <c r="L165" s="1">
        <v>10</v>
      </c>
    </row>
    <row r="166" spans="1:12" x14ac:dyDescent="0.3">
      <c r="A166" s="2">
        <v>44973</v>
      </c>
      <c r="B166" s="2">
        <v>44976</v>
      </c>
      <c r="C166" s="1" t="s">
        <v>36</v>
      </c>
      <c r="D166" s="1" t="s">
        <v>15</v>
      </c>
      <c r="E166" s="1" t="s">
        <v>29</v>
      </c>
      <c r="F166" s="1" t="s">
        <v>24</v>
      </c>
      <c r="G166" s="1" t="s">
        <v>30</v>
      </c>
      <c r="H166" s="1" t="s">
        <v>31</v>
      </c>
      <c r="I166" s="1" t="s">
        <v>20</v>
      </c>
      <c r="J166" s="1">
        <v>9</v>
      </c>
      <c r="K166" s="1">
        <v>388.26</v>
      </c>
      <c r="L166" s="1">
        <v>10</v>
      </c>
    </row>
    <row r="167" spans="1:12" x14ac:dyDescent="0.3">
      <c r="A167" s="2">
        <v>45004</v>
      </c>
      <c r="B167" s="2">
        <v>45006</v>
      </c>
      <c r="C167" s="1" t="s">
        <v>14</v>
      </c>
      <c r="D167" s="1" t="s">
        <v>28</v>
      </c>
      <c r="E167" s="1" t="s">
        <v>16</v>
      </c>
      <c r="F167" s="1" t="s">
        <v>34</v>
      </c>
      <c r="G167" s="1" t="s">
        <v>18</v>
      </c>
      <c r="H167" s="1" t="s">
        <v>42</v>
      </c>
      <c r="I167" s="1" t="s">
        <v>44</v>
      </c>
      <c r="J167" s="1">
        <v>8</v>
      </c>
      <c r="K167" s="1">
        <v>2211.17</v>
      </c>
      <c r="L167" s="1">
        <v>10</v>
      </c>
    </row>
    <row r="168" spans="1:12" x14ac:dyDescent="0.3">
      <c r="A168" s="2">
        <v>45050</v>
      </c>
      <c r="B168" s="2">
        <v>45053</v>
      </c>
      <c r="C168" s="1" t="s">
        <v>14</v>
      </c>
      <c r="D168" s="1" t="s">
        <v>22</v>
      </c>
      <c r="E168" s="1" t="s">
        <v>16</v>
      </c>
      <c r="F168" s="1" t="s">
        <v>41</v>
      </c>
      <c r="G168" s="1" t="s">
        <v>48</v>
      </c>
      <c r="H168" s="1" t="s">
        <v>49</v>
      </c>
      <c r="I168" s="1" t="s">
        <v>32</v>
      </c>
      <c r="J168" s="1">
        <v>5</v>
      </c>
      <c r="K168" s="1">
        <v>2329.38</v>
      </c>
      <c r="L168" s="1">
        <v>20</v>
      </c>
    </row>
    <row r="169" spans="1:12" x14ac:dyDescent="0.3">
      <c r="A169" s="2">
        <v>45285</v>
      </c>
      <c r="B169" s="2">
        <v>45294</v>
      </c>
      <c r="C169" s="1" t="s">
        <v>14</v>
      </c>
      <c r="D169" s="1" t="s">
        <v>22</v>
      </c>
      <c r="E169" s="1" t="s">
        <v>29</v>
      </c>
      <c r="F169" s="1" t="s">
        <v>17</v>
      </c>
      <c r="G169" s="1" t="s">
        <v>30</v>
      </c>
      <c r="H169" s="1" t="s">
        <v>38</v>
      </c>
      <c r="I169" s="1" t="s">
        <v>46</v>
      </c>
      <c r="J169" s="1">
        <v>7</v>
      </c>
      <c r="K169" s="1">
        <v>658.07</v>
      </c>
      <c r="L169" s="1">
        <v>20</v>
      </c>
    </row>
    <row r="170" spans="1:12" x14ac:dyDescent="0.3">
      <c r="A170" s="2">
        <v>45063</v>
      </c>
      <c r="B170" s="2">
        <v>45072</v>
      </c>
      <c r="C170" s="1" t="s">
        <v>21</v>
      </c>
      <c r="D170" s="1" t="s">
        <v>53</v>
      </c>
      <c r="E170" s="1" t="s">
        <v>16</v>
      </c>
      <c r="F170" s="1" t="s">
        <v>43</v>
      </c>
      <c r="G170" s="1" t="s">
        <v>51</v>
      </c>
      <c r="H170" s="1" t="s">
        <v>63</v>
      </c>
      <c r="I170" s="1" t="s">
        <v>20</v>
      </c>
      <c r="J170" s="1">
        <v>5</v>
      </c>
      <c r="K170" s="1">
        <v>2125.75</v>
      </c>
      <c r="L170" s="1">
        <v>15</v>
      </c>
    </row>
    <row r="171" spans="1:12" x14ac:dyDescent="0.3">
      <c r="A171" s="2">
        <v>45016</v>
      </c>
      <c r="B171" s="2">
        <v>45023</v>
      </c>
      <c r="C171" s="1" t="s">
        <v>33</v>
      </c>
      <c r="D171" s="1" t="s">
        <v>15</v>
      </c>
      <c r="E171" s="1" t="s">
        <v>16</v>
      </c>
      <c r="F171" s="1" t="s">
        <v>17</v>
      </c>
      <c r="G171" s="1" t="s">
        <v>30</v>
      </c>
      <c r="H171" s="1" t="s">
        <v>38</v>
      </c>
      <c r="I171" s="1" t="s">
        <v>46</v>
      </c>
      <c r="J171" s="1">
        <v>7</v>
      </c>
      <c r="K171" s="1">
        <v>898.62</v>
      </c>
      <c r="L171" s="1">
        <v>0</v>
      </c>
    </row>
    <row r="172" spans="1:12" x14ac:dyDescent="0.3">
      <c r="A172" s="2">
        <v>45251</v>
      </c>
      <c r="B172" s="2">
        <v>45254</v>
      </c>
      <c r="C172" s="1" t="s">
        <v>36</v>
      </c>
      <c r="D172" s="1" t="s">
        <v>40</v>
      </c>
      <c r="E172" s="1" t="s">
        <v>29</v>
      </c>
      <c r="F172" s="1" t="s">
        <v>24</v>
      </c>
      <c r="G172" s="1" t="s">
        <v>51</v>
      </c>
      <c r="H172" s="1" t="s">
        <v>55</v>
      </c>
      <c r="I172" s="1" t="s">
        <v>46</v>
      </c>
      <c r="J172" s="1">
        <v>1</v>
      </c>
      <c r="K172" s="1">
        <v>508.81</v>
      </c>
      <c r="L172" s="1">
        <v>0</v>
      </c>
    </row>
    <row r="173" spans="1:12" x14ac:dyDescent="0.3">
      <c r="A173" s="2">
        <v>44987</v>
      </c>
      <c r="B173" s="2">
        <v>44991</v>
      </c>
      <c r="C173" s="1" t="s">
        <v>15</v>
      </c>
      <c r="D173" s="1" t="s">
        <v>40</v>
      </c>
      <c r="E173" s="1" t="s">
        <v>16</v>
      </c>
      <c r="F173" s="1" t="s">
        <v>43</v>
      </c>
      <c r="G173" s="1" t="s">
        <v>18</v>
      </c>
      <c r="H173" s="1" t="s">
        <v>42</v>
      </c>
      <c r="I173" s="1" t="s">
        <v>32</v>
      </c>
      <c r="J173" s="1">
        <v>1</v>
      </c>
      <c r="K173" s="1">
        <v>1730.41</v>
      </c>
      <c r="L173" s="1">
        <v>10</v>
      </c>
    </row>
    <row r="174" spans="1:12" x14ac:dyDescent="0.3">
      <c r="A174" s="2">
        <v>45064</v>
      </c>
      <c r="B174" s="2">
        <v>45070</v>
      </c>
      <c r="C174" s="1" t="s">
        <v>39</v>
      </c>
      <c r="D174" s="1" t="s">
        <v>53</v>
      </c>
      <c r="E174" s="1" t="s">
        <v>16</v>
      </c>
      <c r="F174" s="1" t="s">
        <v>24</v>
      </c>
      <c r="G174" s="1" t="s">
        <v>51</v>
      </c>
      <c r="H174" s="1" t="s">
        <v>52</v>
      </c>
      <c r="I174" s="1" t="s">
        <v>20</v>
      </c>
      <c r="J174" s="1">
        <v>3</v>
      </c>
      <c r="K174" s="1">
        <v>778.85</v>
      </c>
      <c r="L174" s="1">
        <v>10</v>
      </c>
    </row>
    <row r="175" spans="1:12" x14ac:dyDescent="0.3">
      <c r="A175" s="2">
        <v>45185</v>
      </c>
      <c r="B175" s="2">
        <v>45187</v>
      </c>
      <c r="C175" s="1" t="s">
        <v>33</v>
      </c>
      <c r="D175" s="1" t="s">
        <v>53</v>
      </c>
      <c r="E175" s="1" t="s">
        <v>29</v>
      </c>
      <c r="F175" s="1" t="s">
        <v>24</v>
      </c>
      <c r="G175" s="1" t="s">
        <v>48</v>
      </c>
      <c r="H175" s="1" t="s">
        <v>50</v>
      </c>
      <c r="I175" s="1" t="s">
        <v>20</v>
      </c>
      <c r="J175" s="1">
        <v>2</v>
      </c>
      <c r="K175" s="1">
        <v>1372.59</v>
      </c>
      <c r="L175" s="1">
        <v>5</v>
      </c>
    </row>
    <row r="176" spans="1:12" x14ac:dyDescent="0.3">
      <c r="A176" s="2">
        <v>45033</v>
      </c>
      <c r="B176" s="2">
        <v>45039</v>
      </c>
      <c r="C176" s="1" t="s">
        <v>39</v>
      </c>
      <c r="D176" s="1" t="s">
        <v>28</v>
      </c>
      <c r="E176" s="1" t="s">
        <v>29</v>
      </c>
      <c r="F176" s="1" t="s">
        <v>34</v>
      </c>
      <c r="G176" s="1" t="s">
        <v>51</v>
      </c>
      <c r="H176" s="1" t="s">
        <v>55</v>
      </c>
      <c r="I176" s="1" t="s">
        <v>20</v>
      </c>
      <c r="J176" s="1">
        <v>7</v>
      </c>
      <c r="K176" s="1">
        <v>1148.6500000000001</v>
      </c>
      <c r="L176" s="1">
        <v>15</v>
      </c>
    </row>
    <row r="177" spans="1:12" x14ac:dyDescent="0.3">
      <c r="A177" s="2">
        <v>45039</v>
      </c>
      <c r="B177" s="2">
        <v>45042</v>
      </c>
      <c r="C177" s="1" t="s">
        <v>14</v>
      </c>
      <c r="D177" s="1" t="s">
        <v>28</v>
      </c>
      <c r="E177" s="1" t="s">
        <v>29</v>
      </c>
      <c r="F177" s="1" t="s">
        <v>34</v>
      </c>
      <c r="G177" s="1" t="s">
        <v>51</v>
      </c>
      <c r="H177" s="1" t="s">
        <v>59</v>
      </c>
      <c r="I177" s="1" t="s">
        <v>20</v>
      </c>
      <c r="J177" s="1">
        <v>2</v>
      </c>
      <c r="K177" s="1">
        <v>487.23</v>
      </c>
      <c r="L177" s="1">
        <v>15</v>
      </c>
    </row>
    <row r="178" spans="1:12" x14ac:dyDescent="0.3">
      <c r="A178" s="2">
        <v>45276</v>
      </c>
      <c r="B178" s="2">
        <v>45284</v>
      </c>
      <c r="C178" s="1" t="s">
        <v>45</v>
      </c>
      <c r="D178" s="1" t="s">
        <v>37</v>
      </c>
      <c r="E178" s="1" t="s">
        <v>29</v>
      </c>
      <c r="F178" s="1" t="s">
        <v>24</v>
      </c>
      <c r="G178" s="1" t="s">
        <v>48</v>
      </c>
      <c r="H178" s="1" t="s">
        <v>50</v>
      </c>
      <c r="I178" s="1" t="s">
        <v>32</v>
      </c>
      <c r="J178" s="1">
        <v>4</v>
      </c>
      <c r="K178" s="1">
        <v>496.18</v>
      </c>
      <c r="L178" s="1">
        <v>15</v>
      </c>
    </row>
    <row r="179" spans="1:12" x14ac:dyDescent="0.3">
      <c r="A179" s="2">
        <v>45180</v>
      </c>
      <c r="B179" s="2">
        <v>45182</v>
      </c>
      <c r="C179" s="1" t="s">
        <v>33</v>
      </c>
      <c r="D179" s="1" t="s">
        <v>40</v>
      </c>
      <c r="E179" s="1" t="s">
        <v>23</v>
      </c>
      <c r="F179" s="1" t="s">
        <v>24</v>
      </c>
      <c r="G179" s="1" t="s">
        <v>56</v>
      </c>
      <c r="H179" s="1" t="s">
        <v>58</v>
      </c>
      <c r="I179" s="1" t="s">
        <v>44</v>
      </c>
      <c r="J179" s="1">
        <v>2</v>
      </c>
      <c r="K179" s="1">
        <v>894.01</v>
      </c>
      <c r="L179" s="1">
        <v>15</v>
      </c>
    </row>
    <row r="180" spans="1:12" x14ac:dyDescent="0.3">
      <c r="A180" s="2">
        <v>45044</v>
      </c>
      <c r="B180" s="2">
        <v>45045</v>
      </c>
      <c r="C180" s="1" t="s">
        <v>33</v>
      </c>
      <c r="D180" s="1" t="s">
        <v>22</v>
      </c>
      <c r="E180" s="1" t="s">
        <v>16</v>
      </c>
      <c r="F180" s="1" t="s">
        <v>34</v>
      </c>
      <c r="G180" s="1" t="s">
        <v>30</v>
      </c>
      <c r="H180" s="1" t="s">
        <v>64</v>
      </c>
      <c r="I180" s="1" t="s">
        <v>46</v>
      </c>
      <c r="J180" s="1">
        <v>6</v>
      </c>
      <c r="K180" s="1">
        <v>344.65</v>
      </c>
      <c r="L180" s="1">
        <v>10</v>
      </c>
    </row>
    <row r="181" spans="1:12" x14ac:dyDescent="0.3">
      <c r="A181" s="2">
        <v>45124</v>
      </c>
      <c r="B181" s="2">
        <v>45133</v>
      </c>
      <c r="C181" s="1" t="s">
        <v>36</v>
      </c>
      <c r="D181" s="1" t="s">
        <v>28</v>
      </c>
      <c r="E181" s="1" t="s">
        <v>29</v>
      </c>
      <c r="F181" s="1" t="s">
        <v>43</v>
      </c>
      <c r="G181" s="1" t="s">
        <v>51</v>
      </c>
      <c r="H181" s="1" t="s">
        <v>52</v>
      </c>
      <c r="I181" s="1" t="s">
        <v>20</v>
      </c>
      <c r="J181" s="1">
        <v>8</v>
      </c>
      <c r="K181" s="1">
        <v>2561.86</v>
      </c>
      <c r="L181" s="1">
        <v>0</v>
      </c>
    </row>
    <row r="182" spans="1:12" x14ac:dyDescent="0.3">
      <c r="A182" s="2">
        <v>45263</v>
      </c>
      <c r="B182" s="2">
        <v>45266</v>
      </c>
      <c r="C182" s="1" t="s">
        <v>15</v>
      </c>
      <c r="D182" s="1" t="s">
        <v>37</v>
      </c>
      <c r="E182" s="1" t="s">
        <v>16</v>
      </c>
      <c r="F182" s="1" t="s">
        <v>34</v>
      </c>
      <c r="G182" s="1" t="s">
        <v>48</v>
      </c>
      <c r="H182" s="1" t="s">
        <v>67</v>
      </c>
      <c r="I182" s="1" t="s">
        <v>44</v>
      </c>
      <c r="J182" s="1">
        <v>4</v>
      </c>
      <c r="K182" s="1">
        <v>1256.21</v>
      </c>
      <c r="L182" s="1">
        <v>10</v>
      </c>
    </row>
    <row r="183" spans="1:12" x14ac:dyDescent="0.3">
      <c r="A183" s="2">
        <v>45291</v>
      </c>
      <c r="B183" s="2">
        <v>45292</v>
      </c>
      <c r="C183" s="1" t="s">
        <v>33</v>
      </c>
      <c r="D183" s="1" t="s">
        <v>40</v>
      </c>
      <c r="E183" s="1" t="s">
        <v>16</v>
      </c>
      <c r="F183" s="1" t="s">
        <v>41</v>
      </c>
      <c r="G183" s="1" t="s">
        <v>18</v>
      </c>
      <c r="H183" s="1" t="s">
        <v>65</v>
      </c>
      <c r="I183" s="1" t="s">
        <v>44</v>
      </c>
      <c r="J183" s="1">
        <v>5</v>
      </c>
      <c r="K183" s="1">
        <v>1227.02</v>
      </c>
      <c r="L183" s="1">
        <v>15</v>
      </c>
    </row>
    <row r="184" spans="1:12" x14ac:dyDescent="0.3">
      <c r="A184" s="2">
        <v>44977</v>
      </c>
      <c r="B184" s="2">
        <v>44984</v>
      </c>
      <c r="C184" s="1" t="s">
        <v>33</v>
      </c>
      <c r="D184" s="1" t="s">
        <v>22</v>
      </c>
      <c r="E184" s="1" t="s">
        <v>23</v>
      </c>
      <c r="F184" s="1" t="s">
        <v>34</v>
      </c>
      <c r="G184" s="1" t="s">
        <v>48</v>
      </c>
      <c r="H184" s="1" t="s">
        <v>50</v>
      </c>
      <c r="I184" s="1" t="s">
        <v>46</v>
      </c>
      <c r="J184" s="1">
        <v>4</v>
      </c>
      <c r="K184" s="1">
        <v>1428.19</v>
      </c>
      <c r="L184" s="1">
        <v>10</v>
      </c>
    </row>
    <row r="185" spans="1:12" x14ac:dyDescent="0.3">
      <c r="A185" s="2">
        <v>45171</v>
      </c>
      <c r="B185" s="2">
        <v>45176</v>
      </c>
      <c r="C185" s="1" t="s">
        <v>14</v>
      </c>
      <c r="D185" s="1" t="s">
        <v>28</v>
      </c>
      <c r="E185" s="1" t="s">
        <v>29</v>
      </c>
      <c r="F185" s="1" t="s">
        <v>43</v>
      </c>
      <c r="G185" s="1" t="s">
        <v>18</v>
      </c>
      <c r="H185" s="1" t="s">
        <v>65</v>
      </c>
      <c r="I185" s="1" t="s">
        <v>32</v>
      </c>
      <c r="J185" s="1">
        <v>3</v>
      </c>
      <c r="K185" s="1">
        <v>2701.77</v>
      </c>
      <c r="L185" s="1">
        <v>15</v>
      </c>
    </row>
    <row r="186" spans="1:12" x14ac:dyDescent="0.3">
      <c r="A186" s="2">
        <v>44961</v>
      </c>
      <c r="B186" s="2">
        <v>44966</v>
      </c>
      <c r="C186" s="1" t="s">
        <v>14</v>
      </c>
      <c r="D186" s="1" t="s">
        <v>28</v>
      </c>
      <c r="E186" s="1" t="s">
        <v>29</v>
      </c>
      <c r="F186" s="1" t="s">
        <v>41</v>
      </c>
      <c r="G186" s="1" t="s">
        <v>56</v>
      </c>
      <c r="H186" s="1" t="s">
        <v>58</v>
      </c>
      <c r="I186" s="1" t="s">
        <v>27</v>
      </c>
      <c r="J186" s="1">
        <v>5</v>
      </c>
      <c r="K186" s="1">
        <v>3501.94</v>
      </c>
      <c r="L186" s="1">
        <v>20</v>
      </c>
    </row>
    <row r="187" spans="1:12" x14ac:dyDescent="0.3">
      <c r="A187" s="2">
        <v>45228</v>
      </c>
      <c r="B187" s="2">
        <v>45229</v>
      </c>
      <c r="C187" s="1" t="s">
        <v>39</v>
      </c>
      <c r="D187" s="1" t="s">
        <v>53</v>
      </c>
      <c r="E187" s="1" t="s">
        <v>16</v>
      </c>
      <c r="F187" s="1" t="s">
        <v>17</v>
      </c>
      <c r="G187" s="1" t="s">
        <v>30</v>
      </c>
      <c r="H187" s="1" t="s">
        <v>64</v>
      </c>
      <c r="I187" s="1" t="s">
        <v>27</v>
      </c>
      <c r="J187" s="1">
        <v>9</v>
      </c>
      <c r="K187" s="1">
        <v>3072.48</v>
      </c>
      <c r="L187" s="1">
        <v>0</v>
      </c>
    </row>
    <row r="188" spans="1:12" x14ac:dyDescent="0.3">
      <c r="A188" s="2">
        <v>45000</v>
      </c>
      <c r="B188" s="2">
        <v>45006</v>
      </c>
      <c r="C188" s="1" t="s">
        <v>36</v>
      </c>
      <c r="D188" s="1" t="s">
        <v>40</v>
      </c>
      <c r="E188" s="1" t="s">
        <v>23</v>
      </c>
      <c r="F188" s="1" t="s">
        <v>43</v>
      </c>
      <c r="G188" s="1" t="s">
        <v>48</v>
      </c>
      <c r="H188" s="1" t="s">
        <v>50</v>
      </c>
      <c r="I188" s="1" t="s">
        <v>32</v>
      </c>
      <c r="J188" s="1">
        <v>7</v>
      </c>
      <c r="K188" s="1">
        <v>982.56</v>
      </c>
      <c r="L188" s="1">
        <v>10</v>
      </c>
    </row>
    <row r="189" spans="1:12" x14ac:dyDescent="0.3">
      <c r="A189" s="2">
        <v>45118</v>
      </c>
      <c r="B189" s="2">
        <v>45123</v>
      </c>
      <c r="C189" s="1" t="s">
        <v>45</v>
      </c>
      <c r="D189" s="1" t="s">
        <v>40</v>
      </c>
      <c r="E189" s="1" t="s">
        <v>23</v>
      </c>
      <c r="F189" s="1" t="s">
        <v>41</v>
      </c>
      <c r="G189" s="1" t="s">
        <v>51</v>
      </c>
      <c r="H189" s="1" t="s">
        <v>52</v>
      </c>
      <c r="I189" s="1" t="s">
        <v>27</v>
      </c>
      <c r="J189" s="1">
        <v>8</v>
      </c>
      <c r="K189" s="1">
        <v>953.07</v>
      </c>
      <c r="L189" s="1">
        <v>20</v>
      </c>
    </row>
    <row r="190" spans="1:12" x14ac:dyDescent="0.3">
      <c r="A190" s="2">
        <v>45187</v>
      </c>
      <c r="B190" s="2">
        <v>45193</v>
      </c>
      <c r="C190" s="1" t="s">
        <v>39</v>
      </c>
      <c r="D190" s="1" t="s">
        <v>15</v>
      </c>
      <c r="E190" s="1" t="s">
        <v>16</v>
      </c>
      <c r="F190" s="1" t="s">
        <v>41</v>
      </c>
      <c r="G190" s="1" t="s">
        <v>48</v>
      </c>
      <c r="H190" s="1" t="s">
        <v>49</v>
      </c>
      <c r="I190" s="1" t="s">
        <v>44</v>
      </c>
      <c r="J190" s="1">
        <v>8</v>
      </c>
      <c r="K190" s="1">
        <v>1291.1099999999999</v>
      </c>
      <c r="L190" s="1">
        <v>15</v>
      </c>
    </row>
    <row r="191" spans="1:12" x14ac:dyDescent="0.3">
      <c r="A191" s="2">
        <v>45282</v>
      </c>
      <c r="B191" s="2">
        <v>45284</v>
      </c>
      <c r="C191" s="1" t="s">
        <v>14</v>
      </c>
      <c r="D191" s="1" t="s">
        <v>53</v>
      </c>
      <c r="E191" s="1" t="s">
        <v>29</v>
      </c>
      <c r="F191" s="1" t="s">
        <v>17</v>
      </c>
      <c r="G191" s="1" t="s">
        <v>18</v>
      </c>
      <c r="H191" s="1" t="s">
        <v>19</v>
      </c>
      <c r="I191" s="1" t="s">
        <v>44</v>
      </c>
      <c r="J191" s="1">
        <v>8</v>
      </c>
      <c r="K191" s="1">
        <v>3656.59</v>
      </c>
      <c r="L191" s="1">
        <v>15</v>
      </c>
    </row>
    <row r="192" spans="1:12" x14ac:dyDescent="0.3">
      <c r="A192" s="2">
        <v>44996</v>
      </c>
      <c r="B192" s="2">
        <v>45000</v>
      </c>
      <c r="C192" s="1" t="s">
        <v>21</v>
      </c>
      <c r="D192" s="1" t="s">
        <v>22</v>
      </c>
      <c r="E192" s="1" t="s">
        <v>23</v>
      </c>
      <c r="F192" s="1" t="s">
        <v>41</v>
      </c>
      <c r="G192" s="1" t="s">
        <v>48</v>
      </c>
      <c r="H192" s="1" t="s">
        <v>50</v>
      </c>
      <c r="I192" s="1" t="s">
        <v>20</v>
      </c>
      <c r="J192" s="1">
        <v>7</v>
      </c>
      <c r="K192" s="1">
        <v>2257.5500000000002</v>
      </c>
      <c r="L192" s="1">
        <v>10</v>
      </c>
    </row>
    <row r="193" spans="1:12" x14ac:dyDescent="0.3">
      <c r="A193" s="2">
        <v>45016</v>
      </c>
      <c r="B193" s="2">
        <v>45019</v>
      </c>
      <c r="C193" s="1" t="s">
        <v>15</v>
      </c>
      <c r="D193" s="1" t="s">
        <v>28</v>
      </c>
      <c r="E193" s="1" t="s">
        <v>29</v>
      </c>
      <c r="F193" s="1" t="s">
        <v>43</v>
      </c>
      <c r="G193" s="1" t="s">
        <v>25</v>
      </c>
      <c r="H193" s="1" t="s">
        <v>60</v>
      </c>
      <c r="I193" s="1" t="s">
        <v>32</v>
      </c>
      <c r="J193" s="1">
        <v>1</v>
      </c>
      <c r="K193" s="1">
        <v>2975.54</v>
      </c>
      <c r="L193" s="1">
        <v>15</v>
      </c>
    </row>
    <row r="194" spans="1:12" x14ac:dyDescent="0.3">
      <c r="A194" s="2">
        <v>45052</v>
      </c>
      <c r="B194" s="2">
        <v>45061</v>
      </c>
      <c r="C194" s="1" t="s">
        <v>36</v>
      </c>
      <c r="D194" s="1" t="s">
        <v>28</v>
      </c>
      <c r="E194" s="1" t="s">
        <v>23</v>
      </c>
      <c r="F194" s="1" t="s">
        <v>43</v>
      </c>
      <c r="G194" s="1" t="s">
        <v>48</v>
      </c>
      <c r="H194" s="1" t="s">
        <v>62</v>
      </c>
      <c r="I194" s="1" t="s">
        <v>46</v>
      </c>
      <c r="J194" s="1">
        <v>4</v>
      </c>
      <c r="K194" s="1">
        <v>1719.71</v>
      </c>
      <c r="L194" s="1">
        <v>15</v>
      </c>
    </row>
    <row r="195" spans="1:12" x14ac:dyDescent="0.3">
      <c r="A195" s="2">
        <v>45157</v>
      </c>
      <c r="B195" s="2">
        <v>45162</v>
      </c>
      <c r="C195" s="1" t="s">
        <v>14</v>
      </c>
      <c r="D195" s="1" t="s">
        <v>15</v>
      </c>
      <c r="E195" s="1" t="s">
        <v>16</v>
      </c>
      <c r="F195" s="1" t="s">
        <v>24</v>
      </c>
      <c r="G195" s="1" t="s">
        <v>25</v>
      </c>
      <c r="H195" s="1" t="s">
        <v>26</v>
      </c>
      <c r="I195" s="1" t="s">
        <v>20</v>
      </c>
      <c r="J195" s="1">
        <v>5</v>
      </c>
      <c r="K195" s="1">
        <v>633.42999999999995</v>
      </c>
      <c r="L195" s="1">
        <v>20</v>
      </c>
    </row>
    <row r="196" spans="1:12" x14ac:dyDescent="0.3">
      <c r="A196" s="2">
        <v>45221</v>
      </c>
      <c r="B196" s="2">
        <v>45227</v>
      </c>
      <c r="C196" s="1" t="s">
        <v>36</v>
      </c>
      <c r="D196" s="1" t="s">
        <v>22</v>
      </c>
      <c r="E196" s="1" t="s">
        <v>23</v>
      </c>
      <c r="F196" s="1" t="s">
        <v>17</v>
      </c>
      <c r="G196" s="1" t="s">
        <v>56</v>
      </c>
      <c r="H196" s="1" t="s">
        <v>66</v>
      </c>
      <c r="I196" s="1" t="s">
        <v>20</v>
      </c>
      <c r="J196" s="1">
        <v>6</v>
      </c>
      <c r="K196" s="1">
        <v>809.49</v>
      </c>
      <c r="L196" s="1">
        <v>5</v>
      </c>
    </row>
    <row r="197" spans="1:12" x14ac:dyDescent="0.3">
      <c r="A197" s="2">
        <v>45055</v>
      </c>
      <c r="B197" s="2">
        <v>45057</v>
      </c>
      <c r="C197" s="1" t="s">
        <v>36</v>
      </c>
      <c r="D197" s="1" t="s">
        <v>40</v>
      </c>
      <c r="E197" s="1" t="s">
        <v>23</v>
      </c>
      <c r="F197" s="1" t="s">
        <v>41</v>
      </c>
      <c r="G197" s="1" t="s">
        <v>48</v>
      </c>
      <c r="H197" s="1" t="s">
        <v>49</v>
      </c>
      <c r="I197" s="1" t="s">
        <v>27</v>
      </c>
      <c r="J197" s="1">
        <v>4</v>
      </c>
      <c r="K197" s="1">
        <v>3335.32</v>
      </c>
      <c r="L197" s="1">
        <v>20</v>
      </c>
    </row>
    <row r="198" spans="1:12" x14ac:dyDescent="0.3">
      <c r="A198" s="2">
        <v>45206</v>
      </c>
      <c r="B198" s="2">
        <v>45209</v>
      </c>
      <c r="C198" s="1" t="s">
        <v>36</v>
      </c>
      <c r="D198" s="1" t="s">
        <v>28</v>
      </c>
      <c r="E198" s="1" t="s">
        <v>16</v>
      </c>
      <c r="F198" s="1" t="s">
        <v>43</v>
      </c>
      <c r="G198" s="1" t="s">
        <v>25</v>
      </c>
      <c r="H198" s="1" t="s">
        <v>68</v>
      </c>
      <c r="I198" s="1" t="s">
        <v>44</v>
      </c>
      <c r="J198" s="1">
        <v>2</v>
      </c>
      <c r="K198" s="1">
        <v>2401.63</v>
      </c>
      <c r="L198" s="1">
        <v>0</v>
      </c>
    </row>
    <row r="199" spans="1:12" x14ac:dyDescent="0.3">
      <c r="A199" s="2">
        <v>45026</v>
      </c>
      <c r="B199" s="2">
        <v>45035</v>
      </c>
      <c r="C199" s="1" t="s">
        <v>36</v>
      </c>
      <c r="D199" s="1" t="s">
        <v>15</v>
      </c>
      <c r="E199" s="1" t="s">
        <v>23</v>
      </c>
      <c r="F199" s="1" t="s">
        <v>17</v>
      </c>
      <c r="G199" s="1" t="s">
        <v>18</v>
      </c>
      <c r="H199" s="1" t="s">
        <v>54</v>
      </c>
      <c r="I199" s="1" t="s">
        <v>20</v>
      </c>
      <c r="J199" s="1">
        <v>8</v>
      </c>
      <c r="K199" s="1">
        <v>3240.98</v>
      </c>
      <c r="L199" s="1">
        <v>0</v>
      </c>
    </row>
    <row r="200" spans="1:12" x14ac:dyDescent="0.3">
      <c r="A200" s="2">
        <v>45223</v>
      </c>
      <c r="B200" s="2">
        <v>45231</v>
      </c>
      <c r="C200" s="1" t="s">
        <v>15</v>
      </c>
      <c r="D200" s="1" t="s">
        <v>15</v>
      </c>
      <c r="E200" s="1" t="s">
        <v>23</v>
      </c>
      <c r="F200" s="1" t="s">
        <v>43</v>
      </c>
      <c r="G200" s="1" t="s">
        <v>48</v>
      </c>
      <c r="H200" s="1" t="s">
        <v>50</v>
      </c>
      <c r="I200" s="1" t="s">
        <v>20</v>
      </c>
      <c r="J200" s="1">
        <v>7</v>
      </c>
      <c r="K200" s="1">
        <v>3907.73</v>
      </c>
      <c r="L200" s="1">
        <v>10</v>
      </c>
    </row>
    <row r="201" spans="1:12" x14ac:dyDescent="0.3">
      <c r="A201" s="2">
        <v>45108</v>
      </c>
      <c r="B201" s="2">
        <v>45117</v>
      </c>
      <c r="C201" s="1" t="s">
        <v>45</v>
      </c>
      <c r="D201" s="1" t="s">
        <v>53</v>
      </c>
      <c r="E201" s="1" t="s">
        <v>16</v>
      </c>
      <c r="F201" s="1" t="s">
        <v>24</v>
      </c>
      <c r="G201" s="1" t="s">
        <v>56</v>
      </c>
      <c r="H201" s="1" t="s">
        <v>58</v>
      </c>
      <c r="I201" s="1" t="s">
        <v>46</v>
      </c>
      <c r="J201" s="1">
        <v>6</v>
      </c>
      <c r="K201" s="1">
        <v>1477.55</v>
      </c>
      <c r="L201" s="1">
        <v>10</v>
      </c>
    </row>
    <row r="202" spans="1:12" x14ac:dyDescent="0.3">
      <c r="A202" s="2">
        <v>45290</v>
      </c>
      <c r="B202" s="2">
        <v>45291</v>
      </c>
      <c r="C202" s="1" t="s">
        <v>36</v>
      </c>
      <c r="D202" s="1" t="s">
        <v>37</v>
      </c>
      <c r="E202" s="1" t="s">
        <v>16</v>
      </c>
      <c r="F202" s="1" t="s">
        <v>41</v>
      </c>
      <c r="G202" s="1" t="s">
        <v>48</v>
      </c>
      <c r="H202" s="1" t="s">
        <v>62</v>
      </c>
      <c r="I202" s="1" t="s">
        <v>44</v>
      </c>
      <c r="J202" s="1">
        <v>5</v>
      </c>
      <c r="K202" s="1">
        <v>620.13</v>
      </c>
      <c r="L202" s="1">
        <v>5</v>
      </c>
    </row>
    <row r="203" spans="1:12" x14ac:dyDescent="0.3">
      <c r="A203" s="2">
        <v>44957</v>
      </c>
      <c r="B203" s="2">
        <v>44959</v>
      </c>
      <c r="C203" s="1" t="s">
        <v>15</v>
      </c>
      <c r="D203" s="1" t="s">
        <v>53</v>
      </c>
      <c r="E203" s="1" t="s">
        <v>29</v>
      </c>
      <c r="F203" s="1" t="s">
        <v>43</v>
      </c>
      <c r="G203" s="1" t="s">
        <v>48</v>
      </c>
      <c r="H203" s="1" t="s">
        <v>67</v>
      </c>
      <c r="I203" s="1" t="s">
        <v>32</v>
      </c>
      <c r="J203" s="1">
        <v>8</v>
      </c>
      <c r="K203" s="1">
        <v>3519.2</v>
      </c>
      <c r="L203" s="1">
        <v>0</v>
      </c>
    </row>
    <row r="204" spans="1:12" x14ac:dyDescent="0.3">
      <c r="A204" s="2">
        <v>44962</v>
      </c>
      <c r="B204" s="2">
        <v>44969</v>
      </c>
      <c r="C204" s="1" t="s">
        <v>21</v>
      </c>
      <c r="D204" s="1" t="s">
        <v>28</v>
      </c>
      <c r="E204" s="1" t="s">
        <v>16</v>
      </c>
      <c r="F204" s="1" t="s">
        <v>17</v>
      </c>
      <c r="G204" s="1" t="s">
        <v>56</v>
      </c>
      <c r="H204" s="1" t="s">
        <v>58</v>
      </c>
      <c r="I204" s="1" t="s">
        <v>20</v>
      </c>
      <c r="J204" s="1">
        <v>1</v>
      </c>
      <c r="K204" s="1">
        <v>2250.4899999999998</v>
      </c>
      <c r="L204" s="1">
        <v>15</v>
      </c>
    </row>
    <row r="205" spans="1:12" x14ac:dyDescent="0.3">
      <c r="A205" s="2">
        <v>45139</v>
      </c>
      <c r="B205" s="2">
        <v>45143</v>
      </c>
      <c r="C205" s="1" t="s">
        <v>15</v>
      </c>
      <c r="D205" s="1" t="s">
        <v>40</v>
      </c>
      <c r="E205" s="1" t="s">
        <v>16</v>
      </c>
      <c r="F205" s="1" t="s">
        <v>43</v>
      </c>
      <c r="G205" s="1" t="s">
        <v>18</v>
      </c>
      <c r="H205" s="1" t="s">
        <v>54</v>
      </c>
      <c r="I205" s="1" t="s">
        <v>46</v>
      </c>
      <c r="J205" s="1">
        <v>1</v>
      </c>
      <c r="K205" s="1">
        <v>556.53</v>
      </c>
      <c r="L205" s="1">
        <v>5</v>
      </c>
    </row>
    <row r="206" spans="1:12" x14ac:dyDescent="0.3">
      <c r="A206" s="2">
        <v>45290</v>
      </c>
      <c r="B206" s="2">
        <v>45295</v>
      </c>
      <c r="C206" s="1" t="s">
        <v>36</v>
      </c>
      <c r="D206" s="1" t="s">
        <v>15</v>
      </c>
      <c r="E206" s="1" t="s">
        <v>29</v>
      </c>
      <c r="F206" s="1" t="s">
        <v>43</v>
      </c>
      <c r="G206" s="1" t="s">
        <v>30</v>
      </c>
      <c r="H206" s="1" t="s">
        <v>47</v>
      </c>
      <c r="I206" s="1" t="s">
        <v>32</v>
      </c>
      <c r="J206" s="1">
        <v>7</v>
      </c>
      <c r="K206" s="1">
        <v>324.38</v>
      </c>
      <c r="L206" s="1">
        <v>10</v>
      </c>
    </row>
    <row r="207" spans="1:12" x14ac:dyDescent="0.3">
      <c r="A207" s="2">
        <v>45032</v>
      </c>
      <c r="B207" s="2">
        <v>45040</v>
      </c>
      <c r="C207" s="1" t="s">
        <v>39</v>
      </c>
      <c r="D207" s="1" t="s">
        <v>28</v>
      </c>
      <c r="E207" s="1" t="s">
        <v>16</v>
      </c>
      <c r="F207" s="1" t="s">
        <v>34</v>
      </c>
      <c r="G207" s="1" t="s">
        <v>51</v>
      </c>
      <c r="H207" s="1" t="s">
        <v>59</v>
      </c>
      <c r="I207" s="1" t="s">
        <v>46</v>
      </c>
      <c r="J207" s="1">
        <v>9</v>
      </c>
      <c r="K207" s="1">
        <v>2677.09</v>
      </c>
      <c r="L207" s="1">
        <v>10</v>
      </c>
    </row>
    <row r="208" spans="1:12" x14ac:dyDescent="0.3">
      <c r="A208" s="2">
        <v>45089</v>
      </c>
      <c r="B208" s="2">
        <v>45093</v>
      </c>
      <c r="C208" s="1" t="s">
        <v>33</v>
      </c>
      <c r="D208" s="1" t="s">
        <v>37</v>
      </c>
      <c r="E208" s="1" t="s">
        <v>23</v>
      </c>
      <c r="F208" s="1" t="s">
        <v>34</v>
      </c>
      <c r="G208" s="1" t="s">
        <v>56</v>
      </c>
      <c r="H208" s="1" t="s">
        <v>61</v>
      </c>
      <c r="I208" s="1" t="s">
        <v>44</v>
      </c>
      <c r="J208" s="1">
        <v>8</v>
      </c>
      <c r="K208" s="1">
        <v>284.52</v>
      </c>
      <c r="L208" s="1">
        <v>15</v>
      </c>
    </row>
    <row r="209" spans="1:12" x14ac:dyDescent="0.3">
      <c r="A209" s="2">
        <v>45146</v>
      </c>
      <c r="B209" s="2">
        <v>45149</v>
      </c>
      <c r="C209" s="1" t="s">
        <v>33</v>
      </c>
      <c r="D209" s="1" t="s">
        <v>40</v>
      </c>
      <c r="E209" s="1" t="s">
        <v>23</v>
      </c>
      <c r="F209" s="1" t="s">
        <v>24</v>
      </c>
      <c r="G209" s="1" t="s">
        <v>48</v>
      </c>
      <c r="H209" s="1" t="s">
        <v>62</v>
      </c>
      <c r="I209" s="1" t="s">
        <v>46</v>
      </c>
      <c r="J209" s="1">
        <v>2</v>
      </c>
      <c r="K209" s="1">
        <v>3960.56</v>
      </c>
      <c r="L209" s="1">
        <v>10</v>
      </c>
    </row>
    <row r="210" spans="1:12" x14ac:dyDescent="0.3">
      <c r="A210" s="2">
        <v>45196</v>
      </c>
      <c r="B210" s="2">
        <v>45198</v>
      </c>
      <c r="C210" s="1" t="s">
        <v>15</v>
      </c>
      <c r="D210" s="1" t="s">
        <v>37</v>
      </c>
      <c r="E210" s="1" t="s">
        <v>16</v>
      </c>
      <c r="F210" s="1" t="s">
        <v>41</v>
      </c>
      <c r="G210" s="1" t="s">
        <v>56</v>
      </c>
      <c r="H210" s="1" t="s">
        <v>66</v>
      </c>
      <c r="I210" s="1" t="s">
        <v>44</v>
      </c>
      <c r="J210" s="1">
        <v>9</v>
      </c>
      <c r="K210" s="1">
        <v>265.58</v>
      </c>
      <c r="L210" s="1">
        <v>10</v>
      </c>
    </row>
    <row r="211" spans="1:12" x14ac:dyDescent="0.3">
      <c r="A211" s="2">
        <v>45046</v>
      </c>
      <c r="B211" s="2">
        <v>45049</v>
      </c>
      <c r="C211" s="1" t="s">
        <v>39</v>
      </c>
      <c r="D211" s="1" t="s">
        <v>40</v>
      </c>
      <c r="E211" s="1" t="s">
        <v>29</v>
      </c>
      <c r="F211" s="1" t="s">
        <v>17</v>
      </c>
      <c r="G211" s="1" t="s">
        <v>18</v>
      </c>
      <c r="H211" s="1" t="s">
        <v>65</v>
      </c>
      <c r="I211" s="1" t="s">
        <v>32</v>
      </c>
      <c r="J211" s="1">
        <v>6</v>
      </c>
      <c r="K211" s="1">
        <v>1861.43</v>
      </c>
      <c r="L211" s="1">
        <v>0</v>
      </c>
    </row>
    <row r="212" spans="1:12" x14ac:dyDescent="0.3">
      <c r="A212" s="2">
        <v>45108</v>
      </c>
      <c r="B212" s="2">
        <v>45109</v>
      </c>
      <c r="C212" s="1" t="s">
        <v>36</v>
      </c>
      <c r="D212" s="1" t="s">
        <v>22</v>
      </c>
      <c r="E212" s="1" t="s">
        <v>29</v>
      </c>
      <c r="F212" s="1" t="s">
        <v>17</v>
      </c>
      <c r="G212" s="1" t="s">
        <v>56</v>
      </c>
      <c r="H212" s="1" t="s">
        <v>58</v>
      </c>
      <c r="I212" s="1" t="s">
        <v>27</v>
      </c>
      <c r="J212" s="1">
        <v>2</v>
      </c>
      <c r="K212" s="1">
        <v>601.53</v>
      </c>
      <c r="L212" s="1">
        <v>20</v>
      </c>
    </row>
    <row r="213" spans="1:12" x14ac:dyDescent="0.3">
      <c r="A213" s="2">
        <v>45032</v>
      </c>
      <c r="B213" s="2">
        <v>45038</v>
      </c>
      <c r="C213" s="1" t="s">
        <v>33</v>
      </c>
      <c r="D213" s="1" t="s">
        <v>28</v>
      </c>
      <c r="E213" s="1" t="s">
        <v>16</v>
      </c>
      <c r="F213" s="1" t="s">
        <v>43</v>
      </c>
      <c r="G213" s="1" t="s">
        <v>51</v>
      </c>
      <c r="H213" s="1" t="s">
        <v>52</v>
      </c>
      <c r="I213" s="1" t="s">
        <v>44</v>
      </c>
      <c r="J213" s="1">
        <v>3</v>
      </c>
      <c r="K213" s="1">
        <v>800.89</v>
      </c>
      <c r="L213" s="1">
        <v>0</v>
      </c>
    </row>
    <row r="214" spans="1:12" x14ac:dyDescent="0.3">
      <c r="A214" s="2">
        <v>45143</v>
      </c>
      <c r="B214" s="2">
        <v>45148</v>
      </c>
      <c r="C214" s="1" t="s">
        <v>14</v>
      </c>
      <c r="D214" s="1" t="s">
        <v>15</v>
      </c>
      <c r="E214" s="1" t="s">
        <v>29</v>
      </c>
      <c r="F214" s="1" t="s">
        <v>41</v>
      </c>
      <c r="G214" s="1" t="s">
        <v>48</v>
      </c>
      <c r="H214" s="1" t="s">
        <v>50</v>
      </c>
      <c r="I214" s="1" t="s">
        <v>46</v>
      </c>
      <c r="J214" s="1">
        <v>8</v>
      </c>
      <c r="K214" s="1">
        <v>1504.45</v>
      </c>
      <c r="L214" s="1">
        <v>20</v>
      </c>
    </row>
    <row r="215" spans="1:12" x14ac:dyDescent="0.3">
      <c r="A215" s="2">
        <v>45131</v>
      </c>
      <c r="B215" s="2">
        <v>45139</v>
      </c>
      <c r="C215" s="1" t="s">
        <v>15</v>
      </c>
      <c r="D215" s="1" t="s">
        <v>28</v>
      </c>
      <c r="E215" s="1" t="s">
        <v>23</v>
      </c>
      <c r="F215" s="1" t="s">
        <v>24</v>
      </c>
      <c r="G215" s="1" t="s">
        <v>51</v>
      </c>
      <c r="H215" s="1" t="s">
        <v>52</v>
      </c>
      <c r="I215" s="1" t="s">
        <v>44</v>
      </c>
      <c r="J215" s="1">
        <v>1</v>
      </c>
      <c r="K215" s="1">
        <v>3082.45</v>
      </c>
      <c r="L215" s="1">
        <v>5</v>
      </c>
    </row>
    <row r="216" spans="1:12" x14ac:dyDescent="0.3">
      <c r="A216" s="2">
        <v>44996</v>
      </c>
      <c r="B216" s="2">
        <v>44998</v>
      </c>
      <c r="C216" s="1" t="s">
        <v>14</v>
      </c>
      <c r="D216" s="1" t="s">
        <v>53</v>
      </c>
      <c r="E216" s="1" t="s">
        <v>29</v>
      </c>
      <c r="F216" s="1" t="s">
        <v>34</v>
      </c>
      <c r="G216" s="1" t="s">
        <v>51</v>
      </c>
      <c r="H216" s="1" t="s">
        <v>63</v>
      </c>
      <c r="I216" s="1" t="s">
        <v>46</v>
      </c>
      <c r="J216" s="1">
        <v>7</v>
      </c>
      <c r="K216" s="1">
        <v>2102.27</v>
      </c>
      <c r="L216" s="1">
        <v>20</v>
      </c>
    </row>
    <row r="217" spans="1:12" x14ac:dyDescent="0.3">
      <c r="A217" s="2">
        <v>44970</v>
      </c>
      <c r="B217" s="2">
        <v>44974</v>
      </c>
      <c r="C217" s="1" t="s">
        <v>21</v>
      </c>
      <c r="D217" s="1" t="s">
        <v>15</v>
      </c>
      <c r="E217" s="1" t="s">
        <v>29</v>
      </c>
      <c r="F217" s="1" t="s">
        <v>41</v>
      </c>
      <c r="G217" s="1" t="s">
        <v>30</v>
      </c>
      <c r="H217" s="1" t="s">
        <v>38</v>
      </c>
      <c r="I217" s="1" t="s">
        <v>20</v>
      </c>
      <c r="J217" s="1">
        <v>7</v>
      </c>
      <c r="K217" s="1">
        <v>2605.92</v>
      </c>
      <c r="L217" s="1">
        <v>20</v>
      </c>
    </row>
    <row r="218" spans="1:12" x14ac:dyDescent="0.3">
      <c r="A218" s="2">
        <v>45255</v>
      </c>
      <c r="B218" s="2">
        <v>45263</v>
      </c>
      <c r="C218" s="1" t="s">
        <v>45</v>
      </c>
      <c r="D218" s="1" t="s">
        <v>40</v>
      </c>
      <c r="E218" s="1" t="s">
        <v>16</v>
      </c>
      <c r="F218" s="1" t="s">
        <v>17</v>
      </c>
      <c r="G218" s="1" t="s">
        <v>30</v>
      </c>
      <c r="H218" s="1" t="s">
        <v>64</v>
      </c>
      <c r="I218" s="1" t="s">
        <v>44</v>
      </c>
      <c r="J218" s="1">
        <v>1</v>
      </c>
      <c r="K218" s="1">
        <v>3942.92</v>
      </c>
      <c r="L218" s="1">
        <v>0</v>
      </c>
    </row>
    <row r="219" spans="1:12" x14ac:dyDescent="0.3">
      <c r="A219" s="2">
        <v>45154</v>
      </c>
      <c r="B219" s="2">
        <v>45155</v>
      </c>
      <c r="C219" s="1" t="s">
        <v>15</v>
      </c>
      <c r="D219" s="1" t="s">
        <v>22</v>
      </c>
      <c r="E219" s="1" t="s">
        <v>16</v>
      </c>
      <c r="F219" s="1" t="s">
        <v>24</v>
      </c>
      <c r="G219" s="1" t="s">
        <v>30</v>
      </c>
      <c r="H219" s="1" t="s">
        <v>47</v>
      </c>
      <c r="I219" s="1" t="s">
        <v>27</v>
      </c>
      <c r="J219" s="1">
        <v>8</v>
      </c>
      <c r="K219" s="1">
        <v>1822.29</v>
      </c>
      <c r="L219" s="1">
        <v>20</v>
      </c>
    </row>
    <row r="220" spans="1:12" x14ac:dyDescent="0.3">
      <c r="A220" s="2">
        <v>45110</v>
      </c>
      <c r="B220" s="2">
        <v>45114</v>
      </c>
      <c r="C220" s="1" t="s">
        <v>36</v>
      </c>
      <c r="D220" s="1" t="s">
        <v>37</v>
      </c>
      <c r="E220" s="1" t="s">
        <v>23</v>
      </c>
      <c r="F220" s="1" t="s">
        <v>41</v>
      </c>
      <c r="G220" s="1" t="s">
        <v>51</v>
      </c>
      <c r="H220" s="1" t="s">
        <v>59</v>
      </c>
      <c r="I220" s="1" t="s">
        <v>32</v>
      </c>
      <c r="J220" s="1">
        <v>4</v>
      </c>
      <c r="K220" s="1">
        <v>1868.8</v>
      </c>
      <c r="L220" s="1">
        <v>20</v>
      </c>
    </row>
    <row r="221" spans="1:12" x14ac:dyDescent="0.3">
      <c r="A221" s="2">
        <v>45033</v>
      </c>
      <c r="B221" s="2">
        <v>45034</v>
      </c>
      <c r="C221" s="1" t="s">
        <v>39</v>
      </c>
      <c r="D221" s="1" t="s">
        <v>40</v>
      </c>
      <c r="E221" s="1" t="s">
        <v>23</v>
      </c>
      <c r="F221" s="1" t="s">
        <v>34</v>
      </c>
      <c r="G221" s="1" t="s">
        <v>18</v>
      </c>
      <c r="H221" s="1" t="s">
        <v>19</v>
      </c>
      <c r="I221" s="1" t="s">
        <v>46</v>
      </c>
      <c r="J221" s="1">
        <v>5</v>
      </c>
      <c r="K221" s="1">
        <v>2532.27</v>
      </c>
      <c r="L221" s="1">
        <v>15</v>
      </c>
    </row>
    <row r="222" spans="1:12" x14ac:dyDescent="0.3">
      <c r="A222" s="2">
        <v>45010</v>
      </c>
      <c r="B222" s="2">
        <v>45012</v>
      </c>
      <c r="C222" s="1" t="s">
        <v>21</v>
      </c>
      <c r="D222" s="1" t="s">
        <v>15</v>
      </c>
      <c r="E222" s="1" t="s">
        <v>16</v>
      </c>
      <c r="F222" s="1" t="s">
        <v>41</v>
      </c>
      <c r="G222" s="1" t="s">
        <v>51</v>
      </c>
      <c r="H222" s="1" t="s">
        <v>63</v>
      </c>
      <c r="I222" s="1" t="s">
        <v>44</v>
      </c>
      <c r="J222" s="1">
        <v>2</v>
      </c>
      <c r="K222" s="1">
        <v>2711.66</v>
      </c>
      <c r="L222" s="1">
        <v>0</v>
      </c>
    </row>
    <row r="223" spans="1:12" x14ac:dyDescent="0.3">
      <c r="A223" s="2">
        <v>45289</v>
      </c>
      <c r="B223" s="2">
        <v>45297</v>
      </c>
      <c r="C223" s="1" t="s">
        <v>39</v>
      </c>
      <c r="D223" s="1" t="s">
        <v>40</v>
      </c>
      <c r="E223" s="1" t="s">
        <v>23</v>
      </c>
      <c r="F223" s="1" t="s">
        <v>43</v>
      </c>
      <c r="G223" s="1" t="s">
        <v>30</v>
      </c>
      <c r="H223" s="1" t="s">
        <v>31</v>
      </c>
      <c r="I223" s="1" t="s">
        <v>46</v>
      </c>
      <c r="J223" s="1">
        <v>3</v>
      </c>
      <c r="K223" s="1">
        <v>240.6</v>
      </c>
      <c r="L223" s="1">
        <v>5</v>
      </c>
    </row>
    <row r="224" spans="1:12" x14ac:dyDescent="0.3">
      <c r="A224" s="2">
        <v>45104</v>
      </c>
      <c r="B224" s="2">
        <v>45110</v>
      </c>
      <c r="C224" s="1" t="s">
        <v>21</v>
      </c>
      <c r="D224" s="1" t="s">
        <v>40</v>
      </c>
      <c r="E224" s="1" t="s">
        <v>16</v>
      </c>
      <c r="F224" s="1" t="s">
        <v>41</v>
      </c>
      <c r="G224" s="1" t="s">
        <v>30</v>
      </c>
      <c r="H224" s="1" t="s">
        <v>64</v>
      </c>
      <c r="I224" s="1" t="s">
        <v>27</v>
      </c>
      <c r="J224" s="1">
        <v>3</v>
      </c>
      <c r="K224" s="1">
        <v>647.32000000000005</v>
      </c>
      <c r="L224" s="1">
        <v>5</v>
      </c>
    </row>
    <row r="225" spans="1:12" x14ac:dyDescent="0.3">
      <c r="A225" s="2">
        <v>44933</v>
      </c>
      <c r="B225" s="2">
        <v>44936</v>
      </c>
      <c r="C225" s="1" t="s">
        <v>14</v>
      </c>
      <c r="D225" s="1" t="s">
        <v>53</v>
      </c>
      <c r="E225" s="1" t="s">
        <v>23</v>
      </c>
      <c r="F225" s="1" t="s">
        <v>24</v>
      </c>
      <c r="G225" s="1" t="s">
        <v>30</v>
      </c>
      <c r="H225" s="1" t="s">
        <v>31</v>
      </c>
      <c r="I225" s="1" t="s">
        <v>32</v>
      </c>
      <c r="J225" s="1">
        <v>2</v>
      </c>
      <c r="K225" s="1">
        <v>533.25</v>
      </c>
      <c r="L225" s="1">
        <v>0</v>
      </c>
    </row>
    <row r="226" spans="1:12" x14ac:dyDescent="0.3">
      <c r="A226" s="2">
        <v>44996</v>
      </c>
      <c r="B226" s="2">
        <v>44998</v>
      </c>
      <c r="C226" s="1" t="s">
        <v>14</v>
      </c>
      <c r="D226" s="1" t="s">
        <v>22</v>
      </c>
      <c r="E226" s="1" t="s">
        <v>16</v>
      </c>
      <c r="F226" s="1" t="s">
        <v>43</v>
      </c>
      <c r="G226" s="1" t="s">
        <v>56</v>
      </c>
      <c r="H226" s="1" t="s">
        <v>58</v>
      </c>
      <c r="I226" s="1" t="s">
        <v>20</v>
      </c>
      <c r="J226" s="1">
        <v>7</v>
      </c>
      <c r="K226" s="1">
        <v>2472.29</v>
      </c>
      <c r="L226" s="1">
        <v>10</v>
      </c>
    </row>
    <row r="227" spans="1:12" x14ac:dyDescent="0.3">
      <c r="A227" s="2">
        <v>45053</v>
      </c>
      <c r="B227" s="2">
        <v>45059</v>
      </c>
      <c r="C227" s="1" t="s">
        <v>39</v>
      </c>
      <c r="D227" s="1" t="s">
        <v>37</v>
      </c>
      <c r="E227" s="1" t="s">
        <v>29</v>
      </c>
      <c r="F227" s="1" t="s">
        <v>34</v>
      </c>
      <c r="G227" s="1" t="s">
        <v>48</v>
      </c>
      <c r="H227" s="1" t="s">
        <v>62</v>
      </c>
      <c r="I227" s="1" t="s">
        <v>32</v>
      </c>
      <c r="J227" s="1">
        <v>7</v>
      </c>
      <c r="K227" s="1">
        <v>2165.86</v>
      </c>
      <c r="L227" s="1">
        <v>0</v>
      </c>
    </row>
    <row r="228" spans="1:12" x14ac:dyDescent="0.3">
      <c r="A228" s="2">
        <v>45086</v>
      </c>
      <c r="B228" s="2">
        <v>45091</v>
      </c>
      <c r="C228" s="1" t="s">
        <v>14</v>
      </c>
      <c r="D228" s="1" t="s">
        <v>15</v>
      </c>
      <c r="E228" s="1" t="s">
        <v>29</v>
      </c>
      <c r="F228" s="1" t="s">
        <v>43</v>
      </c>
      <c r="G228" s="1" t="s">
        <v>51</v>
      </c>
      <c r="H228" s="1" t="s">
        <v>59</v>
      </c>
      <c r="I228" s="1" t="s">
        <v>46</v>
      </c>
      <c r="J228" s="1">
        <v>4</v>
      </c>
      <c r="K228" s="1">
        <v>1126.3</v>
      </c>
      <c r="L228" s="1">
        <v>20</v>
      </c>
    </row>
    <row r="229" spans="1:12" x14ac:dyDescent="0.3">
      <c r="A229" s="2">
        <v>45129</v>
      </c>
      <c r="B229" s="2">
        <v>45134</v>
      </c>
      <c r="C229" s="1" t="s">
        <v>39</v>
      </c>
      <c r="D229" s="1" t="s">
        <v>15</v>
      </c>
      <c r="E229" s="1" t="s">
        <v>29</v>
      </c>
      <c r="F229" s="1" t="s">
        <v>34</v>
      </c>
      <c r="G229" s="1" t="s">
        <v>25</v>
      </c>
      <c r="H229" s="1" t="s">
        <v>60</v>
      </c>
      <c r="I229" s="1" t="s">
        <v>32</v>
      </c>
      <c r="J229" s="1">
        <v>8</v>
      </c>
      <c r="K229" s="1">
        <v>2045.09</v>
      </c>
      <c r="L229" s="1">
        <v>10</v>
      </c>
    </row>
    <row r="230" spans="1:12" x14ac:dyDescent="0.3">
      <c r="A230" s="2">
        <v>45074</v>
      </c>
      <c r="B230" s="2">
        <v>45079</v>
      </c>
      <c r="C230" s="1" t="s">
        <v>39</v>
      </c>
      <c r="D230" s="1" t="s">
        <v>37</v>
      </c>
      <c r="E230" s="1" t="s">
        <v>29</v>
      </c>
      <c r="F230" s="1" t="s">
        <v>43</v>
      </c>
      <c r="G230" s="1" t="s">
        <v>51</v>
      </c>
      <c r="H230" s="1" t="s">
        <v>52</v>
      </c>
      <c r="I230" s="1" t="s">
        <v>46</v>
      </c>
      <c r="J230" s="1">
        <v>1</v>
      </c>
      <c r="K230" s="1">
        <v>900.78</v>
      </c>
      <c r="L230" s="1">
        <v>5</v>
      </c>
    </row>
    <row r="231" spans="1:12" x14ac:dyDescent="0.3">
      <c r="A231" s="2">
        <v>45069</v>
      </c>
      <c r="B231" s="2">
        <v>45072</v>
      </c>
      <c r="C231" s="1" t="s">
        <v>36</v>
      </c>
      <c r="D231" s="1" t="s">
        <v>15</v>
      </c>
      <c r="E231" s="1" t="s">
        <v>29</v>
      </c>
      <c r="F231" s="1" t="s">
        <v>41</v>
      </c>
      <c r="G231" s="1" t="s">
        <v>30</v>
      </c>
      <c r="H231" s="1" t="s">
        <v>38</v>
      </c>
      <c r="I231" s="1" t="s">
        <v>27</v>
      </c>
      <c r="J231" s="1">
        <v>1</v>
      </c>
      <c r="K231" s="1">
        <v>2660.56</v>
      </c>
      <c r="L231" s="1">
        <v>10</v>
      </c>
    </row>
    <row r="232" spans="1:12" x14ac:dyDescent="0.3">
      <c r="A232" s="2">
        <v>45125</v>
      </c>
      <c r="B232" s="2">
        <v>45132</v>
      </c>
      <c r="C232" s="1" t="s">
        <v>14</v>
      </c>
      <c r="D232" s="1" t="s">
        <v>40</v>
      </c>
      <c r="E232" s="1" t="s">
        <v>23</v>
      </c>
      <c r="F232" s="1" t="s">
        <v>34</v>
      </c>
      <c r="G232" s="1" t="s">
        <v>48</v>
      </c>
      <c r="H232" s="1" t="s">
        <v>50</v>
      </c>
      <c r="I232" s="1" t="s">
        <v>46</v>
      </c>
      <c r="J232" s="1">
        <v>5</v>
      </c>
      <c r="K232" s="1">
        <v>3156.54</v>
      </c>
      <c r="L232" s="1">
        <v>20</v>
      </c>
    </row>
    <row r="233" spans="1:12" x14ac:dyDescent="0.3">
      <c r="A233" s="2">
        <v>45080</v>
      </c>
      <c r="B233" s="2">
        <v>45086</v>
      </c>
      <c r="C233" s="1" t="s">
        <v>21</v>
      </c>
      <c r="D233" s="1" t="s">
        <v>28</v>
      </c>
      <c r="E233" s="1" t="s">
        <v>23</v>
      </c>
      <c r="F233" s="1" t="s">
        <v>34</v>
      </c>
      <c r="G233" s="1" t="s">
        <v>30</v>
      </c>
      <c r="H233" s="1" t="s">
        <v>64</v>
      </c>
      <c r="I233" s="1" t="s">
        <v>44</v>
      </c>
      <c r="J233" s="1">
        <v>6</v>
      </c>
      <c r="K233" s="1">
        <v>3197.13</v>
      </c>
      <c r="L233" s="1">
        <v>10</v>
      </c>
    </row>
    <row r="234" spans="1:12" x14ac:dyDescent="0.3">
      <c r="A234" s="2">
        <v>45068</v>
      </c>
      <c r="B234" s="2">
        <v>45072</v>
      </c>
      <c r="C234" s="1" t="s">
        <v>39</v>
      </c>
      <c r="D234" s="1" t="s">
        <v>15</v>
      </c>
      <c r="E234" s="1" t="s">
        <v>29</v>
      </c>
      <c r="F234" s="1" t="s">
        <v>24</v>
      </c>
      <c r="G234" s="1" t="s">
        <v>18</v>
      </c>
      <c r="H234" s="1" t="s">
        <v>65</v>
      </c>
      <c r="I234" s="1" t="s">
        <v>46</v>
      </c>
      <c r="J234" s="1">
        <v>3</v>
      </c>
      <c r="K234" s="1">
        <v>2469.5100000000002</v>
      </c>
      <c r="L234" s="1">
        <v>0</v>
      </c>
    </row>
    <row r="235" spans="1:12" x14ac:dyDescent="0.3">
      <c r="A235" s="2">
        <v>45091</v>
      </c>
      <c r="B235" s="2">
        <v>45100</v>
      </c>
      <c r="C235" s="1" t="s">
        <v>45</v>
      </c>
      <c r="D235" s="1" t="s">
        <v>53</v>
      </c>
      <c r="E235" s="1" t="s">
        <v>29</v>
      </c>
      <c r="F235" s="1" t="s">
        <v>17</v>
      </c>
      <c r="G235" s="1" t="s">
        <v>30</v>
      </c>
      <c r="H235" s="1" t="s">
        <v>38</v>
      </c>
      <c r="I235" s="1" t="s">
        <v>44</v>
      </c>
      <c r="J235" s="1">
        <v>6</v>
      </c>
      <c r="K235" s="1">
        <v>384.88</v>
      </c>
      <c r="L235" s="1">
        <v>5</v>
      </c>
    </row>
    <row r="236" spans="1:12" x14ac:dyDescent="0.3">
      <c r="A236" s="2">
        <v>45240</v>
      </c>
      <c r="B236" s="2">
        <v>45241</v>
      </c>
      <c r="C236" s="1" t="s">
        <v>36</v>
      </c>
      <c r="D236" s="1" t="s">
        <v>15</v>
      </c>
      <c r="E236" s="1" t="s">
        <v>23</v>
      </c>
      <c r="F236" s="1" t="s">
        <v>43</v>
      </c>
      <c r="G236" s="1" t="s">
        <v>51</v>
      </c>
      <c r="H236" s="1" t="s">
        <v>59</v>
      </c>
      <c r="I236" s="1" t="s">
        <v>32</v>
      </c>
      <c r="J236" s="1">
        <v>4</v>
      </c>
      <c r="K236" s="1">
        <v>1258.1500000000001</v>
      </c>
      <c r="L236" s="1">
        <v>0</v>
      </c>
    </row>
    <row r="237" spans="1:12" x14ac:dyDescent="0.3">
      <c r="A237" s="2">
        <v>44947</v>
      </c>
      <c r="B237" s="2">
        <v>44951</v>
      </c>
      <c r="C237" s="1" t="s">
        <v>15</v>
      </c>
      <c r="D237" s="1" t="s">
        <v>53</v>
      </c>
      <c r="E237" s="1" t="s">
        <v>23</v>
      </c>
      <c r="F237" s="1" t="s">
        <v>24</v>
      </c>
      <c r="G237" s="1" t="s">
        <v>51</v>
      </c>
      <c r="H237" s="1" t="s">
        <v>63</v>
      </c>
      <c r="I237" s="1" t="s">
        <v>32</v>
      </c>
      <c r="J237" s="1">
        <v>7</v>
      </c>
      <c r="K237" s="1">
        <v>509.1</v>
      </c>
      <c r="L237" s="1">
        <v>15</v>
      </c>
    </row>
    <row r="238" spans="1:12" x14ac:dyDescent="0.3">
      <c r="A238" s="2">
        <v>44995</v>
      </c>
      <c r="B238" s="2">
        <v>45001</v>
      </c>
      <c r="C238" s="1" t="s">
        <v>39</v>
      </c>
      <c r="D238" s="1" t="s">
        <v>40</v>
      </c>
      <c r="E238" s="1" t="s">
        <v>29</v>
      </c>
      <c r="F238" s="1" t="s">
        <v>17</v>
      </c>
      <c r="G238" s="1" t="s">
        <v>25</v>
      </c>
      <c r="H238" s="1" t="s">
        <v>68</v>
      </c>
      <c r="I238" s="1" t="s">
        <v>44</v>
      </c>
      <c r="J238" s="1">
        <v>9</v>
      </c>
      <c r="K238" s="1">
        <v>670.06</v>
      </c>
      <c r="L238" s="1">
        <v>20</v>
      </c>
    </row>
    <row r="239" spans="1:12" x14ac:dyDescent="0.3">
      <c r="A239" s="2">
        <v>45144</v>
      </c>
      <c r="B239" s="2">
        <v>45149</v>
      </c>
      <c r="C239" s="1" t="s">
        <v>45</v>
      </c>
      <c r="D239" s="1" t="s">
        <v>40</v>
      </c>
      <c r="E239" s="1" t="s">
        <v>23</v>
      </c>
      <c r="F239" s="1" t="s">
        <v>17</v>
      </c>
      <c r="G239" s="1" t="s">
        <v>48</v>
      </c>
      <c r="H239" s="1" t="s">
        <v>67</v>
      </c>
      <c r="I239" s="1" t="s">
        <v>32</v>
      </c>
      <c r="J239" s="1">
        <v>8</v>
      </c>
      <c r="K239" s="1">
        <v>3784.12</v>
      </c>
      <c r="L239" s="1">
        <v>15</v>
      </c>
    </row>
    <row r="240" spans="1:12" x14ac:dyDescent="0.3">
      <c r="A240" s="2">
        <v>45231</v>
      </c>
      <c r="B240" s="2">
        <v>45240</v>
      </c>
      <c r="C240" s="1" t="s">
        <v>45</v>
      </c>
      <c r="D240" s="1" t="s">
        <v>53</v>
      </c>
      <c r="E240" s="1" t="s">
        <v>29</v>
      </c>
      <c r="F240" s="1" t="s">
        <v>43</v>
      </c>
      <c r="G240" s="1" t="s">
        <v>25</v>
      </c>
      <c r="H240" s="1" t="s">
        <v>68</v>
      </c>
      <c r="I240" s="1" t="s">
        <v>20</v>
      </c>
      <c r="J240" s="1">
        <v>5</v>
      </c>
      <c r="K240" s="1">
        <v>3098.44</v>
      </c>
      <c r="L240" s="1">
        <v>0</v>
      </c>
    </row>
    <row r="241" spans="1:12" x14ac:dyDescent="0.3">
      <c r="A241" s="2">
        <v>45043</v>
      </c>
      <c r="B241" s="2">
        <v>45050</v>
      </c>
      <c r="C241" s="1" t="s">
        <v>14</v>
      </c>
      <c r="D241" s="1" t="s">
        <v>28</v>
      </c>
      <c r="E241" s="1" t="s">
        <v>16</v>
      </c>
      <c r="F241" s="1" t="s">
        <v>43</v>
      </c>
      <c r="G241" s="1" t="s">
        <v>56</v>
      </c>
      <c r="H241" s="1" t="s">
        <v>57</v>
      </c>
      <c r="I241" s="1" t="s">
        <v>27</v>
      </c>
      <c r="J241" s="1">
        <v>6</v>
      </c>
      <c r="K241" s="1">
        <v>220.79</v>
      </c>
      <c r="L241" s="1">
        <v>5</v>
      </c>
    </row>
    <row r="242" spans="1:12" x14ac:dyDescent="0.3">
      <c r="A242" s="2">
        <v>45122</v>
      </c>
      <c r="B242" s="2">
        <v>45125</v>
      </c>
      <c r="C242" s="1" t="s">
        <v>21</v>
      </c>
      <c r="D242" s="1" t="s">
        <v>37</v>
      </c>
      <c r="E242" s="1" t="s">
        <v>23</v>
      </c>
      <c r="F242" s="1" t="s">
        <v>17</v>
      </c>
      <c r="G242" s="1" t="s">
        <v>56</v>
      </c>
      <c r="H242" s="1" t="s">
        <v>66</v>
      </c>
      <c r="I242" s="1" t="s">
        <v>20</v>
      </c>
      <c r="J242" s="1">
        <v>6</v>
      </c>
      <c r="K242" s="1">
        <v>1936.66</v>
      </c>
      <c r="L242" s="1">
        <v>0</v>
      </c>
    </row>
    <row r="243" spans="1:12" x14ac:dyDescent="0.3">
      <c r="A243" s="2">
        <v>45012</v>
      </c>
      <c r="B243" s="2">
        <v>45014</v>
      </c>
      <c r="C243" s="1" t="s">
        <v>36</v>
      </c>
      <c r="D243" s="1" t="s">
        <v>53</v>
      </c>
      <c r="E243" s="1" t="s">
        <v>16</v>
      </c>
      <c r="F243" s="1" t="s">
        <v>24</v>
      </c>
      <c r="G243" s="1" t="s">
        <v>56</v>
      </c>
      <c r="H243" s="1" t="s">
        <v>57</v>
      </c>
      <c r="I243" s="1" t="s">
        <v>20</v>
      </c>
      <c r="J243" s="1">
        <v>7</v>
      </c>
      <c r="K243" s="1">
        <v>1396.71</v>
      </c>
      <c r="L243" s="1">
        <v>20</v>
      </c>
    </row>
    <row r="244" spans="1:12" x14ac:dyDescent="0.3">
      <c r="A244" s="2">
        <v>45215</v>
      </c>
      <c r="B244" s="2">
        <v>45218</v>
      </c>
      <c r="C244" s="1" t="s">
        <v>36</v>
      </c>
      <c r="D244" s="1" t="s">
        <v>40</v>
      </c>
      <c r="E244" s="1" t="s">
        <v>29</v>
      </c>
      <c r="F244" s="1" t="s">
        <v>17</v>
      </c>
      <c r="G244" s="1" t="s">
        <v>18</v>
      </c>
      <c r="H244" s="1" t="s">
        <v>19</v>
      </c>
      <c r="I244" s="1" t="s">
        <v>27</v>
      </c>
      <c r="J244" s="1">
        <v>8</v>
      </c>
      <c r="K244" s="1">
        <v>2695.39</v>
      </c>
      <c r="L244" s="1">
        <v>10</v>
      </c>
    </row>
    <row r="245" spans="1:12" x14ac:dyDescent="0.3">
      <c r="A245" s="2">
        <v>45007</v>
      </c>
      <c r="B245" s="2">
        <v>45008</v>
      </c>
      <c r="C245" s="1" t="s">
        <v>14</v>
      </c>
      <c r="D245" s="1" t="s">
        <v>53</v>
      </c>
      <c r="E245" s="1" t="s">
        <v>23</v>
      </c>
      <c r="F245" s="1" t="s">
        <v>24</v>
      </c>
      <c r="G245" s="1" t="s">
        <v>51</v>
      </c>
      <c r="H245" s="1" t="s">
        <v>52</v>
      </c>
      <c r="I245" s="1" t="s">
        <v>32</v>
      </c>
      <c r="J245" s="1">
        <v>9</v>
      </c>
      <c r="K245" s="1">
        <v>2661.11</v>
      </c>
      <c r="L245" s="1">
        <v>10</v>
      </c>
    </row>
    <row r="246" spans="1:12" x14ac:dyDescent="0.3">
      <c r="A246" s="2">
        <v>44987</v>
      </c>
      <c r="B246" s="2">
        <v>44994</v>
      </c>
      <c r="C246" s="1" t="s">
        <v>21</v>
      </c>
      <c r="D246" s="1" t="s">
        <v>15</v>
      </c>
      <c r="E246" s="1" t="s">
        <v>23</v>
      </c>
      <c r="F246" s="1" t="s">
        <v>34</v>
      </c>
      <c r="G246" s="1" t="s">
        <v>18</v>
      </c>
      <c r="H246" s="1" t="s">
        <v>42</v>
      </c>
      <c r="I246" s="1" t="s">
        <v>44</v>
      </c>
      <c r="J246" s="1">
        <v>3</v>
      </c>
      <c r="K246" s="1">
        <v>967.49</v>
      </c>
      <c r="L246" s="1">
        <v>0</v>
      </c>
    </row>
    <row r="247" spans="1:12" x14ac:dyDescent="0.3">
      <c r="A247" s="2">
        <v>45280</v>
      </c>
      <c r="B247" s="2">
        <v>45284</v>
      </c>
      <c r="C247" s="1" t="s">
        <v>33</v>
      </c>
      <c r="D247" s="1" t="s">
        <v>22</v>
      </c>
      <c r="E247" s="1" t="s">
        <v>23</v>
      </c>
      <c r="F247" s="1" t="s">
        <v>41</v>
      </c>
      <c r="G247" s="1" t="s">
        <v>30</v>
      </c>
      <c r="H247" s="1" t="s">
        <v>47</v>
      </c>
      <c r="I247" s="1" t="s">
        <v>32</v>
      </c>
      <c r="J247" s="1">
        <v>1</v>
      </c>
      <c r="K247" s="1">
        <v>619.73</v>
      </c>
      <c r="L247" s="1">
        <v>0</v>
      </c>
    </row>
    <row r="248" spans="1:12" x14ac:dyDescent="0.3">
      <c r="A248" s="2">
        <v>44954</v>
      </c>
      <c r="B248" s="2">
        <v>44957</v>
      </c>
      <c r="C248" s="1" t="s">
        <v>15</v>
      </c>
      <c r="D248" s="1" t="s">
        <v>15</v>
      </c>
      <c r="E248" s="1" t="s">
        <v>16</v>
      </c>
      <c r="F248" s="1" t="s">
        <v>34</v>
      </c>
      <c r="G248" s="1" t="s">
        <v>30</v>
      </c>
      <c r="H248" s="1" t="s">
        <v>47</v>
      </c>
      <c r="I248" s="1" t="s">
        <v>46</v>
      </c>
      <c r="J248" s="1">
        <v>5</v>
      </c>
      <c r="K248" s="1">
        <v>2850.33</v>
      </c>
      <c r="L248" s="1">
        <v>5</v>
      </c>
    </row>
    <row r="249" spans="1:12" x14ac:dyDescent="0.3">
      <c r="A249" s="2">
        <v>45024</v>
      </c>
      <c r="B249" s="2">
        <v>45027</v>
      </c>
      <c r="C249" s="1" t="s">
        <v>15</v>
      </c>
      <c r="D249" s="1" t="s">
        <v>28</v>
      </c>
      <c r="E249" s="1" t="s">
        <v>23</v>
      </c>
      <c r="F249" s="1" t="s">
        <v>17</v>
      </c>
      <c r="G249" s="1" t="s">
        <v>30</v>
      </c>
      <c r="H249" s="1" t="s">
        <v>64</v>
      </c>
      <c r="I249" s="1" t="s">
        <v>32</v>
      </c>
      <c r="J249" s="1">
        <v>7</v>
      </c>
      <c r="K249" s="1">
        <v>636.59</v>
      </c>
      <c r="L249" s="1">
        <v>5</v>
      </c>
    </row>
    <row r="250" spans="1:12" x14ac:dyDescent="0.3">
      <c r="A250" s="2">
        <v>45124</v>
      </c>
      <c r="B250" s="2">
        <v>45125</v>
      </c>
      <c r="C250" s="1" t="s">
        <v>36</v>
      </c>
      <c r="D250" s="1" t="s">
        <v>28</v>
      </c>
      <c r="E250" s="1" t="s">
        <v>16</v>
      </c>
      <c r="F250" s="1" t="s">
        <v>24</v>
      </c>
      <c r="G250" s="1" t="s">
        <v>56</v>
      </c>
      <c r="H250" s="1" t="s">
        <v>66</v>
      </c>
      <c r="I250" s="1" t="s">
        <v>20</v>
      </c>
      <c r="J250" s="1">
        <v>6</v>
      </c>
      <c r="K250" s="1">
        <v>257.2</v>
      </c>
      <c r="L250" s="1">
        <v>0</v>
      </c>
    </row>
    <row r="251" spans="1:12" x14ac:dyDescent="0.3">
      <c r="A251" s="2">
        <v>45024</v>
      </c>
      <c r="B251" s="2">
        <v>45027</v>
      </c>
      <c r="C251" s="1" t="s">
        <v>39</v>
      </c>
      <c r="D251" s="1" t="s">
        <v>22</v>
      </c>
      <c r="E251" s="1" t="s">
        <v>23</v>
      </c>
      <c r="F251" s="1" t="s">
        <v>24</v>
      </c>
      <c r="G251" s="1" t="s">
        <v>25</v>
      </c>
      <c r="H251" s="1" t="s">
        <v>60</v>
      </c>
      <c r="I251" s="1" t="s">
        <v>20</v>
      </c>
      <c r="J251" s="1">
        <v>4</v>
      </c>
      <c r="K251" s="1">
        <v>2547.52</v>
      </c>
      <c r="L251" s="1">
        <v>20</v>
      </c>
    </row>
    <row r="252" spans="1:12" x14ac:dyDescent="0.3">
      <c r="A252" s="2">
        <v>44991</v>
      </c>
      <c r="B252" s="2">
        <v>44993</v>
      </c>
      <c r="C252" s="1" t="s">
        <v>45</v>
      </c>
      <c r="D252" s="1" t="s">
        <v>40</v>
      </c>
      <c r="E252" s="1" t="s">
        <v>16</v>
      </c>
      <c r="F252" s="1" t="s">
        <v>34</v>
      </c>
      <c r="G252" s="1" t="s">
        <v>30</v>
      </c>
      <c r="H252" s="1" t="s">
        <v>47</v>
      </c>
      <c r="I252" s="1" t="s">
        <v>20</v>
      </c>
      <c r="J252" s="1">
        <v>2</v>
      </c>
      <c r="K252" s="1">
        <v>3256.02</v>
      </c>
      <c r="L252" s="1">
        <v>20</v>
      </c>
    </row>
    <row r="253" spans="1:12" x14ac:dyDescent="0.3">
      <c r="A253" s="2">
        <v>45256</v>
      </c>
      <c r="B253" s="2">
        <v>45264</v>
      </c>
      <c r="C253" s="1" t="s">
        <v>45</v>
      </c>
      <c r="D253" s="1" t="s">
        <v>28</v>
      </c>
      <c r="E253" s="1" t="s">
        <v>29</v>
      </c>
      <c r="F253" s="1" t="s">
        <v>41</v>
      </c>
      <c r="G253" s="1" t="s">
        <v>56</v>
      </c>
      <c r="H253" s="1" t="s">
        <v>61</v>
      </c>
      <c r="I253" s="1" t="s">
        <v>27</v>
      </c>
      <c r="J253" s="1">
        <v>1</v>
      </c>
      <c r="K253" s="1">
        <v>3391.76</v>
      </c>
      <c r="L253" s="1">
        <v>20</v>
      </c>
    </row>
    <row r="254" spans="1:12" x14ac:dyDescent="0.3">
      <c r="A254" s="2">
        <v>45267</v>
      </c>
      <c r="B254" s="2">
        <v>45273</v>
      </c>
      <c r="C254" s="1" t="s">
        <v>14</v>
      </c>
      <c r="D254" s="1" t="s">
        <v>15</v>
      </c>
      <c r="E254" s="1" t="s">
        <v>23</v>
      </c>
      <c r="F254" s="1" t="s">
        <v>41</v>
      </c>
      <c r="G254" s="1" t="s">
        <v>56</v>
      </c>
      <c r="H254" s="1" t="s">
        <v>57</v>
      </c>
      <c r="I254" s="1" t="s">
        <v>27</v>
      </c>
      <c r="J254" s="1">
        <v>4</v>
      </c>
      <c r="K254" s="1">
        <v>2008.45</v>
      </c>
      <c r="L254" s="1">
        <v>5</v>
      </c>
    </row>
    <row r="255" spans="1:12" x14ac:dyDescent="0.3">
      <c r="A255" s="2">
        <v>44931</v>
      </c>
      <c r="B255" s="2">
        <v>44940</v>
      </c>
      <c r="C255" s="1" t="s">
        <v>36</v>
      </c>
      <c r="D255" s="1" t="s">
        <v>22</v>
      </c>
      <c r="E255" s="1" t="s">
        <v>29</v>
      </c>
      <c r="F255" s="1" t="s">
        <v>24</v>
      </c>
      <c r="G255" s="1" t="s">
        <v>51</v>
      </c>
      <c r="H255" s="1" t="s">
        <v>52</v>
      </c>
      <c r="I255" s="1" t="s">
        <v>44</v>
      </c>
      <c r="J255" s="1">
        <v>4</v>
      </c>
      <c r="K255" s="1">
        <v>3143.2</v>
      </c>
      <c r="L255" s="1">
        <v>0</v>
      </c>
    </row>
    <row r="256" spans="1:12" x14ac:dyDescent="0.3">
      <c r="A256" s="2">
        <v>44928</v>
      </c>
      <c r="B256" s="2">
        <v>44936</v>
      </c>
      <c r="C256" s="1" t="s">
        <v>33</v>
      </c>
      <c r="D256" s="1" t="s">
        <v>28</v>
      </c>
      <c r="E256" s="1" t="s">
        <v>29</v>
      </c>
      <c r="F256" s="1" t="s">
        <v>43</v>
      </c>
      <c r="G256" s="1" t="s">
        <v>48</v>
      </c>
      <c r="H256" s="1" t="s">
        <v>50</v>
      </c>
      <c r="I256" s="1" t="s">
        <v>46</v>
      </c>
      <c r="J256" s="1">
        <v>1</v>
      </c>
      <c r="K256" s="1">
        <v>2740.46</v>
      </c>
      <c r="L256" s="1">
        <v>10</v>
      </c>
    </row>
    <row r="257" spans="1:12" x14ac:dyDescent="0.3">
      <c r="A257" s="2">
        <v>45038</v>
      </c>
      <c r="B257" s="2">
        <v>45043</v>
      </c>
      <c r="C257" s="1" t="s">
        <v>45</v>
      </c>
      <c r="D257" s="1" t="s">
        <v>22</v>
      </c>
      <c r="E257" s="1" t="s">
        <v>23</v>
      </c>
      <c r="F257" s="1" t="s">
        <v>17</v>
      </c>
      <c r="G257" s="1" t="s">
        <v>18</v>
      </c>
      <c r="H257" s="1" t="s">
        <v>42</v>
      </c>
      <c r="I257" s="1" t="s">
        <v>32</v>
      </c>
      <c r="J257" s="1">
        <v>4</v>
      </c>
      <c r="K257" s="1">
        <v>2046.51</v>
      </c>
      <c r="L257" s="1">
        <v>5</v>
      </c>
    </row>
    <row r="258" spans="1:12" x14ac:dyDescent="0.3">
      <c r="A258" s="2">
        <v>44983</v>
      </c>
      <c r="B258" s="2">
        <v>44990</v>
      </c>
      <c r="C258" s="1" t="s">
        <v>45</v>
      </c>
      <c r="D258" s="1" t="s">
        <v>37</v>
      </c>
      <c r="E258" s="1" t="s">
        <v>29</v>
      </c>
      <c r="F258" s="1" t="s">
        <v>17</v>
      </c>
      <c r="G258" s="1" t="s">
        <v>51</v>
      </c>
      <c r="H258" s="1" t="s">
        <v>55</v>
      </c>
      <c r="I258" s="1" t="s">
        <v>32</v>
      </c>
      <c r="J258" s="1">
        <v>1</v>
      </c>
      <c r="K258" s="1">
        <v>2588.64</v>
      </c>
      <c r="L258" s="1">
        <v>0</v>
      </c>
    </row>
    <row r="259" spans="1:12" x14ac:dyDescent="0.3">
      <c r="A259" s="2">
        <v>44992</v>
      </c>
      <c r="B259" s="2">
        <v>44997</v>
      </c>
      <c r="C259" s="1" t="s">
        <v>39</v>
      </c>
      <c r="D259" s="1" t="s">
        <v>40</v>
      </c>
      <c r="E259" s="1" t="s">
        <v>16</v>
      </c>
      <c r="F259" s="1" t="s">
        <v>34</v>
      </c>
      <c r="G259" s="1" t="s">
        <v>56</v>
      </c>
      <c r="H259" s="1" t="s">
        <v>61</v>
      </c>
      <c r="I259" s="1" t="s">
        <v>44</v>
      </c>
      <c r="J259" s="1">
        <v>1</v>
      </c>
      <c r="K259" s="1">
        <v>3251.27</v>
      </c>
      <c r="L259" s="1">
        <v>15</v>
      </c>
    </row>
    <row r="260" spans="1:12" x14ac:dyDescent="0.3">
      <c r="A260" s="2">
        <v>45256</v>
      </c>
      <c r="B260" s="2">
        <v>45264</v>
      </c>
      <c r="C260" s="1" t="s">
        <v>36</v>
      </c>
      <c r="D260" s="1" t="s">
        <v>15</v>
      </c>
      <c r="E260" s="1" t="s">
        <v>23</v>
      </c>
      <c r="F260" s="1" t="s">
        <v>24</v>
      </c>
      <c r="G260" s="1" t="s">
        <v>25</v>
      </c>
      <c r="H260" s="1" t="s">
        <v>68</v>
      </c>
      <c r="I260" s="1" t="s">
        <v>27</v>
      </c>
      <c r="J260" s="1">
        <v>1</v>
      </c>
      <c r="K260" s="1">
        <v>1681.85</v>
      </c>
      <c r="L260" s="1">
        <v>5</v>
      </c>
    </row>
    <row r="261" spans="1:12" x14ac:dyDescent="0.3">
      <c r="A261" s="2">
        <v>45024</v>
      </c>
      <c r="B261" s="2">
        <v>45029</v>
      </c>
      <c r="C261" s="1" t="s">
        <v>36</v>
      </c>
      <c r="D261" s="1" t="s">
        <v>28</v>
      </c>
      <c r="E261" s="1" t="s">
        <v>23</v>
      </c>
      <c r="F261" s="1" t="s">
        <v>17</v>
      </c>
      <c r="G261" s="1" t="s">
        <v>48</v>
      </c>
      <c r="H261" s="1" t="s">
        <v>49</v>
      </c>
      <c r="I261" s="1" t="s">
        <v>44</v>
      </c>
      <c r="J261" s="1">
        <v>8</v>
      </c>
      <c r="K261" s="1">
        <v>3253.02</v>
      </c>
      <c r="L261" s="1">
        <v>15</v>
      </c>
    </row>
    <row r="262" spans="1:12" x14ac:dyDescent="0.3">
      <c r="A262" s="2">
        <v>45070</v>
      </c>
      <c r="B262" s="2">
        <v>45071</v>
      </c>
      <c r="C262" s="1" t="s">
        <v>45</v>
      </c>
      <c r="D262" s="1" t="s">
        <v>37</v>
      </c>
      <c r="E262" s="1" t="s">
        <v>29</v>
      </c>
      <c r="F262" s="1" t="s">
        <v>17</v>
      </c>
      <c r="G262" s="1" t="s">
        <v>56</v>
      </c>
      <c r="H262" s="1" t="s">
        <v>57</v>
      </c>
      <c r="I262" s="1" t="s">
        <v>32</v>
      </c>
      <c r="J262" s="1">
        <v>8</v>
      </c>
      <c r="K262" s="1">
        <v>2429.2600000000002</v>
      </c>
      <c r="L262" s="1">
        <v>15</v>
      </c>
    </row>
    <row r="263" spans="1:12" x14ac:dyDescent="0.3">
      <c r="A263" s="2">
        <v>45051</v>
      </c>
      <c r="B263" s="2">
        <v>45056</v>
      </c>
      <c r="C263" s="1" t="s">
        <v>33</v>
      </c>
      <c r="D263" s="1" t="s">
        <v>37</v>
      </c>
      <c r="E263" s="1" t="s">
        <v>23</v>
      </c>
      <c r="F263" s="1" t="s">
        <v>24</v>
      </c>
      <c r="G263" s="1" t="s">
        <v>48</v>
      </c>
      <c r="H263" s="1" t="s">
        <v>62</v>
      </c>
      <c r="I263" s="1" t="s">
        <v>46</v>
      </c>
      <c r="J263" s="1">
        <v>2</v>
      </c>
      <c r="K263" s="1">
        <v>788.72</v>
      </c>
      <c r="L263" s="1">
        <v>20</v>
      </c>
    </row>
    <row r="264" spans="1:12" x14ac:dyDescent="0.3">
      <c r="A264" s="2">
        <v>45093</v>
      </c>
      <c r="B264" s="2">
        <v>45097</v>
      </c>
      <c r="C264" s="1" t="s">
        <v>14</v>
      </c>
      <c r="D264" s="1" t="s">
        <v>22</v>
      </c>
      <c r="E264" s="1" t="s">
        <v>29</v>
      </c>
      <c r="F264" s="1" t="s">
        <v>34</v>
      </c>
      <c r="G264" s="1" t="s">
        <v>48</v>
      </c>
      <c r="H264" s="1" t="s">
        <v>67</v>
      </c>
      <c r="I264" s="1" t="s">
        <v>20</v>
      </c>
      <c r="J264" s="1">
        <v>7</v>
      </c>
      <c r="K264" s="1">
        <v>245.03</v>
      </c>
      <c r="L264" s="1">
        <v>0</v>
      </c>
    </row>
    <row r="265" spans="1:12" x14ac:dyDescent="0.3">
      <c r="A265" s="2">
        <v>45002</v>
      </c>
      <c r="B265" s="2">
        <v>45005</v>
      </c>
      <c r="C265" s="1" t="s">
        <v>14</v>
      </c>
      <c r="D265" s="1" t="s">
        <v>15</v>
      </c>
      <c r="E265" s="1" t="s">
        <v>16</v>
      </c>
      <c r="F265" s="1" t="s">
        <v>34</v>
      </c>
      <c r="G265" s="1" t="s">
        <v>25</v>
      </c>
      <c r="H265" s="1" t="s">
        <v>35</v>
      </c>
      <c r="I265" s="1" t="s">
        <v>27</v>
      </c>
      <c r="J265" s="1">
        <v>8</v>
      </c>
      <c r="K265" s="1">
        <v>2254.7800000000002</v>
      </c>
      <c r="L265" s="1">
        <v>0</v>
      </c>
    </row>
    <row r="266" spans="1:12" x14ac:dyDescent="0.3">
      <c r="A266" s="2">
        <v>45270</v>
      </c>
      <c r="B266" s="2">
        <v>45275</v>
      </c>
      <c r="C266" s="1" t="s">
        <v>36</v>
      </c>
      <c r="D266" s="1" t="s">
        <v>15</v>
      </c>
      <c r="E266" s="1" t="s">
        <v>29</v>
      </c>
      <c r="F266" s="1" t="s">
        <v>41</v>
      </c>
      <c r="G266" s="1" t="s">
        <v>51</v>
      </c>
      <c r="H266" s="1" t="s">
        <v>59</v>
      </c>
      <c r="I266" s="1" t="s">
        <v>44</v>
      </c>
      <c r="J266" s="1">
        <v>7</v>
      </c>
      <c r="K266" s="1">
        <v>3383.31</v>
      </c>
      <c r="L266" s="1">
        <v>20</v>
      </c>
    </row>
    <row r="267" spans="1:12" x14ac:dyDescent="0.3">
      <c r="A267" s="2">
        <v>45220</v>
      </c>
      <c r="B267" s="2">
        <v>45222</v>
      </c>
      <c r="C267" s="1" t="s">
        <v>14</v>
      </c>
      <c r="D267" s="1" t="s">
        <v>53</v>
      </c>
      <c r="E267" s="1" t="s">
        <v>29</v>
      </c>
      <c r="F267" s="1" t="s">
        <v>34</v>
      </c>
      <c r="G267" s="1" t="s">
        <v>25</v>
      </c>
      <c r="H267" s="1" t="s">
        <v>60</v>
      </c>
      <c r="I267" s="1" t="s">
        <v>27</v>
      </c>
      <c r="J267" s="1">
        <v>5</v>
      </c>
      <c r="K267" s="1">
        <v>640.82000000000005</v>
      </c>
      <c r="L267" s="1">
        <v>0</v>
      </c>
    </row>
    <row r="268" spans="1:12" x14ac:dyDescent="0.3">
      <c r="A268" s="2">
        <v>45064</v>
      </c>
      <c r="B268" s="2">
        <v>45070</v>
      </c>
      <c r="C268" s="1" t="s">
        <v>45</v>
      </c>
      <c r="D268" s="1" t="s">
        <v>40</v>
      </c>
      <c r="E268" s="1" t="s">
        <v>23</v>
      </c>
      <c r="F268" s="1" t="s">
        <v>43</v>
      </c>
      <c r="G268" s="1" t="s">
        <v>56</v>
      </c>
      <c r="H268" s="1" t="s">
        <v>57</v>
      </c>
      <c r="I268" s="1" t="s">
        <v>32</v>
      </c>
      <c r="J268" s="1">
        <v>9</v>
      </c>
      <c r="K268" s="1">
        <v>3472.58</v>
      </c>
      <c r="L268" s="1">
        <v>15</v>
      </c>
    </row>
    <row r="269" spans="1:12" x14ac:dyDescent="0.3">
      <c r="A269" s="2">
        <v>45025</v>
      </c>
      <c r="B269" s="2">
        <v>45030</v>
      </c>
      <c r="C269" s="1" t="s">
        <v>36</v>
      </c>
      <c r="D269" s="1" t="s">
        <v>37</v>
      </c>
      <c r="E269" s="1" t="s">
        <v>29</v>
      </c>
      <c r="F269" s="1" t="s">
        <v>34</v>
      </c>
      <c r="G269" s="1" t="s">
        <v>51</v>
      </c>
      <c r="H269" s="1" t="s">
        <v>63</v>
      </c>
      <c r="I269" s="1" t="s">
        <v>44</v>
      </c>
      <c r="J269" s="1">
        <v>7</v>
      </c>
      <c r="K269" s="1">
        <v>730.15</v>
      </c>
      <c r="L269" s="1">
        <v>0</v>
      </c>
    </row>
    <row r="270" spans="1:12" x14ac:dyDescent="0.3">
      <c r="A270" s="2">
        <v>45118</v>
      </c>
      <c r="B270" s="2">
        <v>45124</v>
      </c>
      <c r="C270" s="1" t="s">
        <v>36</v>
      </c>
      <c r="D270" s="1" t="s">
        <v>15</v>
      </c>
      <c r="E270" s="1" t="s">
        <v>23</v>
      </c>
      <c r="F270" s="1" t="s">
        <v>43</v>
      </c>
      <c r="G270" s="1" t="s">
        <v>51</v>
      </c>
      <c r="H270" s="1" t="s">
        <v>59</v>
      </c>
      <c r="I270" s="1" t="s">
        <v>32</v>
      </c>
      <c r="J270" s="1">
        <v>2</v>
      </c>
      <c r="K270" s="1">
        <v>3428.64</v>
      </c>
      <c r="L270" s="1">
        <v>10</v>
      </c>
    </row>
    <row r="271" spans="1:12" x14ac:dyDescent="0.3">
      <c r="A271" s="2">
        <v>45169</v>
      </c>
      <c r="B271" s="2">
        <v>45176</v>
      </c>
      <c r="C271" s="1" t="s">
        <v>21</v>
      </c>
      <c r="D271" s="1" t="s">
        <v>22</v>
      </c>
      <c r="E271" s="1" t="s">
        <v>16</v>
      </c>
      <c r="F271" s="1" t="s">
        <v>41</v>
      </c>
      <c r="G271" s="1" t="s">
        <v>51</v>
      </c>
      <c r="H271" s="1" t="s">
        <v>59</v>
      </c>
      <c r="I271" s="1" t="s">
        <v>46</v>
      </c>
      <c r="J271" s="1">
        <v>6</v>
      </c>
      <c r="K271" s="1">
        <v>3967.1</v>
      </c>
      <c r="L271" s="1">
        <v>0</v>
      </c>
    </row>
    <row r="272" spans="1:12" x14ac:dyDescent="0.3">
      <c r="A272" s="2">
        <v>45245</v>
      </c>
      <c r="B272" s="2">
        <v>45250</v>
      </c>
      <c r="C272" s="1" t="s">
        <v>21</v>
      </c>
      <c r="D272" s="1" t="s">
        <v>53</v>
      </c>
      <c r="E272" s="1" t="s">
        <v>23</v>
      </c>
      <c r="F272" s="1" t="s">
        <v>24</v>
      </c>
      <c r="G272" s="1" t="s">
        <v>51</v>
      </c>
      <c r="H272" s="1" t="s">
        <v>52</v>
      </c>
      <c r="I272" s="1" t="s">
        <v>44</v>
      </c>
      <c r="J272" s="1">
        <v>2</v>
      </c>
      <c r="K272" s="1">
        <v>2948.33</v>
      </c>
      <c r="L272" s="1">
        <v>15</v>
      </c>
    </row>
    <row r="273" spans="1:12" x14ac:dyDescent="0.3">
      <c r="A273" s="2">
        <v>44975</v>
      </c>
      <c r="B273" s="2">
        <v>44976</v>
      </c>
      <c r="C273" s="1" t="s">
        <v>39</v>
      </c>
      <c r="D273" s="1" t="s">
        <v>37</v>
      </c>
      <c r="E273" s="1" t="s">
        <v>16</v>
      </c>
      <c r="F273" s="1" t="s">
        <v>43</v>
      </c>
      <c r="G273" s="1" t="s">
        <v>25</v>
      </c>
      <c r="H273" s="1" t="s">
        <v>26</v>
      </c>
      <c r="I273" s="1" t="s">
        <v>46</v>
      </c>
      <c r="J273" s="1">
        <v>1</v>
      </c>
      <c r="K273" s="1">
        <v>3171.36</v>
      </c>
      <c r="L273" s="1">
        <v>20</v>
      </c>
    </row>
    <row r="274" spans="1:12" x14ac:dyDescent="0.3">
      <c r="A274" s="2">
        <v>44958</v>
      </c>
      <c r="B274" s="2">
        <v>44966</v>
      </c>
      <c r="C274" s="1" t="s">
        <v>36</v>
      </c>
      <c r="D274" s="1" t="s">
        <v>53</v>
      </c>
      <c r="E274" s="1" t="s">
        <v>16</v>
      </c>
      <c r="F274" s="1" t="s">
        <v>43</v>
      </c>
      <c r="G274" s="1" t="s">
        <v>51</v>
      </c>
      <c r="H274" s="1" t="s">
        <v>63</v>
      </c>
      <c r="I274" s="1" t="s">
        <v>20</v>
      </c>
      <c r="J274" s="1">
        <v>7</v>
      </c>
      <c r="K274" s="1">
        <v>3978.5</v>
      </c>
      <c r="L274" s="1">
        <v>20</v>
      </c>
    </row>
    <row r="275" spans="1:12" x14ac:dyDescent="0.3">
      <c r="A275" s="2">
        <v>44946</v>
      </c>
      <c r="B275" s="2">
        <v>44955</v>
      </c>
      <c r="C275" s="1" t="s">
        <v>14</v>
      </c>
      <c r="D275" s="1" t="s">
        <v>22</v>
      </c>
      <c r="E275" s="1" t="s">
        <v>16</v>
      </c>
      <c r="F275" s="1" t="s">
        <v>41</v>
      </c>
      <c r="G275" s="1" t="s">
        <v>56</v>
      </c>
      <c r="H275" s="1" t="s">
        <v>66</v>
      </c>
      <c r="I275" s="1" t="s">
        <v>20</v>
      </c>
      <c r="J275" s="1">
        <v>2</v>
      </c>
      <c r="K275" s="1">
        <v>1335.36</v>
      </c>
      <c r="L275" s="1">
        <v>5</v>
      </c>
    </row>
    <row r="276" spans="1:12" x14ac:dyDescent="0.3">
      <c r="A276" s="2">
        <v>45069</v>
      </c>
      <c r="B276" s="2">
        <v>45072</v>
      </c>
      <c r="C276" s="1" t="s">
        <v>15</v>
      </c>
      <c r="D276" s="1" t="s">
        <v>40</v>
      </c>
      <c r="E276" s="1" t="s">
        <v>23</v>
      </c>
      <c r="F276" s="1" t="s">
        <v>41</v>
      </c>
      <c r="G276" s="1" t="s">
        <v>18</v>
      </c>
      <c r="H276" s="1" t="s">
        <v>65</v>
      </c>
      <c r="I276" s="1" t="s">
        <v>32</v>
      </c>
      <c r="J276" s="1">
        <v>1</v>
      </c>
      <c r="K276" s="1">
        <v>1126.5</v>
      </c>
      <c r="L276" s="1">
        <v>15</v>
      </c>
    </row>
    <row r="277" spans="1:12" x14ac:dyDescent="0.3">
      <c r="A277" s="2">
        <v>45139</v>
      </c>
      <c r="B277" s="2">
        <v>45145</v>
      </c>
      <c r="C277" s="1" t="s">
        <v>21</v>
      </c>
      <c r="D277" s="1" t="s">
        <v>28</v>
      </c>
      <c r="E277" s="1" t="s">
        <v>29</v>
      </c>
      <c r="F277" s="1" t="s">
        <v>41</v>
      </c>
      <c r="G277" s="1" t="s">
        <v>48</v>
      </c>
      <c r="H277" s="1" t="s">
        <v>49</v>
      </c>
      <c r="I277" s="1" t="s">
        <v>20</v>
      </c>
      <c r="J277" s="1">
        <v>3</v>
      </c>
      <c r="K277" s="1">
        <v>464.42</v>
      </c>
      <c r="L277" s="1">
        <v>20</v>
      </c>
    </row>
    <row r="278" spans="1:12" x14ac:dyDescent="0.3">
      <c r="A278" s="2">
        <v>45005</v>
      </c>
      <c r="B278" s="2">
        <v>45012</v>
      </c>
      <c r="C278" s="1" t="s">
        <v>14</v>
      </c>
      <c r="D278" s="1" t="s">
        <v>53</v>
      </c>
      <c r="E278" s="1" t="s">
        <v>16</v>
      </c>
      <c r="F278" s="1" t="s">
        <v>24</v>
      </c>
      <c r="G278" s="1" t="s">
        <v>30</v>
      </c>
      <c r="H278" s="1" t="s">
        <v>31</v>
      </c>
      <c r="I278" s="1" t="s">
        <v>20</v>
      </c>
      <c r="J278" s="1">
        <v>4</v>
      </c>
      <c r="K278" s="1">
        <v>3708.51</v>
      </c>
      <c r="L278" s="1">
        <v>5</v>
      </c>
    </row>
    <row r="279" spans="1:12" x14ac:dyDescent="0.3">
      <c r="A279" s="2">
        <v>45042</v>
      </c>
      <c r="B279" s="2">
        <v>45048</v>
      </c>
      <c r="C279" s="1" t="s">
        <v>15</v>
      </c>
      <c r="D279" s="1" t="s">
        <v>28</v>
      </c>
      <c r="E279" s="1" t="s">
        <v>16</v>
      </c>
      <c r="F279" s="1" t="s">
        <v>34</v>
      </c>
      <c r="G279" s="1" t="s">
        <v>48</v>
      </c>
      <c r="H279" s="1" t="s">
        <v>50</v>
      </c>
      <c r="I279" s="1" t="s">
        <v>27</v>
      </c>
      <c r="J279" s="1">
        <v>4</v>
      </c>
      <c r="K279" s="1">
        <v>641.92999999999995</v>
      </c>
      <c r="L279" s="1">
        <v>0</v>
      </c>
    </row>
    <row r="280" spans="1:12" x14ac:dyDescent="0.3">
      <c r="A280" s="2">
        <v>45018</v>
      </c>
      <c r="B280" s="2">
        <v>45019</v>
      </c>
      <c r="C280" s="1" t="s">
        <v>14</v>
      </c>
      <c r="D280" s="1" t="s">
        <v>53</v>
      </c>
      <c r="E280" s="1" t="s">
        <v>16</v>
      </c>
      <c r="F280" s="1" t="s">
        <v>34</v>
      </c>
      <c r="G280" s="1" t="s">
        <v>25</v>
      </c>
      <c r="H280" s="1" t="s">
        <v>26</v>
      </c>
      <c r="I280" s="1" t="s">
        <v>46</v>
      </c>
      <c r="J280" s="1">
        <v>5</v>
      </c>
      <c r="K280" s="1">
        <v>1853.11</v>
      </c>
      <c r="L280" s="1">
        <v>10</v>
      </c>
    </row>
    <row r="281" spans="1:12" x14ac:dyDescent="0.3">
      <c r="A281" s="2">
        <v>45196</v>
      </c>
      <c r="B281" s="2">
        <v>45204</v>
      </c>
      <c r="C281" s="1" t="s">
        <v>45</v>
      </c>
      <c r="D281" s="1" t="s">
        <v>22</v>
      </c>
      <c r="E281" s="1" t="s">
        <v>16</v>
      </c>
      <c r="F281" s="1" t="s">
        <v>17</v>
      </c>
      <c r="G281" s="1" t="s">
        <v>48</v>
      </c>
      <c r="H281" s="1" t="s">
        <v>50</v>
      </c>
      <c r="I281" s="1" t="s">
        <v>20</v>
      </c>
      <c r="J281" s="1">
        <v>7</v>
      </c>
      <c r="K281" s="1">
        <v>313.51</v>
      </c>
      <c r="L281" s="1">
        <v>0</v>
      </c>
    </row>
    <row r="282" spans="1:12" x14ac:dyDescent="0.3">
      <c r="A282" s="2">
        <v>45094</v>
      </c>
      <c r="B282" s="2">
        <v>45101</v>
      </c>
      <c r="C282" s="1" t="s">
        <v>21</v>
      </c>
      <c r="D282" s="1" t="s">
        <v>28</v>
      </c>
      <c r="E282" s="1" t="s">
        <v>29</v>
      </c>
      <c r="F282" s="1" t="s">
        <v>43</v>
      </c>
      <c r="G282" s="1" t="s">
        <v>51</v>
      </c>
      <c r="H282" s="1" t="s">
        <v>55</v>
      </c>
      <c r="I282" s="1" t="s">
        <v>32</v>
      </c>
      <c r="J282" s="1">
        <v>4</v>
      </c>
      <c r="K282" s="1">
        <v>2785.81</v>
      </c>
      <c r="L282" s="1">
        <v>20</v>
      </c>
    </row>
    <row r="283" spans="1:12" x14ac:dyDescent="0.3">
      <c r="A283" s="2">
        <v>44984</v>
      </c>
      <c r="B283" s="2">
        <v>44993</v>
      </c>
      <c r="C283" s="1" t="s">
        <v>33</v>
      </c>
      <c r="D283" s="1" t="s">
        <v>28</v>
      </c>
      <c r="E283" s="1" t="s">
        <v>29</v>
      </c>
      <c r="F283" s="1" t="s">
        <v>41</v>
      </c>
      <c r="G283" s="1" t="s">
        <v>25</v>
      </c>
      <c r="H283" s="1" t="s">
        <v>35</v>
      </c>
      <c r="I283" s="1" t="s">
        <v>44</v>
      </c>
      <c r="J283" s="1">
        <v>1</v>
      </c>
      <c r="K283" s="1">
        <v>3625.42</v>
      </c>
      <c r="L283" s="1">
        <v>10</v>
      </c>
    </row>
    <row r="284" spans="1:12" x14ac:dyDescent="0.3">
      <c r="A284" s="2">
        <v>44952</v>
      </c>
      <c r="B284" s="2">
        <v>44954</v>
      </c>
      <c r="C284" s="1" t="s">
        <v>14</v>
      </c>
      <c r="D284" s="1" t="s">
        <v>28</v>
      </c>
      <c r="E284" s="1" t="s">
        <v>23</v>
      </c>
      <c r="F284" s="1" t="s">
        <v>43</v>
      </c>
      <c r="G284" s="1" t="s">
        <v>18</v>
      </c>
      <c r="H284" s="1" t="s">
        <v>19</v>
      </c>
      <c r="I284" s="1" t="s">
        <v>44</v>
      </c>
      <c r="J284" s="1">
        <v>4</v>
      </c>
      <c r="K284" s="1">
        <v>640.37</v>
      </c>
      <c r="L284" s="1">
        <v>20</v>
      </c>
    </row>
    <row r="285" spans="1:12" x14ac:dyDescent="0.3">
      <c r="A285" s="2">
        <v>45180</v>
      </c>
      <c r="B285" s="2">
        <v>45185</v>
      </c>
      <c r="C285" s="1" t="s">
        <v>14</v>
      </c>
      <c r="D285" s="1" t="s">
        <v>40</v>
      </c>
      <c r="E285" s="1" t="s">
        <v>16</v>
      </c>
      <c r="F285" s="1" t="s">
        <v>43</v>
      </c>
      <c r="G285" s="1" t="s">
        <v>56</v>
      </c>
      <c r="H285" s="1" t="s">
        <v>61</v>
      </c>
      <c r="I285" s="1" t="s">
        <v>20</v>
      </c>
      <c r="J285" s="1">
        <v>1</v>
      </c>
      <c r="K285" s="1">
        <v>3708.38</v>
      </c>
      <c r="L285" s="1">
        <v>20</v>
      </c>
    </row>
    <row r="286" spans="1:12" x14ac:dyDescent="0.3">
      <c r="A286" s="2">
        <v>44970</v>
      </c>
      <c r="B286" s="2">
        <v>44972</v>
      </c>
      <c r="C286" s="1" t="s">
        <v>45</v>
      </c>
      <c r="D286" s="1" t="s">
        <v>15</v>
      </c>
      <c r="E286" s="1" t="s">
        <v>29</v>
      </c>
      <c r="F286" s="1" t="s">
        <v>34</v>
      </c>
      <c r="G286" s="1" t="s">
        <v>30</v>
      </c>
      <c r="H286" s="1" t="s">
        <v>31</v>
      </c>
      <c r="I286" s="1" t="s">
        <v>44</v>
      </c>
      <c r="J286" s="1">
        <v>3</v>
      </c>
      <c r="K286" s="1">
        <v>1923.58</v>
      </c>
      <c r="L286" s="1">
        <v>15</v>
      </c>
    </row>
    <row r="287" spans="1:12" x14ac:dyDescent="0.3">
      <c r="A287" s="2">
        <v>45023</v>
      </c>
      <c r="B287" s="2">
        <v>45026</v>
      </c>
      <c r="C287" s="1" t="s">
        <v>45</v>
      </c>
      <c r="D287" s="1" t="s">
        <v>22</v>
      </c>
      <c r="E287" s="1" t="s">
        <v>29</v>
      </c>
      <c r="F287" s="1" t="s">
        <v>17</v>
      </c>
      <c r="G287" s="1" t="s">
        <v>25</v>
      </c>
      <c r="H287" s="1" t="s">
        <v>35</v>
      </c>
      <c r="I287" s="1" t="s">
        <v>44</v>
      </c>
      <c r="J287" s="1">
        <v>2</v>
      </c>
      <c r="K287" s="1">
        <v>2071.04</v>
      </c>
      <c r="L287" s="1">
        <v>20</v>
      </c>
    </row>
    <row r="288" spans="1:12" x14ac:dyDescent="0.3">
      <c r="A288" s="2">
        <v>45188</v>
      </c>
      <c r="B288" s="2">
        <v>45191</v>
      </c>
      <c r="C288" s="1" t="s">
        <v>36</v>
      </c>
      <c r="D288" s="1" t="s">
        <v>22</v>
      </c>
      <c r="E288" s="1" t="s">
        <v>29</v>
      </c>
      <c r="F288" s="1" t="s">
        <v>34</v>
      </c>
      <c r="G288" s="1" t="s">
        <v>51</v>
      </c>
      <c r="H288" s="1" t="s">
        <v>52</v>
      </c>
      <c r="I288" s="1" t="s">
        <v>20</v>
      </c>
      <c r="J288" s="1">
        <v>9</v>
      </c>
      <c r="K288" s="1">
        <v>2632.88</v>
      </c>
      <c r="L288" s="1">
        <v>5</v>
      </c>
    </row>
    <row r="289" spans="1:12" x14ac:dyDescent="0.3">
      <c r="A289" s="2">
        <v>45093</v>
      </c>
      <c r="B289" s="2">
        <v>45102</v>
      </c>
      <c r="C289" s="1" t="s">
        <v>15</v>
      </c>
      <c r="D289" s="1" t="s">
        <v>37</v>
      </c>
      <c r="E289" s="1" t="s">
        <v>29</v>
      </c>
      <c r="F289" s="1" t="s">
        <v>41</v>
      </c>
      <c r="G289" s="1" t="s">
        <v>30</v>
      </c>
      <c r="H289" s="1" t="s">
        <v>47</v>
      </c>
      <c r="I289" s="1" t="s">
        <v>20</v>
      </c>
      <c r="J289" s="1">
        <v>9</v>
      </c>
      <c r="K289" s="1">
        <v>1259.77</v>
      </c>
      <c r="L289" s="1">
        <v>15</v>
      </c>
    </row>
    <row r="290" spans="1:12" x14ac:dyDescent="0.3">
      <c r="A290" s="2">
        <v>45205</v>
      </c>
      <c r="B290" s="2">
        <v>45213</v>
      </c>
      <c r="C290" s="1" t="s">
        <v>36</v>
      </c>
      <c r="D290" s="1" t="s">
        <v>37</v>
      </c>
      <c r="E290" s="1" t="s">
        <v>16</v>
      </c>
      <c r="F290" s="1" t="s">
        <v>24</v>
      </c>
      <c r="G290" s="1" t="s">
        <v>56</v>
      </c>
      <c r="H290" s="1" t="s">
        <v>57</v>
      </c>
      <c r="I290" s="1" t="s">
        <v>27</v>
      </c>
      <c r="J290" s="1">
        <v>8</v>
      </c>
      <c r="K290" s="1">
        <v>1300.31</v>
      </c>
      <c r="L290" s="1">
        <v>0</v>
      </c>
    </row>
    <row r="291" spans="1:12" x14ac:dyDescent="0.3">
      <c r="A291" s="2">
        <v>45015</v>
      </c>
      <c r="B291" s="2">
        <v>45019</v>
      </c>
      <c r="C291" s="1" t="s">
        <v>14</v>
      </c>
      <c r="D291" s="1" t="s">
        <v>28</v>
      </c>
      <c r="E291" s="1" t="s">
        <v>29</v>
      </c>
      <c r="F291" s="1" t="s">
        <v>34</v>
      </c>
      <c r="G291" s="1" t="s">
        <v>56</v>
      </c>
      <c r="H291" s="1" t="s">
        <v>57</v>
      </c>
      <c r="I291" s="1" t="s">
        <v>32</v>
      </c>
      <c r="J291" s="1">
        <v>8</v>
      </c>
      <c r="K291" s="1">
        <v>3581.12</v>
      </c>
      <c r="L291" s="1">
        <v>15</v>
      </c>
    </row>
    <row r="292" spans="1:12" x14ac:dyDescent="0.3">
      <c r="A292" s="2">
        <v>45104</v>
      </c>
      <c r="B292" s="2">
        <v>45105</v>
      </c>
      <c r="C292" s="1" t="s">
        <v>15</v>
      </c>
      <c r="D292" s="1" t="s">
        <v>40</v>
      </c>
      <c r="E292" s="1" t="s">
        <v>16</v>
      </c>
      <c r="F292" s="1" t="s">
        <v>24</v>
      </c>
      <c r="G292" s="1" t="s">
        <v>30</v>
      </c>
      <c r="H292" s="1" t="s">
        <v>47</v>
      </c>
      <c r="I292" s="1" t="s">
        <v>46</v>
      </c>
      <c r="J292" s="1">
        <v>1</v>
      </c>
      <c r="K292" s="1">
        <v>202.49</v>
      </c>
      <c r="L292" s="1">
        <v>5</v>
      </c>
    </row>
    <row r="293" spans="1:12" x14ac:dyDescent="0.3">
      <c r="A293" s="2">
        <v>45123</v>
      </c>
      <c r="B293" s="2">
        <v>45124</v>
      </c>
      <c r="C293" s="1" t="s">
        <v>33</v>
      </c>
      <c r="D293" s="1" t="s">
        <v>40</v>
      </c>
      <c r="E293" s="1" t="s">
        <v>29</v>
      </c>
      <c r="F293" s="1" t="s">
        <v>41</v>
      </c>
      <c r="G293" s="1" t="s">
        <v>30</v>
      </c>
      <c r="H293" s="1" t="s">
        <v>31</v>
      </c>
      <c r="I293" s="1" t="s">
        <v>44</v>
      </c>
      <c r="J293" s="1">
        <v>8</v>
      </c>
      <c r="K293" s="1">
        <v>1392.5</v>
      </c>
      <c r="L293" s="1">
        <v>15</v>
      </c>
    </row>
    <row r="294" spans="1:12" x14ac:dyDescent="0.3">
      <c r="A294" s="2">
        <v>45233</v>
      </c>
      <c r="B294" s="2">
        <v>45234</v>
      </c>
      <c r="C294" s="1" t="s">
        <v>33</v>
      </c>
      <c r="D294" s="1" t="s">
        <v>22</v>
      </c>
      <c r="E294" s="1" t="s">
        <v>23</v>
      </c>
      <c r="F294" s="1" t="s">
        <v>43</v>
      </c>
      <c r="G294" s="1" t="s">
        <v>56</v>
      </c>
      <c r="H294" s="1" t="s">
        <v>58</v>
      </c>
      <c r="I294" s="1" t="s">
        <v>20</v>
      </c>
      <c r="J294" s="1">
        <v>3</v>
      </c>
      <c r="K294" s="1">
        <v>2284.27</v>
      </c>
      <c r="L294" s="1">
        <v>20</v>
      </c>
    </row>
    <row r="295" spans="1:12" x14ac:dyDescent="0.3">
      <c r="A295" s="2">
        <v>44934</v>
      </c>
      <c r="B295" s="2">
        <v>44940</v>
      </c>
      <c r="C295" s="1" t="s">
        <v>15</v>
      </c>
      <c r="D295" s="1" t="s">
        <v>40</v>
      </c>
      <c r="E295" s="1" t="s">
        <v>16</v>
      </c>
      <c r="F295" s="1" t="s">
        <v>34</v>
      </c>
      <c r="G295" s="1" t="s">
        <v>51</v>
      </c>
      <c r="H295" s="1" t="s">
        <v>52</v>
      </c>
      <c r="I295" s="1" t="s">
        <v>32</v>
      </c>
      <c r="J295" s="1">
        <v>5</v>
      </c>
      <c r="K295" s="1">
        <v>3593.46</v>
      </c>
      <c r="L295" s="1">
        <v>20</v>
      </c>
    </row>
    <row r="296" spans="1:12" x14ac:dyDescent="0.3">
      <c r="A296" s="2">
        <v>45223</v>
      </c>
      <c r="B296" s="2">
        <v>45226</v>
      </c>
      <c r="C296" s="1" t="s">
        <v>14</v>
      </c>
      <c r="D296" s="1" t="s">
        <v>15</v>
      </c>
      <c r="E296" s="1" t="s">
        <v>23</v>
      </c>
      <c r="F296" s="1" t="s">
        <v>41</v>
      </c>
      <c r="G296" s="1" t="s">
        <v>48</v>
      </c>
      <c r="H296" s="1" t="s">
        <v>62</v>
      </c>
      <c r="I296" s="1" t="s">
        <v>20</v>
      </c>
      <c r="J296" s="1">
        <v>5</v>
      </c>
      <c r="K296" s="1">
        <v>3320.88</v>
      </c>
      <c r="L296" s="1">
        <v>0</v>
      </c>
    </row>
    <row r="297" spans="1:12" x14ac:dyDescent="0.3">
      <c r="A297" s="2">
        <v>45090</v>
      </c>
      <c r="B297" s="2">
        <v>45095</v>
      </c>
      <c r="C297" s="1" t="s">
        <v>45</v>
      </c>
      <c r="D297" s="1" t="s">
        <v>40</v>
      </c>
      <c r="E297" s="1" t="s">
        <v>29</v>
      </c>
      <c r="F297" s="1" t="s">
        <v>34</v>
      </c>
      <c r="G297" s="1" t="s">
        <v>56</v>
      </c>
      <c r="H297" s="1" t="s">
        <v>61</v>
      </c>
      <c r="I297" s="1" t="s">
        <v>44</v>
      </c>
      <c r="J297" s="1">
        <v>8</v>
      </c>
      <c r="K297" s="1">
        <v>3610.33</v>
      </c>
      <c r="L297" s="1">
        <v>5</v>
      </c>
    </row>
    <row r="298" spans="1:12" x14ac:dyDescent="0.3">
      <c r="A298" s="2">
        <v>44998</v>
      </c>
      <c r="B298" s="2">
        <v>45000</v>
      </c>
      <c r="C298" s="1" t="s">
        <v>21</v>
      </c>
      <c r="D298" s="1" t="s">
        <v>22</v>
      </c>
      <c r="E298" s="1" t="s">
        <v>16</v>
      </c>
      <c r="F298" s="1" t="s">
        <v>34</v>
      </c>
      <c r="G298" s="1" t="s">
        <v>25</v>
      </c>
      <c r="H298" s="1" t="s">
        <v>35</v>
      </c>
      <c r="I298" s="1" t="s">
        <v>46</v>
      </c>
      <c r="J298" s="1">
        <v>8</v>
      </c>
      <c r="K298" s="1">
        <v>3277.19</v>
      </c>
      <c r="L298" s="1">
        <v>15</v>
      </c>
    </row>
    <row r="299" spans="1:12" x14ac:dyDescent="0.3">
      <c r="A299" s="2">
        <v>44981</v>
      </c>
      <c r="B299" s="2">
        <v>44987</v>
      </c>
      <c r="C299" s="1" t="s">
        <v>21</v>
      </c>
      <c r="D299" s="1" t="s">
        <v>40</v>
      </c>
      <c r="E299" s="1" t="s">
        <v>29</v>
      </c>
      <c r="F299" s="1" t="s">
        <v>17</v>
      </c>
      <c r="G299" s="1" t="s">
        <v>48</v>
      </c>
      <c r="H299" s="1" t="s">
        <v>62</v>
      </c>
      <c r="I299" s="1" t="s">
        <v>27</v>
      </c>
      <c r="J299" s="1">
        <v>6</v>
      </c>
      <c r="K299" s="1">
        <v>1628.56</v>
      </c>
      <c r="L299" s="1">
        <v>0</v>
      </c>
    </row>
    <row r="300" spans="1:12" x14ac:dyDescent="0.3">
      <c r="A300" s="2">
        <v>44973</v>
      </c>
      <c r="B300" s="2">
        <v>44979</v>
      </c>
      <c r="C300" s="1" t="s">
        <v>33</v>
      </c>
      <c r="D300" s="1" t="s">
        <v>40</v>
      </c>
      <c r="E300" s="1" t="s">
        <v>16</v>
      </c>
      <c r="F300" s="1" t="s">
        <v>17</v>
      </c>
      <c r="G300" s="1" t="s">
        <v>48</v>
      </c>
      <c r="H300" s="1" t="s">
        <v>67</v>
      </c>
      <c r="I300" s="1" t="s">
        <v>46</v>
      </c>
      <c r="J300" s="1">
        <v>6</v>
      </c>
      <c r="K300" s="1">
        <v>2715.13</v>
      </c>
      <c r="L300" s="1">
        <v>20</v>
      </c>
    </row>
    <row r="301" spans="1:12" x14ac:dyDescent="0.3">
      <c r="A301" s="2">
        <v>45164</v>
      </c>
      <c r="B301" s="2">
        <v>45167</v>
      </c>
      <c r="C301" s="1" t="s">
        <v>15</v>
      </c>
      <c r="D301" s="1" t="s">
        <v>22</v>
      </c>
      <c r="E301" s="1" t="s">
        <v>23</v>
      </c>
      <c r="F301" s="1" t="s">
        <v>34</v>
      </c>
      <c r="G301" s="1" t="s">
        <v>48</v>
      </c>
      <c r="H301" s="1" t="s">
        <v>62</v>
      </c>
      <c r="I301" s="1" t="s">
        <v>20</v>
      </c>
      <c r="J301" s="1">
        <v>2</v>
      </c>
      <c r="K301" s="1">
        <v>3957.02</v>
      </c>
      <c r="L301" s="1">
        <v>5</v>
      </c>
    </row>
    <row r="302" spans="1:12" x14ac:dyDescent="0.3">
      <c r="A302" s="2">
        <v>45030</v>
      </c>
      <c r="B302" s="2">
        <v>45036</v>
      </c>
      <c r="C302" s="1" t="s">
        <v>21</v>
      </c>
      <c r="D302" s="1" t="s">
        <v>15</v>
      </c>
      <c r="E302" s="1" t="s">
        <v>23</v>
      </c>
      <c r="F302" s="1" t="s">
        <v>17</v>
      </c>
      <c r="G302" s="1" t="s">
        <v>51</v>
      </c>
      <c r="H302" s="1" t="s">
        <v>52</v>
      </c>
      <c r="I302" s="1" t="s">
        <v>20</v>
      </c>
      <c r="J302" s="1">
        <v>6</v>
      </c>
      <c r="K302" s="1">
        <v>1019.05</v>
      </c>
      <c r="L302" s="1">
        <v>0</v>
      </c>
    </row>
    <row r="303" spans="1:12" x14ac:dyDescent="0.3">
      <c r="A303" s="2">
        <v>45136</v>
      </c>
      <c r="B303" s="2">
        <v>45141</v>
      </c>
      <c r="C303" s="1" t="s">
        <v>36</v>
      </c>
      <c r="D303" s="1" t="s">
        <v>15</v>
      </c>
      <c r="E303" s="1" t="s">
        <v>16</v>
      </c>
      <c r="F303" s="1" t="s">
        <v>41</v>
      </c>
      <c r="G303" s="1" t="s">
        <v>56</v>
      </c>
      <c r="H303" s="1" t="s">
        <v>57</v>
      </c>
      <c r="I303" s="1" t="s">
        <v>32</v>
      </c>
      <c r="J303" s="1">
        <v>5</v>
      </c>
      <c r="K303" s="1">
        <v>1651.11</v>
      </c>
      <c r="L303" s="1">
        <v>20</v>
      </c>
    </row>
    <row r="304" spans="1:12" x14ac:dyDescent="0.3">
      <c r="A304" s="2">
        <v>45242</v>
      </c>
      <c r="B304" s="2">
        <v>45251</v>
      </c>
      <c r="C304" s="1" t="s">
        <v>36</v>
      </c>
      <c r="D304" s="1" t="s">
        <v>53</v>
      </c>
      <c r="E304" s="1" t="s">
        <v>29</v>
      </c>
      <c r="F304" s="1" t="s">
        <v>17</v>
      </c>
      <c r="G304" s="1" t="s">
        <v>56</v>
      </c>
      <c r="H304" s="1" t="s">
        <v>58</v>
      </c>
      <c r="I304" s="1" t="s">
        <v>44</v>
      </c>
      <c r="J304" s="1">
        <v>6</v>
      </c>
      <c r="K304" s="1">
        <v>681.36</v>
      </c>
      <c r="L304" s="1">
        <v>15</v>
      </c>
    </row>
    <row r="305" spans="1:12" x14ac:dyDescent="0.3">
      <c r="A305" s="2">
        <v>45262</v>
      </c>
      <c r="B305" s="2">
        <v>45270</v>
      </c>
      <c r="C305" s="1" t="s">
        <v>14</v>
      </c>
      <c r="D305" s="1" t="s">
        <v>15</v>
      </c>
      <c r="E305" s="1" t="s">
        <v>23</v>
      </c>
      <c r="F305" s="1" t="s">
        <v>34</v>
      </c>
      <c r="G305" s="1" t="s">
        <v>25</v>
      </c>
      <c r="H305" s="1" t="s">
        <v>68</v>
      </c>
      <c r="I305" s="1" t="s">
        <v>44</v>
      </c>
      <c r="J305" s="1">
        <v>1</v>
      </c>
      <c r="K305" s="1">
        <v>3910.66</v>
      </c>
      <c r="L305" s="1">
        <v>5</v>
      </c>
    </row>
    <row r="306" spans="1:12" x14ac:dyDescent="0.3">
      <c r="A306" s="2">
        <v>45185</v>
      </c>
      <c r="B306" s="2">
        <v>45188</v>
      </c>
      <c r="C306" s="1" t="s">
        <v>15</v>
      </c>
      <c r="D306" s="1" t="s">
        <v>22</v>
      </c>
      <c r="E306" s="1" t="s">
        <v>23</v>
      </c>
      <c r="F306" s="1" t="s">
        <v>43</v>
      </c>
      <c r="G306" s="1" t="s">
        <v>51</v>
      </c>
      <c r="H306" s="1" t="s">
        <v>55</v>
      </c>
      <c r="I306" s="1" t="s">
        <v>46</v>
      </c>
      <c r="J306" s="1">
        <v>3</v>
      </c>
      <c r="K306" s="1">
        <v>487.45</v>
      </c>
      <c r="L306" s="1">
        <v>5</v>
      </c>
    </row>
    <row r="307" spans="1:12" x14ac:dyDescent="0.3">
      <c r="A307" s="2">
        <v>45040</v>
      </c>
      <c r="B307" s="2">
        <v>45042</v>
      </c>
      <c r="C307" s="1" t="s">
        <v>36</v>
      </c>
      <c r="D307" s="1" t="s">
        <v>22</v>
      </c>
      <c r="E307" s="1" t="s">
        <v>23</v>
      </c>
      <c r="F307" s="1" t="s">
        <v>41</v>
      </c>
      <c r="G307" s="1" t="s">
        <v>30</v>
      </c>
      <c r="H307" s="1" t="s">
        <v>47</v>
      </c>
      <c r="I307" s="1" t="s">
        <v>32</v>
      </c>
      <c r="J307" s="1">
        <v>1</v>
      </c>
      <c r="K307" s="1">
        <v>3581.58</v>
      </c>
      <c r="L307" s="1">
        <v>15</v>
      </c>
    </row>
    <row r="308" spans="1:12" x14ac:dyDescent="0.3">
      <c r="A308" s="2">
        <v>45289</v>
      </c>
      <c r="B308" s="2">
        <v>45297</v>
      </c>
      <c r="C308" s="1" t="s">
        <v>21</v>
      </c>
      <c r="D308" s="1" t="s">
        <v>15</v>
      </c>
      <c r="E308" s="1" t="s">
        <v>23</v>
      </c>
      <c r="F308" s="1" t="s">
        <v>41</v>
      </c>
      <c r="G308" s="1" t="s">
        <v>18</v>
      </c>
      <c r="H308" s="1" t="s">
        <v>54</v>
      </c>
      <c r="I308" s="1" t="s">
        <v>27</v>
      </c>
      <c r="J308" s="1">
        <v>5</v>
      </c>
      <c r="K308" s="1">
        <v>1935.68</v>
      </c>
      <c r="L308" s="1">
        <v>20</v>
      </c>
    </row>
    <row r="309" spans="1:12" x14ac:dyDescent="0.3">
      <c r="A309" s="2">
        <v>44966</v>
      </c>
      <c r="B309" s="2">
        <v>44967</v>
      </c>
      <c r="C309" s="1" t="s">
        <v>15</v>
      </c>
      <c r="D309" s="1" t="s">
        <v>22</v>
      </c>
      <c r="E309" s="1" t="s">
        <v>23</v>
      </c>
      <c r="F309" s="1" t="s">
        <v>41</v>
      </c>
      <c r="G309" s="1" t="s">
        <v>51</v>
      </c>
      <c r="H309" s="1" t="s">
        <v>63</v>
      </c>
      <c r="I309" s="1" t="s">
        <v>32</v>
      </c>
      <c r="J309" s="1">
        <v>3</v>
      </c>
      <c r="K309" s="1">
        <v>1382.11</v>
      </c>
      <c r="L309" s="1">
        <v>10</v>
      </c>
    </row>
    <row r="310" spans="1:12" x14ac:dyDescent="0.3">
      <c r="A310" s="2">
        <v>45146</v>
      </c>
      <c r="B310" s="2">
        <v>45154</v>
      </c>
      <c r="C310" s="1" t="s">
        <v>14</v>
      </c>
      <c r="D310" s="1" t="s">
        <v>22</v>
      </c>
      <c r="E310" s="1" t="s">
        <v>23</v>
      </c>
      <c r="F310" s="1" t="s">
        <v>43</v>
      </c>
      <c r="G310" s="1" t="s">
        <v>48</v>
      </c>
      <c r="H310" s="1" t="s">
        <v>67</v>
      </c>
      <c r="I310" s="1" t="s">
        <v>27</v>
      </c>
      <c r="J310" s="1">
        <v>2</v>
      </c>
      <c r="K310" s="1">
        <v>1984.38</v>
      </c>
      <c r="L310" s="1">
        <v>10</v>
      </c>
    </row>
    <row r="311" spans="1:12" x14ac:dyDescent="0.3">
      <c r="A311" s="2">
        <v>45055</v>
      </c>
      <c r="B311" s="2">
        <v>45062</v>
      </c>
      <c r="C311" s="1" t="s">
        <v>45</v>
      </c>
      <c r="D311" s="1" t="s">
        <v>28</v>
      </c>
      <c r="E311" s="1" t="s">
        <v>23</v>
      </c>
      <c r="F311" s="1" t="s">
        <v>41</v>
      </c>
      <c r="G311" s="1" t="s">
        <v>30</v>
      </c>
      <c r="H311" s="1" t="s">
        <v>31</v>
      </c>
      <c r="I311" s="1" t="s">
        <v>32</v>
      </c>
      <c r="J311" s="1">
        <v>8</v>
      </c>
      <c r="K311" s="1">
        <v>1375.47</v>
      </c>
      <c r="L311" s="1">
        <v>15</v>
      </c>
    </row>
    <row r="312" spans="1:12" x14ac:dyDescent="0.3">
      <c r="A312" s="2">
        <v>44934</v>
      </c>
      <c r="B312" s="2">
        <v>44941</v>
      </c>
      <c r="C312" s="1" t="s">
        <v>21</v>
      </c>
      <c r="D312" s="1" t="s">
        <v>53</v>
      </c>
      <c r="E312" s="1" t="s">
        <v>29</v>
      </c>
      <c r="F312" s="1" t="s">
        <v>17</v>
      </c>
      <c r="G312" s="1" t="s">
        <v>30</v>
      </c>
      <c r="H312" s="1" t="s">
        <v>38</v>
      </c>
      <c r="I312" s="1" t="s">
        <v>32</v>
      </c>
      <c r="J312" s="1">
        <v>3</v>
      </c>
      <c r="K312" s="1">
        <v>2032.79</v>
      </c>
      <c r="L312" s="1">
        <v>10</v>
      </c>
    </row>
    <row r="313" spans="1:12" x14ac:dyDescent="0.3">
      <c r="A313" s="2">
        <v>45102</v>
      </c>
      <c r="B313" s="2">
        <v>45103</v>
      </c>
      <c r="C313" s="1" t="s">
        <v>39</v>
      </c>
      <c r="D313" s="1" t="s">
        <v>53</v>
      </c>
      <c r="E313" s="1" t="s">
        <v>23</v>
      </c>
      <c r="F313" s="1" t="s">
        <v>34</v>
      </c>
      <c r="G313" s="1" t="s">
        <v>30</v>
      </c>
      <c r="H313" s="1" t="s">
        <v>47</v>
      </c>
      <c r="I313" s="1" t="s">
        <v>46</v>
      </c>
      <c r="J313" s="1">
        <v>1</v>
      </c>
      <c r="K313" s="1">
        <v>2430.36</v>
      </c>
      <c r="L313" s="1">
        <v>15</v>
      </c>
    </row>
    <row r="314" spans="1:12" x14ac:dyDescent="0.3">
      <c r="A314" s="2">
        <v>45027</v>
      </c>
      <c r="B314" s="2">
        <v>45036</v>
      </c>
      <c r="C314" s="1" t="s">
        <v>21</v>
      </c>
      <c r="D314" s="1" t="s">
        <v>37</v>
      </c>
      <c r="E314" s="1" t="s">
        <v>23</v>
      </c>
      <c r="F314" s="1" t="s">
        <v>24</v>
      </c>
      <c r="G314" s="1" t="s">
        <v>51</v>
      </c>
      <c r="H314" s="1" t="s">
        <v>59</v>
      </c>
      <c r="I314" s="1" t="s">
        <v>32</v>
      </c>
      <c r="J314" s="1">
        <v>3</v>
      </c>
      <c r="K314" s="1">
        <v>1553.98</v>
      </c>
      <c r="L314" s="1">
        <v>15</v>
      </c>
    </row>
    <row r="315" spans="1:12" x14ac:dyDescent="0.3">
      <c r="A315" s="2">
        <v>45186</v>
      </c>
      <c r="B315" s="2">
        <v>45191</v>
      </c>
      <c r="C315" s="1" t="s">
        <v>39</v>
      </c>
      <c r="D315" s="1" t="s">
        <v>22</v>
      </c>
      <c r="E315" s="1" t="s">
        <v>23</v>
      </c>
      <c r="F315" s="1" t="s">
        <v>34</v>
      </c>
      <c r="G315" s="1" t="s">
        <v>51</v>
      </c>
      <c r="H315" s="1" t="s">
        <v>59</v>
      </c>
      <c r="I315" s="1" t="s">
        <v>44</v>
      </c>
      <c r="J315" s="1">
        <v>8</v>
      </c>
      <c r="K315" s="1">
        <v>2993.25</v>
      </c>
      <c r="L315" s="1">
        <v>10</v>
      </c>
    </row>
    <row r="316" spans="1:12" x14ac:dyDescent="0.3">
      <c r="A316" s="2">
        <v>45172</v>
      </c>
      <c r="B316" s="2">
        <v>45173</v>
      </c>
      <c r="C316" s="1" t="s">
        <v>21</v>
      </c>
      <c r="D316" s="1" t="s">
        <v>28</v>
      </c>
      <c r="E316" s="1" t="s">
        <v>16</v>
      </c>
      <c r="F316" s="1" t="s">
        <v>17</v>
      </c>
      <c r="G316" s="1" t="s">
        <v>48</v>
      </c>
      <c r="H316" s="1" t="s">
        <v>49</v>
      </c>
      <c r="I316" s="1" t="s">
        <v>46</v>
      </c>
      <c r="J316" s="1">
        <v>6</v>
      </c>
      <c r="K316" s="1">
        <v>2716.48</v>
      </c>
      <c r="L316" s="1">
        <v>0</v>
      </c>
    </row>
    <row r="317" spans="1:12" x14ac:dyDescent="0.3">
      <c r="A317" s="2">
        <v>45201</v>
      </c>
      <c r="B317" s="2">
        <v>45206</v>
      </c>
      <c r="C317" s="1" t="s">
        <v>15</v>
      </c>
      <c r="D317" s="1" t="s">
        <v>22</v>
      </c>
      <c r="E317" s="1" t="s">
        <v>23</v>
      </c>
      <c r="F317" s="1" t="s">
        <v>43</v>
      </c>
      <c r="G317" s="1" t="s">
        <v>25</v>
      </c>
      <c r="H317" s="1" t="s">
        <v>35</v>
      </c>
      <c r="I317" s="1" t="s">
        <v>44</v>
      </c>
      <c r="J317" s="1">
        <v>2</v>
      </c>
      <c r="K317" s="1">
        <v>610.30999999999995</v>
      </c>
      <c r="L317" s="1">
        <v>10</v>
      </c>
    </row>
    <row r="318" spans="1:12" x14ac:dyDescent="0.3">
      <c r="A318" s="2">
        <v>44958</v>
      </c>
      <c r="B318" s="2">
        <v>44966</v>
      </c>
      <c r="C318" s="1" t="s">
        <v>45</v>
      </c>
      <c r="D318" s="1" t="s">
        <v>15</v>
      </c>
      <c r="E318" s="1" t="s">
        <v>29</v>
      </c>
      <c r="F318" s="1" t="s">
        <v>43</v>
      </c>
      <c r="G318" s="1" t="s">
        <v>48</v>
      </c>
      <c r="H318" s="1" t="s">
        <v>50</v>
      </c>
      <c r="I318" s="1" t="s">
        <v>46</v>
      </c>
      <c r="J318" s="1">
        <v>6</v>
      </c>
      <c r="K318" s="1">
        <v>2354.67</v>
      </c>
      <c r="L318" s="1">
        <v>15</v>
      </c>
    </row>
    <row r="319" spans="1:12" x14ac:dyDescent="0.3">
      <c r="A319" s="2">
        <v>44938</v>
      </c>
      <c r="B319" s="2">
        <v>44943</v>
      </c>
      <c r="C319" s="1" t="s">
        <v>21</v>
      </c>
      <c r="D319" s="1" t="s">
        <v>28</v>
      </c>
      <c r="E319" s="1" t="s">
        <v>16</v>
      </c>
      <c r="F319" s="1" t="s">
        <v>43</v>
      </c>
      <c r="G319" s="1" t="s">
        <v>48</v>
      </c>
      <c r="H319" s="1" t="s">
        <v>62</v>
      </c>
      <c r="I319" s="1" t="s">
        <v>32</v>
      </c>
      <c r="J319" s="1">
        <v>5</v>
      </c>
      <c r="K319" s="1">
        <v>3245.77</v>
      </c>
      <c r="L319" s="1">
        <v>0</v>
      </c>
    </row>
    <row r="320" spans="1:12" x14ac:dyDescent="0.3">
      <c r="A320" s="2">
        <v>45228</v>
      </c>
      <c r="B320" s="2">
        <v>45237</v>
      </c>
      <c r="C320" s="1" t="s">
        <v>15</v>
      </c>
      <c r="D320" s="1" t="s">
        <v>15</v>
      </c>
      <c r="E320" s="1" t="s">
        <v>23</v>
      </c>
      <c r="F320" s="1" t="s">
        <v>41</v>
      </c>
      <c r="G320" s="1" t="s">
        <v>18</v>
      </c>
      <c r="H320" s="1" t="s">
        <v>42</v>
      </c>
      <c r="I320" s="1" t="s">
        <v>32</v>
      </c>
      <c r="J320" s="1">
        <v>3</v>
      </c>
      <c r="K320" s="1">
        <v>1789.86</v>
      </c>
      <c r="L320" s="1">
        <v>0</v>
      </c>
    </row>
    <row r="321" spans="1:12" x14ac:dyDescent="0.3">
      <c r="A321" s="2">
        <v>45035</v>
      </c>
      <c r="B321" s="2">
        <v>45037</v>
      </c>
      <c r="C321" s="1" t="s">
        <v>15</v>
      </c>
      <c r="D321" s="1" t="s">
        <v>37</v>
      </c>
      <c r="E321" s="1" t="s">
        <v>23</v>
      </c>
      <c r="F321" s="1" t="s">
        <v>43</v>
      </c>
      <c r="G321" s="1" t="s">
        <v>25</v>
      </c>
      <c r="H321" s="1" t="s">
        <v>35</v>
      </c>
      <c r="I321" s="1" t="s">
        <v>20</v>
      </c>
      <c r="J321" s="1">
        <v>1</v>
      </c>
      <c r="K321" s="1">
        <v>2743.75</v>
      </c>
      <c r="L321" s="1">
        <v>15</v>
      </c>
    </row>
    <row r="322" spans="1:12" x14ac:dyDescent="0.3">
      <c r="A322" s="2">
        <v>45084</v>
      </c>
      <c r="B322" s="2">
        <v>45091</v>
      </c>
      <c r="C322" s="1" t="s">
        <v>45</v>
      </c>
      <c r="D322" s="1" t="s">
        <v>22</v>
      </c>
      <c r="E322" s="1" t="s">
        <v>23</v>
      </c>
      <c r="F322" s="1" t="s">
        <v>24</v>
      </c>
      <c r="G322" s="1" t="s">
        <v>18</v>
      </c>
      <c r="H322" s="1" t="s">
        <v>65</v>
      </c>
      <c r="I322" s="1" t="s">
        <v>44</v>
      </c>
      <c r="J322" s="1">
        <v>4</v>
      </c>
      <c r="K322" s="1">
        <v>1333.99</v>
      </c>
      <c r="L322" s="1">
        <v>5</v>
      </c>
    </row>
    <row r="323" spans="1:12" x14ac:dyDescent="0.3">
      <c r="A323" s="2">
        <v>45195</v>
      </c>
      <c r="B323" s="2">
        <v>45204</v>
      </c>
      <c r="C323" s="1" t="s">
        <v>15</v>
      </c>
      <c r="D323" s="1" t="s">
        <v>28</v>
      </c>
      <c r="E323" s="1" t="s">
        <v>29</v>
      </c>
      <c r="F323" s="1" t="s">
        <v>43</v>
      </c>
      <c r="G323" s="1" t="s">
        <v>48</v>
      </c>
      <c r="H323" s="1" t="s">
        <v>50</v>
      </c>
      <c r="I323" s="1" t="s">
        <v>20</v>
      </c>
      <c r="J323" s="1">
        <v>1</v>
      </c>
      <c r="K323" s="1">
        <v>2044.41</v>
      </c>
      <c r="L323" s="1">
        <v>0</v>
      </c>
    </row>
    <row r="324" spans="1:12" x14ac:dyDescent="0.3">
      <c r="A324" s="2">
        <v>45088</v>
      </c>
      <c r="B324" s="2">
        <v>45090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51</v>
      </c>
      <c r="H324" s="1" t="s">
        <v>52</v>
      </c>
      <c r="I324" s="1" t="s">
        <v>32</v>
      </c>
      <c r="J324" s="1">
        <v>9</v>
      </c>
      <c r="K324" s="1">
        <v>3216.56</v>
      </c>
      <c r="L324" s="1">
        <v>20</v>
      </c>
    </row>
    <row r="325" spans="1:12" x14ac:dyDescent="0.3">
      <c r="A325" s="2">
        <v>45028</v>
      </c>
      <c r="B325" s="2">
        <v>45034</v>
      </c>
      <c r="C325" s="1" t="s">
        <v>36</v>
      </c>
      <c r="D325" s="1" t="s">
        <v>15</v>
      </c>
      <c r="E325" s="1" t="s">
        <v>23</v>
      </c>
      <c r="F325" s="1" t="s">
        <v>17</v>
      </c>
      <c r="G325" s="1" t="s">
        <v>30</v>
      </c>
      <c r="H325" s="1" t="s">
        <v>38</v>
      </c>
      <c r="I325" s="1" t="s">
        <v>32</v>
      </c>
      <c r="J325" s="1">
        <v>7</v>
      </c>
      <c r="K325" s="1">
        <v>1020.23</v>
      </c>
      <c r="L325" s="1">
        <v>10</v>
      </c>
    </row>
    <row r="326" spans="1:12" x14ac:dyDescent="0.3">
      <c r="A326" s="2">
        <v>44985</v>
      </c>
      <c r="B326" s="2">
        <v>44993</v>
      </c>
      <c r="C326" s="1" t="s">
        <v>45</v>
      </c>
      <c r="D326" s="1" t="s">
        <v>15</v>
      </c>
      <c r="E326" s="1" t="s">
        <v>29</v>
      </c>
      <c r="F326" s="1" t="s">
        <v>24</v>
      </c>
      <c r="G326" s="1" t="s">
        <v>18</v>
      </c>
      <c r="H326" s="1" t="s">
        <v>42</v>
      </c>
      <c r="I326" s="1" t="s">
        <v>32</v>
      </c>
      <c r="J326" s="1">
        <v>3</v>
      </c>
      <c r="K326" s="1">
        <v>2165.7199999999998</v>
      </c>
      <c r="L326" s="1">
        <v>5</v>
      </c>
    </row>
    <row r="327" spans="1:12" x14ac:dyDescent="0.3">
      <c r="A327" s="2">
        <v>45054</v>
      </c>
      <c r="B327" s="2">
        <v>45056</v>
      </c>
      <c r="C327" s="1" t="s">
        <v>36</v>
      </c>
      <c r="D327" s="1" t="s">
        <v>53</v>
      </c>
      <c r="E327" s="1" t="s">
        <v>23</v>
      </c>
      <c r="F327" s="1" t="s">
        <v>17</v>
      </c>
      <c r="G327" s="1" t="s">
        <v>51</v>
      </c>
      <c r="H327" s="1" t="s">
        <v>52</v>
      </c>
      <c r="I327" s="1" t="s">
        <v>27</v>
      </c>
      <c r="J327" s="1">
        <v>8</v>
      </c>
      <c r="K327" s="1">
        <v>1297.5899999999999</v>
      </c>
      <c r="L327" s="1">
        <v>0</v>
      </c>
    </row>
    <row r="328" spans="1:12" x14ac:dyDescent="0.3">
      <c r="A328" s="2">
        <v>45209</v>
      </c>
      <c r="B328" s="2">
        <v>45212</v>
      </c>
      <c r="C328" s="1" t="s">
        <v>45</v>
      </c>
      <c r="D328" s="1" t="s">
        <v>53</v>
      </c>
      <c r="E328" s="1" t="s">
        <v>29</v>
      </c>
      <c r="F328" s="1" t="s">
        <v>41</v>
      </c>
      <c r="G328" s="1" t="s">
        <v>25</v>
      </c>
      <c r="H328" s="1" t="s">
        <v>35</v>
      </c>
      <c r="I328" s="1" t="s">
        <v>44</v>
      </c>
      <c r="J328" s="1">
        <v>1</v>
      </c>
      <c r="K328" s="1">
        <v>1219.7</v>
      </c>
      <c r="L328" s="1">
        <v>5</v>
      </c>
    </row>
    <row r="329" spans="1:12" x14ac:dyDescent="0.3">
      <c r="A329" s="2">
        <v>45057</v>
      </c>
      <c r="B329" s="2">
        <v>45065</v>
      </c>
      <c r="C329" s="1" t="s">
        <v>21</v>
      </c>
      <c r="D329" s="1" t="s">
        <v>53</v>
      </c>
      <c r="E329" s="1" t="s">
        <v>16</v>
      </c>
      <c r="F329" s="1" t="s">
        <v>43</v>
      </c>
      <c r="G329" s="1" t="s">
        <v>51</v>
      </c>
      <c r="H329" s="1" t="s">
        <v>63</v>
      </c>
      <c r="I329" s="1" t="s">
        <v>44</v>
      </c>
      <c r="J329" s="1">
        <v>1</v>
      </c>
      <c r="K329" s="1">
        <v>3354.81</v>
      </c>
      <c r="L329" s="1">
        <v>0</v>
      </c>
    </row>
    <row r="330" spans="1:12" x14ac:dyDescent="0.3">
      <c r="A330" s="2">
        <v>45279</v>
      </c>
      <c r="B330" s="2">
        <v>45280</v>
      </c>
      <c r="C330" s="1" t="s">
        <v>39</v>
      </c>
      <c r="D330" s="1" t="s">
        <v>53</v>
      </c>
      <c r="E330" s="1" t="s">
        <v>23</v>
      </c>
      <c r="F330" s="1" t="s">
        <v>34</v>
      </c>
      <c r="G330" s="1" t="s">
        <v>51</v>
      </c>
      <c r="H330" s="1" t="s">
        <v>55</v>
      </c>
      <c r="I330" s="1" t="s">
        <v>32</v>
      </c>
      <c r="J330" s="1">
        <v>8</v>
      </c>
      <c r="K330" s="1">
        <v>3905.57</v>
      </c>
      <c r="L330" s="1">
        <v>10</v>
      </c>
    </row>
    <row r="331" spans="1:12" x14ac:dyDescent="0.3">
      <c r="A331" s="2">
        <v>45059</v>
      </c>
      <c r="B331" s="2">
        <v>45061</v>
      </c>
      <c r="C331" s="1" t="s">
        <v>15</v>
      </c>
      <c r="D331" s="1" t="s">
        <v>53</v>
      </c>
      <c r="E331" s="1" t="s">
        <v>16</v>
      </c>
      <c r="F331" s="1" t="s">
        <v>17</v>
      </c>
      <c r="G331" s="1" t="s">
        <v>51</v>
      </c>
      <c r="H331" s="1" t="s">
        <v>63</v>
      </c>
      <c r="I331" s="1" t="s">
        <v>46</v>
      </c>
      <c r="J331" s="1">
        <v>6</v>
      </c>
      <c r="K331" s="1">
        <v>1288.31</v>
      </c>
      <c r="L331" s="1">
        <v>15</v>
      </c>
    </row>
    <row r="332" spans="1:12" x14ac:dyDescent="0.3">
      <c r="A332" s="2">
        <v>45153</v>
      </c>
      <c r="B332" s="2">
        <v>45155</v>
      </c>
      <c r="C332" s="1" t="s">
        <v>39</v>
      </c>
      <c r="D332" s="1" t="s">
        <v>15</v>
      </c>
      <c r="E332" s="1" t="s">
        <v>23</v>
      </c>
      <c r="F332" s="1" t="s">
        <v>43</v>
      </c>
      <c r="G332" s="1" t="s">
        <v>51</v>
      </c>
      <c r="H332" s="1" t="s">
        <v>59</v>
      </c>
      <c r="I332" s="1" t="s">
        <v>46</v>
      </c>
      <c r="J332" s="1">
        <v>9</v>
      </c>
      <c r="K332" s="1">
        <v>3740.3</v>
      </c>
      <c r="L332" s="1">
        <v>10</v>
      </c>
    </row>
    <row r="333" spans="1:12" x14ac:dyDescent="0.3">
      <c r="A333" s="2">
        <v>45137</v>
      </c>
      <c r="B333" s="2">
        <v>45140</v>
      </c>
      <c r="C333" s="1" t="s">
        <v>39</v>
      </c>
      <c r="D333" s="1" t="s">
        <v>22</v>
      </c>
      <c r="E333" s="1" t="s">
        <v>23</v>
      </c>
      <c r="F333" s="1" t="s">
        <v>24</v>
      </c>
      <c r="G333" s="1" t="s">
        <v>18</v>
      </c>
      <c r="H333" s="1" t="s">
        <v>54</v>
      </c>
      <c r="I333" s="1" t="s">
        <v>27</v>
      </c>
      <c r="J333" s="1">
        <v>9</v>
      </c>
      <c r="K333" s="1">
        <v>2454.59</v>
      </c>
      <c r="L333" s="1">
        <v>5</v>
      </c>
    </row>
    <row r="334" spans="1:12" x14ac:dyDescent="0.3">
      <c r="A334" s="2">
        <v>45139</v>
      </c>
      <c r="B334" s="2">
        <v>45146</v>
      </c>
      <c r="C334" s="1" t="s">
        <v>45</v>
      </c>
      <c r="D334" s="1" t="s">
        <v>37</v>
      </c>
      <c r="E334" s="1" t="s">
        <v>29</v>
      </c>
      <c r="F334" s="1" t="s">
        <v>34</v>
      </c>
      <c r="G334" s="1" t="s">
        <v>48</v>
      </c>
      <c r="H334" s="1" t="s">
        <v>50</v>
      </c>
      <c r="I334" s="1" t="s">
        <v>27</v>
      </c>
      <c r="J334" s="1">
        <v>6</v>
      </c>
      <c r="K334" s="1">
        <v>2247.37</v>
      </c>
      <c r="L334" s="1">
        <v>15</v>
      </c>
    </row>
    <row r="335" spans="1:12" x14ac:dyDescent="0.3">
      <c r="A335" s="2">
        <v>45057</v>
      </c>
      <c r="B335" s="2">
        <v>45062</v>
      </c>
      <c r="C335" s="1" t="s">
        <v>45</v>
      </c>
      <c r="D335" s="1" t="s">
        <v>53</v>
      </c>
      <c r="E335" s="1" t="s">
        <v>23</v>
      </c>
      <c r="F335" s="1" t="s">
        <v>24</v>
      </c>
      <c r="G335" s="1" t="s">
        <v>18</v>
      </c>
      <c r="H335" s="1" t="s">
        <v>19</v>
      </c>
      <c r="I335" s="1" t="s">
        <v>44</v>
      </c>
      <c r="J335" s="1">
        <v>8</v>
      </c>
      <c r="K335" s="1">
        <v>437.36</v>
      </c>
      <c r="L335" s="1">
        <v>20</v>
      </c>
    </row>
    <row r="336" spans="1:12" x14ac:dyDescent="0.3">
      <c r="A336" s="2">
        <v>45002</v>
      </c>
      <c r="B336" s="2">
        <v>45009</v>
      </c>
      <c r="C336" s="1" t="s">
        <v>14</v>
      </c>
      <c r="D336" s="1" t="s">
        <v>28</v>
      </c>
      <c r="E336" s="1" t="s">
        <v>23</v>
      </c>
      <c r="F336" s="1" t="s">
        <v>43</v>
      </c>
      <c r="G336" s="1" t="s">
        <v>51</v>
      </c>
      <c r="H336" s="1" t="s">
        <v>55</v>
      </c>
      <c r="I336" s="1" t="s">
        <v>20</v>
      </c>
      <c r="J336" s="1">
        <v>3</v>
      </c>
      <c r="K336" s="1">
        <v>3644.78</v>
      </c>
      <c r="L336" s="1">
        <v>0</v>
      </c>
    </row>
    <row r="337" spans="1:12" x14ac:dyDescent="0.3">
      <c r="A337" s="2">
        <v>45212</v>
      </c>
      <c r="B337" s="2">
        <v>45213</v>
      </c>
      <c r="C337" s="1" t="s">
        <v>14</v>
      </c>
      <c r="D337" s="1" t="s">
        <v>22</v>
      </c>
      <c r="E337" s="1" t="s">
        <v>29</v>
      </c>
      <c r="F337" s="1" t="s">
        <v>17</v>
      </c>
      <c r="G337" s="1" t="s">
        <v>51</v>
      </c>
      <c r="H337" s="1" t="s">
        <v>59</v>
      </c>
      <c r="I337" s="1" t="s">
        <v>20</v>
      </c>
      <c r="J337" s="1">
        <v>3</v>
      </c>
      <c r="K337" s="1">
        <v>3986.78</v>
      </c>
      <c r="L337" s="1">
        <v>20</v>
      </c>
    </row>
    <row r="338" spans="1:12" x14ac:dyDescent="0.3">
      <c r="A338" s="2">
        <v>45082</v>
      </c>
      <c r="B338" s="2">
        <v>45091</v>
      </c>
      <c r="C338" s="1" t="s">
        <v>45</v>
      </c>
      <c r="D338" s="1" t="s">
        <v>22</v>
      </c>
      <c r="E338" s="1" t="s">
        <v>29</v>
      </c>
      <c r="F338" s="1" t="s">
        <v>17</v>
      </c>
      <c r="G338" s="1" t="s">
        <v>25</v>
      </c>
      <c r="H338" s="1" t="s">
        <v>60</v>
      </c>
      <c r="I338" s="1" t="s">
        <v>46</v>
      </c>
      <c r="J338" s="1">
        <v>5</v>
      </c>
      <c r="K338" s="1">
        <v>3116.22</v>
      </c>
      <c r="L338" s="1">
        <v>10</v>
      </c>
    </row>
    <row r="339" spans="1:12" x14ac:dyDescent="0.3">
      <c r="A339" s="2">
        <v>45174</v>
      </c>
      <c r="B339" s="2">
        <v>45179</v>
      </c>
      <c r="C339" s="1" t="s">
        <v>33</v>
      </c>
      <c r="D339" s="1" t="s">
        <v>28</v>
      </c>
      <c r="E339" s="1" t="s">
        <v>23</v>
      </c>
      <c r="F339" s="1" t="s">
        <v>34</v>
      </c>
      <c r="G339" s="1" t="s">
        <v>48</v>
      </c>
      <c r="H339" s="1" t="s">
        <v>50</v>
      </c>
      <c r="I339" s="1" t="s">
        <v>27</v>
      </c>
      <c r="J339" s="1">
        <v>3</v>
      </c>
      <c r="K339" s="1">
        <v>1448.62</v>
      </c>
      <c r="L339" s="1">
        <v>10</v>
      </c>
    </row>
    <row r="340" spans="1:12" x14ac:dyDescent="0.3">
      <c r="A340" s="2">
        <v>45144</v>
      </c>
      <c r="B340" s="2">
        <v>45149</v>
      </c>
      <c r="C340" s="1" t="s">
        <v>36</v>
      </c>
      <c r="D340" s="1" t="s">
        <v>53</v>
      </c>
      <c r="E340" s="1" t="s">
        <v>16</v>
      </c>
      <c r="F340" s="1" t="s">
        <v>41</v>
      </c>
      <c r="G340" s="1" t="s">
        <v>48</v>
      </c>
      <c r="H340" s="1" t="s">
        <v>49</v>
      </c>
      <c r="I340" s="1" t="s">
        <v>32</v>
      </c>
      <c r="J340" s="1">
        <v>1</v>
      </c>
      <c r="K340" s="1">
        <v>3775.07</v>
      </c>
      <c r="L340" s="1">
        <v>10</v>
      </c>
    </row>
    <row r="341" spans="1:12" x14ac:dyDescent="0.3">
      <c r="A341" s="2">
        <v>45116</v>
      </c>
      <c r="B341" s="2">
        <v>45119</v>
      </c>
      <c r="C341" s="1" t="s">
        <v>15</v>
      </c>
      <c r="D341" s="1" t="s">
        <v>22</v>
      </c>
      <c r="E341" s="1" t="s">
        <v>16</v>
      </c>
      <c r="F341" s="1" t="s">
        <v>41</v>
      </c>
      <c r="G341" s="1" t="s">
        <v>30</v>
      </c>
      <c r="H341" s="1" t="s">
        <v>64</v>
      </c>
      <c r="I341" s="1" t="s">
        <v>44</v>
      </c>
      <c r="J341" s="1">
        <v>3</v>
      </c>
      <c r="K341" s="1">
        <v>2189.4</v>
      </c>
      <c r="L341" s="1">
        <v>20</v>
      </c>
    </row>
    <row r="342" spans="1:12" x14ac:dyDescent="0.3">
      <c r="A342" s="2">
        <v>45089</v>
      </c>
      <c r="B342" s="2">
        <v>45094</v>
      </c>
      <c r="C342" s="1" t="s">
        <v>14</v>
      </c>
      <c r="D342" s="1" t="s">
        <v>22</v>
      </c>
      <c r="E342" s="1" t="s">
        <v>23</v>
      </c>
      <c r="F342" s="1" t="s">
        <v>34</v>
      </c>
      <c r="G342" s="1" t="s">
        <v>56</v>
      </c>
      <c r="H342" s="1" t="s">
        <v>57</v>
      </c>
      <c r="I342" s="1" t="s">
        <v>44</v>
      </c>
      <c r="J342" s="1">
        <v>9</v>
      </c>
      <c r="K342" s="1">
        <v>2969.7</v>
      </c>
      <c r="L342" s="1">
        <v>10</v>
      </c>
    </row>
    <row r="343" spans="1:12" x14ac:dyDescent="0.3">
      <c r="A343" s="2">
        <v>44960</v>
      </c>
      <c r="B343" s="2">
        <v>44969</v>
      </c>
      <c r="C343" s="1" t="s">
        <v>39</v>
      </c>
      <c r="D343" s="1" t="s">
        <v>37</v>
      </c>
      <c r="E343" s="1" t="s">
        <v>29</v>
      </c>
      <c r="F343" s="1" t="s">
        <v>17</v>
      </c>
      <c r="G343" s="1" t="s">
        <v>30</v>
      </c>
      <c r="H343" s="1" t="s">
        <v>31</v>
      </c>
      <c r="I343" s="1" t="s">
        <v>20</v>
      </c>
      <c r="J343" s="1">
        <v>2</v>
      </c>
      <c r="K343" s="1">
        <v>3904.44</v>
      </c>
      <c r="L343" s="1">
        <v>10</v>
      </c>
    </row>
    <row r="344" spans="1:12" x14ac:dyDescent="0.3">
      <c r="A344" s="2">
        <v>45264</v>
      </c>
      <c r="B344" s="2">
        <v>45265</v>
      </c>
      <c r="C344" s="1" t="s">
        <v>33</v>
      </c>
      <c r="D344" s="1" t="s">
        <v>37</v>
      </c>
      <c r="E344" s="1" t="s">
        <v>16</v>
      </c>
      <c r="F344" s="1" t="s">
        <v>34</v>
      </c>
      <c r="G344" s="1" t="s">
        <v>25</v>
      </c>
      <c r="H344" s="1" t="s">
        <v>68</v>
      </c>
      <c r="I344" s="1" t="s">
        <v>27</v>
      </c>
      <c r="J344" s="1">
        <v>4</v>
      </c>
      <c r="K344" s="1">
        <v>3871.21</v>
      </c>
      <c r="L344" s="1">
        <v>10</v>
      </c>
    </row>
    <row r="345" spans="1:12" x14ac:dyDescent="0.3">
      <c r="A345" s="2">
        <v>45240</v>
      </c>
      <c r="B345" s="2">
        <v>45247</v>
      </c>
      <c r="C345" s="1" t="s">
        <v>39</v>
      </c>
      <c r="D345" s="1" t="s">
        <v>37</v>
      </c>
      <c r="E345" s="1" t="s">
        <v>29</v>
      </c>
      <c r="F345" s="1" t="s">
        <v>17</v>
      </c>
      <c r="G345" s="1" t="s">
        <v>18</v>
      </c>
      <c r="H345" s="1" t="s">
        <v>19</v>
      </c>
      <c r="I345" s="1" t="s">
        <v>32</v>
      </c>
      <c r="J345" s="1">
        <v>7</v>
      </c>
      <c r="K345" s="1">
        <v>2568.2600000000002</v>
      </c>
      <c r="L345" s="1">
        <v>10</v>
      </c>
    </row>
    <row r="346" spans="1:12" x14ac:dyDescent="0.3">
      <c r="A346" s="2">
        <v>45076</v>
      </c>
      <c r="B346" s="2">
        <v>45082</v>
      </c>
      <c r="C346" s="1" t="s">
        <v>45</v>
      </c>
      <c r="D346" s="1" t="s">
        <v>22</v>
      </c>
      <c r="E346" s="1" t="s">
        <v>23</v>
      </c>
      <c r="F346" s="1" t="s">
        <v>41</v>
      </c>
      <c r="G346" s="1" t="s">
        <v>48</v>
      </c>
      <c r="H346" s="1" t="s">
        <v>67</v>
      </c>
      <c r="I346" s="1" t="s">
        <v>27</v>
      </c>
      <c r="J346" s="1">
        <v>1</v>
      </c>
      <c r="K346" s="1">
        <v>1574.59</v>
      </c>
      <c r="L346" s="1">
        <v>5</v>
      </c>
    </row>
    <row r="347" spans="1:12" x14ac:dyDescent="0.3">
      <c r="A347" s="2">
        <v>45251</v>
      </c>
      <c r="B347" s="2">
        <v>45255</v>
      </c>
      <c r="C347" s="1" t="s">
        <v>33</v>
      </c>
      <c r="D347" s="1" t="s">
        <v>40</v>
      </c>
      <c r="E347" s="1" t="s">
        <v>16</v>
      </c>
      <c r="F347" s="1" t="s">
        <v>24</v>
      </c>
      <c r="G347" s="1" t="s">
        <v>56</v>
      </c>
      <c r="H347" s="1" t="s">
        <v>57</v>
      </c>
      <c r="I347" s="1" t="s">
        <v>27</v>
      </c>
      <c r="J347" s="1">
        <v>9</v>
      </c>
      <c r="K347" s="1">
        <v>3191.56</v>
      </c>
      <c r="L347" s="1">
        <v>20</v>
      </c>
    </row>
    <row r="348" spans="1:12" x14ac:dyDescent="0.3">
      <c r="A348" s="2">
        <v>45034</v>
      </c>
      <c r="B348" s="2">
        <v>45036</v>
      </c>
      <c r="C348" s="1" t="s">
        <v>14</v>
      </c>
      <c r="D348" s="1" t="s">
        <v>28</v>
      </c>
      <c r="E348" s="1" t="s">
        <v>16</v>
      </c>
      <c r="F348" s="1" t="s">
        <v>17</v>
      </c>
      <c r="G348" s="1" t="s">
        <v>51</v>
      </c>
      <c r="H348" s="1" t="s">
        <v>63</v>
      </c>
      <c r="I348" s="1" t="s">
        <v>44</v>
      </c>
      <c r="J348" s="1">
        <v>2</v>
      </c>
      <c r="K348" s="1">
        <v>1374.23</v>
      </c>
      <c r="L348" s="1">
        <v>0</v>
      </c>
    </row>
    <row r="349" spans="1:12" x14ac:dyDescent="0.3">
      <c r="A349" s="2">
        <v>45276</v>
      </c>
      <c r="B349" s="2">
        <v>45280</v>
      </c>
      <c r="C349" s="1" t="s">
        <v>45</v>
      </c>
      <c r="D349" s="1" t="s">
        <v>28</v>
      </c>
      <c r="E349" s="1" t="s">
        <v>23</v>
      </c>
      <c r="F349" s="1" t="s">
        <v>43</v>
      </c>
      <c r="G349" s="1" t="s">
        <v>25</v>
      </c>
      <c r="H349" s="1" t="s">
        <v>26</v>
      </c>
      <c r="I349" s="1" t="s">
        <v>27</v>
      </c>
      <c r="J349" s="1">
        <v>5</v>
      </c>
      <c r="K349" s="1">
        <v>1480.66</v>
      </c>
      <c r="L349" s="1">
        <v>0</v>
      </c>
    </row>
    <row r="350" spans="1:12" x14ac:dyDescent="0.3">
      <c r="A350" s="2">
        <v>45215</v>
      </c>
      <c r="B350" s="2">
        <v>45221</v>
      </c>
      <c r="C350" s="1" t="s">
        <v>21</v>
      </c>
      <c r="D350" s="1" t="s">
        <v>28</v>
      </c>
      <c r="E350" s="1" t="s">
        <v>23</v>
      </c>
      <c r="F350" s="1" t="s">
        <v>24</v>
      </c>
      <c r="G350" s="1" t="s">
        <v>48</v>
      </c>
      <c r="H350" s="1" t="s">
        <v>49</v>
      </c>
      <c r="I350" s="1" t="s">
        <v>20</v>
      </c>
      <c r="J350" s="1">
        <v>1</v>
      </c>
      <c r="K350" s="1">
        <v>445.38</v>
      </c>
      <c r="L350" s="1">
        <v>10</v>
      </c>
    </row>
    <row r="351" spans="1:12" x14ac:dyDescent="0.3">
      <c r="A351" s="2">
        <v>44992</v>
      </c>
      <c r="B351" s="2">
        <v>45000</v>
      </c>
      <c r="C351" s="1" t="s">
        <v>21</v>
      </c>
      <c r="D351" s="1" t="s">
        <v>15</v>
      </c>
      <c r="E351" s="1" t="s">
        <v>23</v>
      </c>
      <c r="F351" s="1" t="s">
        <v>34</v>
      </c>
      <c r="G351" s="1" t="s">
        <v>25</v>
      </c>
      <c r="H351" s="1" t="s">
        <v>35</v>
      </c>
      <c r="I351" s="1" t="s">
        <v>46</v>
      </c>
      <c r="J351" s="1">
        <v>5</v>
      </c>
      <c r="K351" s="1">
        <v>2072.3200000000002</v>
      </c>
      <c r="L351" s="1">
        <v>15</v>
      </c>
    </row>
    <row r="352" spans="1:12" x14ac:dyDescent="0.3">
      <c r="A352" s="2">
        <v>45174</v>
      </c>
      <c r="B352" s="2">
        <v>45176</v>
      </c>
      <c r="C352" s="1" t="s">
        <v>45</v>
      </c>
      <c r="D352" s="1" t="s">
        <v>22</v>
      </c>
      <c r="E352" s="1" t="s">
        <v>29</v>
      </c>
      <c r="F352" s="1" t="s">
        <v>41</v>
      </c>
      <c r="G352" s="1" t="s">
        <v>30</v>
      </c>
      <c r="H352" s="1" t="s">
        <v>64</v>
      </c>
      <c r="I352" s="1" t="s">
        <v>46</v>
      </c>
      <c r="J352" s="1">
        <v>1</v>
      </c>
      <c r="K352" s="1">
        <v>559.4</v>
      </c>
      <c r="L352" s="1">
        <v>20</v>
      </c>
    </row>
    <row r="353" spans="1:12" x14ac:dyDescent="0.3">
      <c r="A353" s="2">
        <v>45082</v>
      </c>
      <c r="B353" s="2">
        <v>45089</v>
      </c>
      <c r="C353" s="1" t="s">
        <v>36</v>
      </c>
      <c r="D353" s="1" t="s">
        <v>22</v>
      </c>
      <c r="E353" s="1" t="s">
        <v>29</v>
      </c>
      <c r="F353" s="1" t="s">
        <v>43</v>
      </c>
      <c r="G353" s="1" t="s">
        <v>18</v>
      </c>
      <c r="H353" s="1" t="s">
        <v>42</v>
      </c>
      <c r="I353" s="1" t="s">
        <v>32</v>
      </c>
      <c r="J353" s="1">
        <v>4</v>
      </c>
      <c r="K353" s="1">
        <v>589.44000000000005</v>
      </c>
      <c r="L353" s="1">
        <v>20</v>
      </c>
    </row>
    <row r="354" spans="1:12" x14ac:dyDescent="0.3">
      <c r="A354" s="2">
        <v>44973</v>
      </c>
      <c r="B354" s="2">
        <v>44975</v>
      </c>
      <c r="C354" s="1" t="s">
        <v>15</v>
      </c>
      <c r="D354" s="1" t="s">
        <v>40</v>
      </c>
      <c r="E354" s="1" t="s">
        <v>29</v>
      </c>
      <c r="F354" s="1" t="s">
        <v>34</v>
      </c>
      <c r="G354" s="1" t="s">
        <v>18</v>
      </c>
      <c r="H354" s="1" t="s">
        <v>42</v>
      </c>
      <c r="I354" s="1" t="s">
        <v>27</v>
      </c>
      <c r="J354" s="1">
        <v>6</v>
      </c>
      <c r="K354" s="1">
        <v>3773.04</v>
      </c>
      <c r="L354" s="1">
        <v>0</v>
      </c>
    </row>
    <row r="355" spans="1:12" x14ac:dyDescent="0.3">
      <c r="A355" s="2">
        <v>45074</v>
      </c>
      <c r="B355" s="2">
        <v>45082</v>
      </c>
      <c r="C355" s="1" t="s">
        <v>21</v>
      </c>
      <c r="D355" s="1" t="s">
        <v>15</v>
      </c>
      <c r="E355" s="1" t="s">
        <v>16</v>
      </c>
      <c r="F355" s="1" t="s">
        <v>17</v>
      </c>
      <c r="G355" s="1" t="s">
        <v>56</v>
      </c>
      <c r="H355" s="1" t="s">
        <v>58</v>
      </c>
      <c r="I355" s="1" t="s">
        <v>44</v>
      </c>
      <c r="J355" s="1">
        <v>9</v>
      </c>
      <c r="K355" s="1">
        <v>1890.53</v>
      </c>
      <c r="L355" s="1">
        <v>15</v>
      </c>
    </row>
    <row r="356" spans="1:12" x14ac:dyDescent="0.3">
      <c r="A356" s="2">
        <v>44927</v>
      </c>
      <c r="B356" s="2">
        <v>44936</v>
      </c>
      <c r="C356" s="1" t="s">
        <v>33</v>
      </c>
      <c r="D356" s="1" t="s">
        <v>28</v>
      </c>
      <c r="E356" s="1" t="s">
        <v>29</v>
      </c>
      <c r="F356" s="1" t="s">
        <v>17</v>
      </c>
      <c r="G356" s="1" t="s">
        <v>25</v>
      </c>
      <c r="H356" s="1" t="s">
        <v>35</v>
      </c>
      <c r="I356" s="1" t="s">
        <v>27</v>
      </c>
      <c r="J356" s="1">
        <v>8</v>
      </c>
      <c r="K356" s="1">
        <v>150.72</v>
      </c>
      <c r="L356" s="1">
        <v>5</v>
      </c>
    </row>
    <row r="357" spans="1:12" x14ac:dyDescent="0.3">
      <c r="A357" s="2">
        <v>45269</v>
      </c>
      <c r="B357" s="2">
        <v>45278</v>
      </c>
      <c r="C357" s="1" t="s">
        <v>14</v>
      </c>
      <c r="D357" s="1" t="s">
        <v>53</v>
      </c>
      <c r="E357" s="1" t="s">
        <v>29</v>
      </c>
      <c r="F357" s="1" t="s">
        <v>34</v>
      </c>
      <c r="G357" s="1" t="s">
        <v>30</v>
      </c>
      <c r="H357" s="1" t="s">
        <v>47</v>
      </c>
      <c r="I357" s="1" t="s">
        <v>27</v>
      </c>
      <c r="J357" s="1">
        <v>5</v>
      </c>
      <c r="K357" s="1">
        <v>2523.25</v>
      </c>
      <c r="L357" s="1">
        <v>10</v>
      </c>
    </row>
    <row r="358" spans="1:12" x14ac:dyDescent="0.3">
      <c r="A358" s="2">
        <v>45117</v>
      </c>
      <c r="B358" s="2">
        <v>45119</v>
      </c>
      <c r="C358" s="1" t="s">
        <v>15</v>
      </c>
      <c r="D358" s="1" t="s">
        <v>28</v>
      </c>
      <c r="E358" s="1" t="s">
        <v>16</v>
      </c>
      <c r="F358" s="1" t="s">
        <v>43</v>
      </c>
      <c r="G358" s="1" t="s">
        <v>25</v>
      </c>
      <c r="H358" s="1" t="s">
        <v>35</v>
      </c>
      <c r="I358" s="1" t="s">
        <v>46</v>
      </c>
      <c r="J358" s="1">
        <v>6</v>
      </c>
      <c r="K358" s="1">
        <v>845</v>
      </c>
      <c r="L358" s="1">
        <v>15</v>
      </c>
    </row>
    <row r="359" spans="1:12" x14ac:dyDescent="0.3">
      <c r="A359" s="2">
        <v>44947</v>
      </c>
      <c r="B359" s="2">
        <v>44955</v>
      </c>
      <c r="C359" s="1" t="s">
        <v>33</v>
      </c>
      <c r="D359" s="1" t="s">
        <v>40</v>
      </c>
      <c r="E359" s="1" t="s">
        <v>16</v>
      </c>
      <c r="F359" s="1" t="s">
        <v>43</v>
      </c>
      <c r="G359" s="1" t="s">
        <v>48</v>
      </c>
      <c r="H359" s="1" t="s">
        <v>49</v>
      </c>
      <c r="I359" s="1" t="s">
        <v>46</v>
      </c>
      <c r="J359" s="1">
        <v>8</v>
      </c>
      <c r="K359" s="1">
        <v>1160.51</v>
      </c>
      <c r="L359" s="1">
        <v>0</v>
      </c>
    </row>
    <row r="360" spans="1:12" x14ac:dyDescent="0.3">
      <c r="A360" s="2">
        <v>45153</v>
      </c>
      <c r="B360" s="2">
        <v>45162</v>
      </c>
      <c r="C360" s="1" t="s">
        <v>33</v>
      </c>
      <c r="D360" s="1" t="s">
        <v>53</v>
      </c>
      <c r="E360" s="1" t="s">
        <v>23</v>
      </c>
      <c r="F360" s="1" t="s">
        <v>24</v>
      </c>
      <c r="G360" s="1" t="s">
        <v>56</v>
      </c>
      <c r="H360" s="1" t="s">
        <v>66</v>
      </c>
      <c r="I360" s="1" t="s">
        <v>32</v>
      </c>
      <c r="J360" s="1">
        <v>7</v>
      </c>
      <c r="K360" s="1">
        <v>2172.2399999999998</v>
      </c>
      <c r="L360" s="1">
        <v>20</v>
      </c>
    </row>
    <row r="361" spans="1:12" x14ac:dyDescent="0.3">
      <c r="A361" s="2">
        <v>45228</v>
      </c>
      <c r="B361" s="2">
        <v>45237</v>
      </c>
      <c r="C361" s="1" t="s">
        <v>15</v>
      </c>
      <c r="D361" s="1" t="s">
        <v>15</v>
      </c>
      <c r="E361" s="1" t="s">
        <v>16</v>
      </c>
      <c r="F361" s="1" t="s">
        <v>41</v>
      </c>
      <c r="G361" s="1" t="s">
        <v>18</v>
      </c>
      <c r="H361" s="1" t="s">
        <v>42</v>
      </c>
      <c r="I361" s="1" t="s">
        <v>44</v>
      </c>
      <c r="J361" s="1">
        <v>2</v>
      </c>
      <c r="K361" s="1">
        <v>1294.8399999999999</v>
      </c>
      <c r="L361" s="1">
        <v>15</v>
      </c>
    </row>
    <row r="362" spans="1:12" x14ac:dyDescent="0.3">
      <c r="A362" s="2">
        <v>45068</v>
      </c>
      <c r="B362" s="2">
        <v>45077</v>
      </c>
      <c r="C362" s="1" t="s">
        <v>15</v>
      </c>
      <c r="D362" s="1" t="s">
        <v>40</v>
      </c>
      <c r="E362" s="1" t="s">
        <v>23</v>
      </c>
      <c r="F362" s="1" t="s">
        <v>41</v>
      </c>
      <c r="G362" s="1" t="s">
        <v>48</v>
      </c>
      <c r="H362" s="1" t="s">
        <v>62</v>
      </c>
      <c r="I362" s="1" t="s">
        <v>32</v>
      </c>
      <c r="J362" s="1">
        <v>9</v>
      </c>
      <c r="K362" s="1">
        <v>775.77</v>
      </c>
      <c r="L362" s="1">
        <v>0</v>
      </c>
    </row>
    <row r="363" spans="1:12" x14ac:dyDescent="0.3">
      <c r="A363" s="2">
        <v>44965</v>
      </c>
      <c r="B363" s="2">
        <v>44966</v>
      </c>
      <c r="C363" s="1" t="s">
        <v>39</v>
      </c>
      <c r="D363" s="1" t="s">
        <v>15</v>
      </c>
      <c r="E363" s="1" t="s">
        <v>29</v>
      </c>
      <c r="F363" s="1" t="s">
        <v>24</v>
      </c>
      <c r="G363" s="1" t="s">
        <v>51</v>
      </c>
      <c r="H363" s="1" t="s">
        <v>52</v>
      </c>
      <c r="I363" s="1" t="s">
        <v>20</v>
      </c>
      <c r="J363" s="1">
        <v>4</v>
      </c>
      <c r="K363" s="1">
        <v>2751.14</v>
      </c>
      <c r="L363" s="1">
        <v>20</v>
      </c>
    </row>
    <row r="364" spans="1:12" x14ac:dyDescent="0.3">
      <c r="A364" s="2">
        <v>45178</v>
      </c>
      <c r="B364" s="2">
        <v>45187</v>
      </c>
      <c r="C364" s="1" t="s">
        <v>33</v>
      </c>
      <c r="D364" s="1" t="s">
        <v>22</v>
      </c>
      <c r="E364" s="1" t="s">
        <v>23</v>
      </c>
      <c r="F364" s="1" t="s">
        <v>17</v>
      </c>
      <c r="G364" s="1" t="s">
        <v>56</v>
      </c>
      <c r="H364" s="1" t="s">
        <v>61</v>
      </c>
      <c r="I364" s="1" t="s">
        <v>32</v>
      </c>
      <c r="J364" s="1">
        <v>8</v>
      </c>
      <c r="K364" s="1">
        <v>2536.88</v>
      </c>
      <c r="L364" s="1">
        <v>5</v>
      </c>
    </row>
    <row r="365" spans="1:12" x14ac:dyDescent="0.3">
      <c r="A365" s="2">
        <v>45259</v>
      </c>
      <c r="B365" s="2">
        <v>45261</v>
      </c>
      <c r="C365" s="1" t="s">
        <v>14</v>
      </c>
      <c r="D365" s="1" t="s">
        <v>28</v>
      </c>
      <c r="E365" s="1" t="s">
        <v>16</v>
      </c>
      <c r="F365" s="1" t="s">
        <v>34</v>
      </c>
      <c r="G365" s="1" t="s">
        <v>30</v>
      </c>
      <c r="H365" s="1" t="s">
        <v>31</v>
      </c>
      <c r="I365" s="1" t="s">
        <v>44</v>
      </c>
      <c r="J365" s="1">
        <v>7</v>
      </c>
      <c r="K365" s="1">
        <v>2838.06</v>
      </c>
      <c r="L365" s="1">
        <v>20</v>
      </c>
    </row>
    <row r="366" spans="1:12" x14ac:dyDescent="0.3">
      <c r="A366" s="2">
        <v>45133</v>
      </c>
      <c r="B366" s="2">
        <v>45137</v>
      </c>
      <c r="C366" s="1" t="s">
        <v>15</v>
      </c>
      <c r="D366" s="1" t="s">
        <v>28</v>
      </c>
      <c r="E366" s="1" t="s">
        <v>16</v>
      </c>
      <c r="F366" s="1" t="s">
        <v>43</v>
      </c>
      <c r="G366" s="1" t="s">
        <v>48</v>
      </c>
      <c r="H366" s="1" t="s">
        <v>62</v>
      </c>
      <c r="I366" s="1" t="s">
        <v>27</v>
      </c>
      <c r="J366" s="1">
        <v>5</v>
      </c>
      <c r="K366" s="1">
        <v>977.43</v>
      </c>
      <c r="L366" s="1">
        <v>20</v>
      </c>
    </row>
    <row r="367" spans="1:12" x14ac:dyDescent="0.3">
      <c r="A367" s="2">
        <v>45041</v>
      </c>
      <c r="B367" s="2">
        <v>45043</v>
      </c>
      <c r="C367" s="1" t="s">
        <v>39</v>
      </c>
      <c r="D367" s="1" t="s">
        <v>15</v>
      </c>
      <c r="E367" s="1" t="s">
        <v>23</v>
      </c>
      <c r="F367" s="1" t="s">
        <v>43</v>
      </c>
      <c r="G367" s="1" t="s">
        <v>48</v>
      </c>
      <c r="H367" s="1" t="s">
        <v>67</v>
      </c>
      <c r="I367" s="1" t="s">
        <v>27</v>
      </c>
      <c r="J367" s="1">
        <v>7</v>
      </c>
      <c r="K367" s="1">
        <v>1550.03</v>
      </c>
      <c r="L367" s="1">
        <v>10</v>
      </c>
    </row>
    <row r="368" spans="1:12" x14ac:dyDescent="0.3">
      <c r="A368" s="2">
        <v>45151</v>
      </c>
      <c r="B368" s="2">
        <v>45154</v>
      </c>
      <c r="C368" s="1" t="s">
        <v>36</v>
      </c>
      <c r="D368" s="1" t="s">
        <v>40</v>
      </c>
      <c r="E368" s="1" t="s">
        <v>16</v>
      </c>
      <c r="F368" s="1" t="s">
        <v>43</v>
      </c>
      <c r="G368" s="1" t="s">
        <v>56</v>
      </c>
      <c r="H368" s="1" t="s">
        <v>66</v>
      </c>
      <c r="I368" s="1" t="s">
        <v>44</v>
      </c>
      <c r="J368" s="1">
        <v>5</v>
      </c>
      <c r="K368" s="1">
        <v>529.59</v>
      </c>
      <c r="L368" s="1">
        <v>5</v>
      </c>
    </row>
    <row r="369" spans="1:12" x14ac:dyDescent="0.3">
      <c r="A369" s="2">
        <v>45060</v>
      </c>
      <c r="B369" s="2">
        <v>45063</v>
      </c>
      <c r="C369" s="1" t="s">
        <v>14</v>
      </c>
      <c r="D369" s="1" t="s">
        <v>22</v>
      </c>
      <c r="E369" s="1" t="s">
        <v>29</v>
      </c>
      <c r="F369" s="1" t="s">
        <v>24</v>
      </c>
      <c r="G369" s="1" t="s">
        <v>56</v>
      </c>
      <c r="H369" s="1" t="s">
        <v>58</v>
      </c>
      <c r="I369" s="1" t="s">
        <v>44</v>
      </c>
      <c r="J369" s="1">
        <v>8</v>
      </c>
      <c r="K369" s="1">
        <v>598.44000000000005</v>
      </c>
      <c r="L369" s="1">
        <v>0</v>
      </c>
    </row>
    <row r="370" spans="1:12" x14ac:dyDescent="0.3">
      <c r="A370" s="2">
        <v>45177</v>
      </c>
      <c r="B370" s="2">
        <v>45178</v>
      </c>
      <c r="C370" s="1" t="s">
        <v>14</v>
      </c>
      <c r="D370" s="1" t="s">
        <v>22</v>
      </c>
      <c r="E370" s="1" t="s">
        <v>16</v>
      </c>
      <c r="F370" s="1" t="s">
        <v>41</v>
      </c>
      <c r="G370" s="1" t="s">
        <v>51</v>
      </c>
      <c r="H370" s="1" t="s">
        <v>59</v>
      </c>
      <c r="I370" s="1" t="s">
        <v>44</v>
      </c>
      <c r="J370" s="1">
        <v>6</v>
      </c>
      <c r="K370" s="1">
        <v>1128.9100000000001</v>
      </c>
      <c r="L370" s="1">
        <v>20</v>
      </c>
    </row>
    <row r="371" spans="1:12" x14ac:dyDescent="0.3">
      <c r="A371" s="2">
        <v>45145</v>
      </c>
      <c r="B371" s="2">
        <v>45151</v>
      </c>
      <c r="C371" s="1" t="s">
        <v>15</v>
      </c>
      <c r="D371" s="1" t="s">
        <v>28</v>
      </c>
      <c r="E371" s="1" t="s">
        <v>23</v>
      </c>
      <c r="F371" s="1" t="s">
        <v>41</v>
      </c>
      <c r="G371" s="1" t="s">
        <v>30</v>
      </c>
      <c r="H371" s="1" t="s">
        <v>38</v>
      </c>
      <c r="I371" s="1" t="s">
        <v>20</v>
      </c>
      <c r="J371" s="1">
        <v>5</v>
      </c>
      <c r="K371" s="1">
        <v>1287.55</v>
      </c>
      <c r="L371" s="1">
        <v>0</v>
      </c>
    </row>
    <row r="372" spans="1:12" x14ac:dyDescent="0.3">
      <c r="A372" s="2">
        <v>45017</v>
      </c>
      <c r="B372" s="2">
        <v>45025</v>
      </c>
      <c r="C372" s="1" t="s">
        <v>45</v>
      </c>
      <c r="D372" s="1" t="s">
        <v>15</v>
      </c>
      <c r="E372" s="1" t="s">
        <v>29</v>
      </c>
      <c r="F372" s="1" t="s">
        <v>17</v>
      </c>
      <c r="G372" s="1" t="s">
        <v>25</v>
      </c>
      <c r="H372" s="1" t="s">
        <v>35</v>
      </c>
      <c r="I372" s="1" t="s">
        <v>27</v>
      </c>
      <c r="J372" s="1">
        <v>9</v>
      </c>
      <c r="K372" s="1">
        <v>2190.39</v>
      </c>
      <c r="L372" s="1">
        <v>20</v>
      </c>
    </row>
    <row r="373" spans="1:12" x14ac:dyDescent="0.3">
      <c r="A373" s="2">
        <v>44972</v>
      </c>
      <c r="B373" s="2">
        <v>44977</v>
      </c>
      <c r="C373" s="1" t="s">
        <v>14</v>
      </c>
      <c r="D373" s="1" t="s">
        <v>15</v>
      </c>
      <c r="E373" s="1" t="s">
        <v>29</v>
      </c>
      <c r="F373" s="1" t="s">
        <v>41</v>
      </c>
      <c r="G373" s="1" t="s">
        <v>30</v>
      </c>
      <c r="H373" s="1" t="s">
        <v>64</v>
      </c>
      <c r="I373" s="1" t="s">
        <v>32</v>
      </c>
      <c r="J373" s="1">
        <v>1</v>
      </c>
      <c r="K373" s="1">
        <v>2432.17</v>
      </c>
      <c r="L373" s="1">
        <v>20</v>
      </c>
    </row>
  </sheetData>
  <conditionalFormatting sqref="K2:K373">
    <cfRule type="cellIs" dxfId="6" priority="2" operator="greaterThanOrEqual">
      <formula>$O$4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0FE23F6-AB5A-4B19-AA0D-8F989D9933D7}">
            <xm:f>NOT(ISERROR(SEARCH($O$5,D2)))</xm:f>
            <xm:f>$O$5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D2:D373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D085-D941-4260-9214-A84FA0ACCB86}">
  <dimension ref="A1:O373"/>
  <sheetViews>
    <sheetView workbookViewId="0">
      <selection activeCell="M365" sqref="M361:N365"/>
    </sheetView>
  </sheetViews>
  <sheetFormatPr defaultRowHeight="14.4" x14ac:dyDescent="0.3"/>
  <cols>
    <col min="1" max="2" width="10.33203125" bestFit="1" customWidth="1"/>
    <col min="3" max="3" width="9.77734375" bestFit="1" customWidth="1"/>
    <col min="4" max="4" width="11.44140625" bestFit="1" customWidth="1"/>
    <col min="5" max="5" width="12.109375" bestFit="1" customWidth="1"/>
    <col min="6" max="6" width="15.109375" bestFit="1" customWidth="1"/>
    <col min="7" max="7" width="15.21875" bestFit="1" customWidth="1"/>
    <col min="8" max="8" width="12.6640625" bestFit="1" customWidth="1"/>
    <col min="9" max="9" width="7" bestFit="1" customWidth="1"/>
    <col min="10" max="10" width="9.109375" bestFit="1" customWidth="1"/>
    <col min="12" max="12" width="10" bestFit="1" customWidth="1"/>
    <col min="14" max="14" width="15.21875" bestFit="1" customWidth="1"/>
    <col min="15" max="15" width="11.109375" bestFit="1" customWidth="1"/>
  </cols>
  <sheetData>
    <row r="1" spans="1:1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5" x14ac:dyDescent="0.3">
      <c r="A2" s="5">
        <v>45197</v>
      </c>
      <c r="B2" s="5">
        <v>45203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>
        <v>7</v>
      </c>
      <c r="K2" s="1">
        <v>2843.87</v>
      </c>
      <c r="L2" s="1">
        <v>0</v>
      </c>
    </row>
    <row r="3" spans="1:15" x14ac:dyDescent="0.3">
      <c r="A3" s="2">
        <v>45199</v>
      </c>
      <c r="B3" s="2">
        <v>45203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>
        <v>9</v>
      </c>
      <c r="K3" s="1">
        <v>2525.23</v>
      </c>
      <c r="L3" s="1">
        <v>5</v>
      </c>
    </row>
    <row r="4" spans="1:15" x14ac:dyDescent="0.3">
      <c r="A4" s="2">
        <v>45109</v>
      </c>
      <c r="B4" s="2">
        <v>45114</v>
      </c>
      <c r="C4" s="1" t="s">
        <v>14</v>
      </c>
      <c r="D4" s="1" t="s">
        <v>28</v>
      </c>
      <c r="E4" s="1" t="s">
        <v>29</v>
      </c>
      <c r="F4" s="1" t="s">
        <v>24</v>
      </c>
      <c r="G4" s="1" t="s">
        <v>30</v>
      </c>
      <c r="H4" s="1" t="s">
        <v>31</v>
      </c>
      <c r="I4" s="1" t="s">
        <v>32</v>
      </c>
      <c r="J4" s="1">
        <v>6</v>
      </c>
      <c r="K4" s="1">
        <v>3474.34</v>
      </c>
      <c r="L4" s="1">
        <v>15</v>
      </c>
    </row>
    <row r="5" spans="1:15" x14ac:dyDescent="0.3">
      <c r="A5" s="2">
        <v>45079</v>
      </c>
      <c r="B5" s="2">
        <v>45087</v>
      </c>
      <c r="C5" s="1" t="s">
        <v>33</v>
      </c>
      <c r="D5" s="1" t="s">
        <v>28</v>
      </c>
      <c r="E5" s="1" t="s">
        <v>23</v>
      </c>
      <c r="F5" s="1" t="s">
        <v>34</v>
      </c>
      <c r="G5" s="1" t="s">
        <v>25</v>
      </c>
      <c r="H5" s="1" t="s">
        <v>35</v>
      </c>
      <c r="I5" s="1" t="s">
        <v>20</v>
      </c>
      <c r="J5" s="1">
        <v>1</v>
      </c>
      <c r="K5" s="1">
        <v>1008.79</v>
      </c>
      <c r="L5" s="1">
        <v>15</v>
      </c>
      <c r="N5" t="s">
        <v>4</v>
      </c>
      <c r="O5" s="1" t="s">
        <v>22</v>
      </c>
    </row>
    <row r="6" spans="1:15" x14ac:dyDescent="0.3">
      <c r="A6" s="2">
        <v>45241</v>
      </c>
      <c r="B6" s="2">
        <v>45244</v>
      </c>
      <c r="C6" s="1" t="s">
        <v>36</v>
      </c>
      <c r="D6" s="1" t="s">
        <v>37</v>
      </c>
      <c r="E6" s="1" t="s">
        <v>29</v>
      </c>
      <c r="F6" s="1" t="s">
        <v>17</v>
      </c>
      <c r="G6" s="1" t="s">
        <v>30</v>
      </c>
      <c r="H6" s="1" t="s">
        <v>38</v>
      </c>
      <c r="I6" s="1" t="s">
        <v>20</v>
      </c>
      <c r="J6" s="1">
        <v>7</v>
      </c>
      <c r="K6" s="1">
        <v>3511.47</v>
      </c>
      <c r="L6" s="1">
        <v>20</v>
      </c>
    </row>
    <row r="7" spans="1:15" x14ac:dyDescent="0.3">
      <c r="A7" s="2">
        <v>45260</v>
      </c>
      <c r="B7" s="2">
        <v>45263</v>
      </c>
      <c r="C7" s="1" t="s">
        <v>39</v>
      </c>
      <c r="D7" s="1" t="s">
        <v>40</v>
      </c>
      <c r="E7" s="1" t="s">
        <v>23</v>
      </c>
      <c r="F7" s="1" t="s">
        <v>41</v>
      </c>
      <c r="G7" s="1" t="s">
        <v>18</v>
      </c>
      <c r="H7" s="1" t="s">
        <v>42</v>
      </c>
      <c r="I7" s="1" t="s">
        <v>32</v>
      </c>
      <c r="J7" s="1">
        <v>3</v>
      </c>
      <c r="K7" s="1">
        <v>3189.55</v>
      </c>
      <c r="L7" s="1">
        <v>10</v>
      </c>
    </row>
    <row r="8" spans="1:15" x14ac:dyDescent="0.3">
      <c r="A8" s="2">
        <v>45050</v>
      </c>
      <c r="B8" s="2">
        <v>45054</v>
      </c>
      <c r="C8" s="1" t="s">
        <v>33</v>
      </c>
      <c r="D8" s="1" t="s">
        <v>40</v>
      </c>
      <c r="E8" s="1" t="s">
        <v>16</v>
      </c>
      <c r="F8" s="1" t="s">
        <v>43</v>
      </c>
      <c r="G8" s="1" t="s">
        <v>30</v>
      </c>
      <c r="H8" s="1" t="s">
        <v>31</v>
      </c>
      <c r="I8" s="1" t="s">
        <v>44</v>
      </c>
      <c r="J8" s="1">
        <v>5</v>
      </c>
      <c r="K8" s="1">
        <v>3030.42</v>
      </c>
      <c r="L8" s="1">
        <v>10</v>
      </c>
    </row>
    <row r="9" spans="1:15" x14ac:dyDescent="0.3">
      <c r="A9" s="2">
        <v>45040</v>
      </c>
      <c r="B9" s="2">
        <v>45041</v>
      </c>
      <c r="C9" s="1" t="s">
        <v>45</v>
      </c>
      <c r="D9" s="1" t="s">
        <v>15</v>
      </c>
      <c r="E9" s="1" t="s">
        <v>23</v>
      </c>
      <c r="F9" s="1" t="s">
        <v>17</v>
      </c>
      <c r="G9" s="1" t="s">
        <v>30</v>
      </c>
      <c r="H9" s="1" t="s">
        <v>31</v>
      </c>
      <c r="I9" s="1" t="s">
        <v>46</v>
      </c>
      <c r="J9" s="1">
        <v>4</v>
      </c>
      <c r="K9" s="1">
        <v>2310.83</v>
      </c>
      <c r="L9" s="1">
        <v>10</v>
      </c>
    </row>
    <row r="10" spans="1:15" x14ac:dyDescent="0.3">
      <c r="A10" s="2">
        <v>45204</v>
      </c>
      <c r="B10" s="2">
        <v>45213</v>
      </c>
      <c r="C10" s="1" t="s">
        <v>14</v>
      </c>
      <c r="D10" s="1" t="s">
        <v>28</v>
      </c>
      <c r="E10" s="1" t="s">
        <v>23</v>
      </c>
      <c r="F10" s="1" t="s">
        <v>24</v>
      </c>
      <c r="G10" s="1" t="s">
        <v>30</v>
      </c>
      <c r="H10" s="1" t="s">
        <v>47</v>
      </c>
      <c r="I10" s="1" t="s">
        <v>27</v>
      </c>
      <c r="J10" s="1">
        <v>5</v>
      </c>
      <c r="K10" s="1">
        <v>1098.04</v>
      </c>
      <c r="L10" s="1">
        <v>15</v>
      </c>
    </row>
    <row r="11" spans="1:15" x14ac:dyDescent="0.3">
      <c r="A11" s="2">
        <v>45139</v>
      </c>
      <c r="B11" s="2">
        <v>45147</v>
      </c>
      <c r="C11" s="1" t="s">
        <v>33</v>
      </c>
      <c r="D11" s="1" t="s">
        <v>37</v>
      </c>
      <c r="E11" s="1" t="s">
        <v>23</v>
      </c>
      <c r="F11" s="1" t="s">
        <v>34</v>
      </c>
      <c r="G11" s="1" t="s">
        <v>48</v>
      </c>
      <c r="H11" s="1" t="s">
        <v>49</v>
      </c>
      <c r="I11" s="1" t="s">
        <v>46</v>
      </c>
      <c r="J11" s="1">
        <v>5</v>
      </c>
      <c r="K11" s="1">
        <v>1780.66</v>
      </c>
      <c r="L11" s="1">
        <v>20</v>
      </c>
    </row>
    <row r="12" spans="1:15" x14ac:dyDescent="0.3">
      <c r="A12" s="2">
        <v>45098</v>
      </c>
      <c r="B12" s="2">
        <v>45106</v>
      </c>
      <c r="C12" s="1" t="s">
        <v>33</v>
      </c>
      <c r="D12" s="1" t="s">
        <v>37</v>
      </c>
      <c r="E12" s="1" t="s">
        <v>16</v>
      </c>
      <c r="F12" s="1" t="s">
        <v>34</v>
      </c>
      <c r="G12" s="1" t="s">
        <v>48</v>
      </c>
      <c r="H12" s="1" t="s">
        <v>49</v>
      </c>
      <c r="I12" s="1" t="s">
        <v>32</v>
      </c>
      <c r="J12" s="1">
        <v>6</v>
      </c>
      <c r="K12" s="1">
        <v>3205.25</v>
      </c>
      <c r="L12" s="1">
        <v>0</v>
      </c>
    </row>
    <row r="13" spans="1:15" x14ac:dyDescent="0.3">
      <c r="A13" s="2">
        <v>45214</v>
      </c>
      <c r="B13" s="2">
        <v>45220</v>
      </c>
      <c r="C13" s="1" t="s">
        <v>45</v>
      </c>
      <c r="D13" s="1" t="s">
        <v>22</v>
      </c>
      <c r="E13" s="1" t="s">
        <v>23</v>
      </c>
      <c r="F13" s="1" t="s">
        <v>43</v>
      </c>
      <c r="G13" s="1" t="s">
        <v>48</v>
      </c>
      <c r="H13" s="1" t="s">
        <v>50</v>
      </c>
      <c r="I13" s="1" t="s">
        <v>20</v>
      </c>
      <c r="J13" s="1">
        <v>6</v>
      </c>
      <c r="K13" s="1">
        <v>272.35000000000002</v>
      </c>
      <c r="L13" s="1">
        <v>5</v>
      </c>
    </row>
    <row r="14" spans="1:15" x14ac:dyDescent="0.3">
      <c r="A14" s="2">
        <v>45100</v>
      </c>
      <c r="B14" s="2">
        <v>45107</v>
      </c>
      <c r="C14" s="1" t="s">
        <v>15</v>
      </c>
      <c r="D14" s="1" t="s">
        <v>22</v>
      </c>
      <c r="E14" s="1" t="s">
        <v>16</v>
      </c>
      <c r="F14" s="1" t="s">
        <v>34</v>
      </c>
      <c r="G14" s="1" t="s">
        <v>18</v>
      </c>
      <c r="H14" s="1" t="s">
        <v>42</v>
      </c>
      <c r="I14" s="1" t="s">
        <v>20</v>
      </c>
      <c r="J14" s="1">
        <v>8</v>
      </c>
      <c r="K14" s="1">
        <v>3160.9</v>
      </c>
      <c r="L14" s="1">
        <v>0</v>
      </c>
    </row>
    <row r="15" spans="1:15" x14ac:dyDescent="0.3">
      <c r="A15" s="2">
        <v>45039</v>
      </c>
      <c r="B15" s="2">
        <v>45045</v>
      </c>
      <c r="C15" s="1" t="s">
        <v>36</v>
      </c>
      <c r="D15" s="1" t="s">
        <v>37</v>
      </c>
      <c r="E15" s="1" t="s">
        <v>29</v>
      </c>
      <c r="F15" s="1" t="s">
        <v>34</v>
      </c>
      <c r="G15" s="1" t="s">
        <v>25</v>
      </c>
      <c r="H15" s="1" t="s">
        <v>35</v>
      </c>
      <c r="I15" s="1" t="s">
        <v>27</v>
      </c>
      <c r="J15" s="1">
        <v>8</v>
      </c>
      <c r="K15" s="1">
        <v>1074.27</v>
      </c>
      <c r="L15" s="1">
        <v>15</v>
      </c>
    </row>
    <row r="16" spans="1:15" x14ac:dyDescent="0.3">
      <c r="A16" s="2">
        <v>45048</v>
      </c>
      <c r="B16" s="2">
        <v>45057</v>
      </c>
      <c r="C16" s="1" t="s">
        <v>39</v>
      </c>
      <c r="D16" s="1" t="s">
        <v>22</v>
      </c>
      <c r="E16" s="1" t="s">
        <v>23</v>
      </c>
      <c r="F16" s="1" t="s">
        <v>17</v>
      </c>
      <c r="G16" s="1" t="s">
        <v>51</v>
      </c>
      <c r="H16" s="1" t="s">
        <v>52</v>
      </c>
      <c r="I16" s="1" t="s">
        <v>20</v>
      </c>
      <c r="J16" s="1">
        <v>9</v>
      </c>
      <c r="K16" s="1">
        <v>705.59</v>
      </c>
      <c r="L16" s="1">
        <v>10</v>
      </c>
    </row>
    <row r="17" spans="1:12" x14ac:dyDescent="0.3">
      <c r="A17" s="2">
        <v>44958</v>
      </c>
      <c r="B17" s="2">
        <v>44961</v>
      </c>
      <c r="C17" s="1" t="s">
        <v>21</v>
      </c>
      <c r="D17" s="1" t="s">
        <v>28</v>
      </c>
      <c r="E17" s="1" t="s">
        <v>16</v>
      </c>
      <c r="F17" s="1" t="s">
        <v>41</v>
      </c>
      <c r="G17" s="1" t="s">
        <v>30</v>
      </c>
      <c r="H17" s="1" t="s">
        <v>38</v>
      </c>
      <c r="I17" s="1" t="s">
        <v>20</v>
      </c>
      <c r="J17" s="1">
        <v>8</v>
      </c>
      <c r="K17" s="1">
        <v>595.45000000000005</v>
      </c>
      <c r="L17" s="1">
        <v>5</v>
      </c>
    </row>
    <row r="18" spans="1:12" x14ac:dyDescent="0.3">
      <c r="A18" s="2">
        <v>45148</v>
      </c>
      <c r="B18" s="2">
        <v>45151</v>
      </c>
      <c r="C18" s="1" t="s">
        <v>15</v>
      </c>
      <c r="D18" s="1" t="s">
        <v>53</v>
      </c>
      <c r="E18" s="1" t="s">
        <v>16</v>
      </c>
      <c r="F18" s="1" t="s">
        <v>43</v>
      </c>
      <c r="G18" s="1" t="s">
        <v>30</v>
      </c>
      <c r="H18" s="1" t="s">
        <v>38</v>
      </c>
      <c r="I18" s="1" t="s">
        <v>27</v>
      </c>
      <c r="J18" s="1">
        <v>2</v>
      </c>
      <c r="K18" s="1">
        <v>254.91</v>
      </c>
      <c r="L18" s="1">
        <v>15</v>
      </c>
    </row>
    <row r="19" spans="1:12" x14ac:dyDescent="0.3">
      <c r="A19" s="2">
        <v>45045</v>
      </c>
      <c r="B19" s="2">
        <v>45048</v>
      </c>
      <c r="C19" s="1" t="s">
        <v>14</v>
      </c>
      <c r="D19" s="1" t="s">
        <v>28</v>
      </c>
      <c r="E19" s="1" t="s">
        <v>23</v>
      </c>
      <c r="F19" s="1" t="s">
        <v>17</v>
      </c>
      <c r="G19" s="1" t="s">
        <v>18</v>
      </c>
      <c r="H19" s="1" t="s">
        <v>54</v>
      </c>
      <c r="I19" s="1" t="s">
        <v>27</v>
      </c>
      <c r="J19" s="1">
        <v>1</v>
      </c>
      <c r="K19" s="1">
        <v>2165.81</v>
      </c>
      <c r="L19" s="1">
        <v>15</v>
      </c>
    </row>
    <row r="20" spans="1:12" x14ac:dyDescent="0.3">
      <c r="A20" s="2">
        <v>44965</v>
      </c>
      <c r="B20" s="2">
        <v>44968</v>
      </c>
      <c r="C20" s="1" t="s">
        <v>33</v>
      </c>
      <c r="D20" s="1" t="s">
        <v>37</v>
      </c>
      <c r="E20" s="1" t="s">
        <v>29</v>
      </c>
      <c r="F20" s="1" t="s">
        <v>41</v>
      </c>
      <c r="G20" s="1" t="s">
        <v>30</v>
      </c>
      <c r="H20" s="1" t="s">
        <v>38</v>
      </c>
      <c r="I20" s="1" t="s">
        <v>32</v>
      </c>
      <c r="J20" s="1">
        <v>2</v>
      </c>
      <c r="K20" s="1">
        <v>990.3</v>
      </c>
      <c r="L20" s="1">
        <v>15</v>
      </c>
    </row>
    <row r="21" spans="1:12" x14ac:dyDescent="0.3">
      <c r="A21" s="2">
        <v>45194</v>
      </c>
      <c r="B21" s="2">
        <v>45203</v>
      </c>
      <c r="C21" s="1" t="s">
        <v>45</v>
      </c>
      <c r="D21" s="1" t="s">
        <v>37</v>
      </c>
      <c r="E21" s="1" t="s">
        <v>16</v>
      </c>
      <c r="F21" s="1" t="s">
        <v>17</v>
      </c>
      <c r="G21" s="1" t="s">
        <v>48</v>
      </c>
      <c r="H21" s="1" t="s">
        <v>50</v>
      </c>
      <c r="I21" s="1" t="s">
        <v>20</v>
      </c>
      <c r="J21" s="1">
        <v>2</v>
      </c>
      <c r="K21" s="1">
        <v>3959.31</v>
      </c>
      <c r="L21" s="1">
        <v>5</v>
      </c>
    </row>
    <row r="22" spans="1:12" x14ac:dyDescent="0.3">
      <c r="A22" s="2">
        <v>45159</v>
      </c>
      <c r="B22" s="2">
        <v>45163</v>
      </c>
      <c r="C22" s="1" t="s">
        <v>45</v>
      </c>
      <c r="D22" s="1" t="s">
        <v>28</v>
      </c>
      <c r="E22" s="1" t="s">
        <v>23</v>
      </c>
      <c r="F22" s="1" t="s">
        <v>17</v>
      </c>
      <c r="G22" s="1" t="s">
        <v>51</v>
      </c>
      <c r="H22" s="1" t="s">
        <v>55</v>
      </c>
      <c r="I22" s="1" t="s">
        <v>20</v>
      </c>
      <c r="J22" s="1">
        <v>3</v>
      </c>
      <c r="K22" s="1">
        <v>2361.58</v>
      </c>
      <c r="L22" s="1">
        <v>5</v>
      </c>
    </row>
    <row r="23" spans="1:12" x14ac:dyDescent="0.3">
      <c r="A23" s="2">
        <v>44944</v>
      </c>
      <c r="B23" s="2">
        <v>44951</v>
      </c>
      <c r="C23" s="1" t="s">
        <v>36</v>
      </c>
      <c r="D23" s="1" t="s">
        <v>22</v>
      </c>
      <c r="E23" s="1" t="s">
        <v>29</v>
      </c>
      <c r="F23" s="1" t="s">
        <v>34</v>
      </c>
      <c r="G23" s="1" t="s">
        <v>56</v>
      </c>
      <c r="H23" s="1" t="s">
        <v>57</v>
      </c>
      <c r="I23" s="1" t="s">
        <v>32</v>
      </c>
      <c r="J23" s="1">
        <v>7</v>
      </c>
      <c r="K23" s="1">
        <v>680.86</v>
      </c>
      <c r="L23" s="1">
        <v>20</v>
      </c>
    </row>
    <row r="24" spans="1:12" x14ac:dyDescent="0.3">
      <c r="A24" s="2">
        <v>45075</v>
      </c>
      <c r="B24" s="2">
        <v>45084</v>
      </c>
      <c r="C24" s="1" t="s">
        <v>15</v>
      </c>
      <c r="D24" s="1" t="s">
        <v>22</v>
      </c>
      <c r="E24" s="1" t="s">
        <v>16</v>
      </c>
      <c r="F24" s="1" t="s">
        <v>41</v>
      </c>
      <c r="G24" s="1" t="s">
        <v>30</v>
      </c>
      <c r="H24" s="1" t="s">
        <v>31</v>
      </c>
      <c r="I24" s="1" t="s">
        <v>44</v>
      </c>
      <c r="J24" s="1">
        <v>2</v>
      </c>
      <c r="K24" s="1">
        <v>2801.74</v>
      </c>
      <c r="L24" s="1">
        <v>20</v>
      </c>
    </row>
    <row r="25" spans="1:12" x14ac:dyDescent="0.3">
      <c r="A25" s="2">
        <v>45075</v>
      </c>
      <c r="B25" s="2">
        <v>45082</v>
      </c>
      <c r="C25" s="1" t="s">
        <v>21</v>
      </c>
      <c r="D25" s="1" t="s">
        <v>40</v>
      </c>
      <c r="E25" s="1" t="s">
        <v>16</v>
      </c>
      <c r="F25" s="1" t="s">
        <v>43</v>
      </c>
      <c r="G25" s="1" t="s">
        <v>48</v>
      </c>
      <c r="H25" s="1" t="s">
        <v>50</v>
      </c>
      <c r="I25" s="1" t="s">
        <v>44</v>
      </c>
      <c r="J25" s="1">
        <v>1</v>
      </c>
      <c r="K25" s="1">
        <v>3606.31</v>
      </c>
      <c r="L25" s="1">
        <v>0</v>
      </c>
    </row>
    <row r="26" spans="1:12" x14ac:dyDescent="0.3">
      <c r="A26" s="2">
        <v>45052</v>
      </c>
      <c r="B26" s="2">
        <v>45061</v>
      </c>
      <c r="C26" s="1" t="s">
        <v>36</v>
      </c>
      <c r="D26" s="1" t="s">
        <v>37</v>
      </c>
      <c r="E26" s="1" t="s">
        <v>29</v>
      </c>
      <c r="F26" s="1" t="s">
        <v>43</v>
      </c>
      <c r="G26" s="1" t="s">
        <v>56</v>
      </c>
      <c r="H26" s="1" t="s">
        <v>58</v>
      </c>
      <c r="I26" s="1" t="s">
        <v>44</v>
      </c>
      <c r="J26" s="1">
        <v>6</v>
      </c>
      <c r="K26" s="1">
        <v>3018.94</v>
      </c>
      <c r="L26" s="1">
        <v>5</v>
      </c>
    </row>
    <row r="27" spans="1:12" x14ac:dyDescent="0.3">
      <c r="A27" s="2">
        <v>45228</v>
      </c>
      <c r="B27" s="2">
        <v>45231</v>
      </c>
      <c r="C27" s="1" t="s">
        <v>33</v>
      </c>
      <c r="D27" s="1" t="s">
        <v>15</v>
      </c>
      <c r="E27" s="1" t="s">
        <v>29</v>
      </c>
      <c r="F27" s="1" t="s">
        <v>41</v>
      </c>
      <c r="G27" s="1" t="s">
        <v>51</v>
      </c>
      <c r="H27" s="1" t="s">
        <v>59</v>
      </c>
      <c r="I27" s="1" t="s">
        <v>32</v>
      </c>
      <c r="J27" s="1">
        <v>9</v>
      </c>
      <c r="K27" s="1">
        <v>444.29</v>
      </c>
      <c r="L27" s="1">
        <v>5</v>
      </c>
    </row>
    <row r="28" spans="1:12" x14ac:dyDescent="0.3">
      <c r="A28" s="2">
        <v>45286</v>
      </c>
      <c r="B28" s="2">
        <v>45290</v>
      </c>
      <c r="C28" s="1" t="s">
        <v>36</v>
      </c>
      <c r="D28" s="1" t="s">
        <v>40</v>
      </c>
      <c r="E28" s="1" t="s">
        <v>23</v>
      </c>
      <c r="F28" s="1" t="s">
        <v>34</v>
      </c>
      <c r="G28" s="1" t="s">
        <v>56</v>
      </c>
      <c r="H28" s="1" t="s">
        <v>57</v>
      </c>
      <c r="I28" s="1" t="s">
        <v>20</v>
      </c>
      <c r="J28" s="1">
        <v>3</v>
      </c>
      <c r="K28" s="1">
        <v>3599.15</v>
      </c>
      <c r="L28" s="1">
        <v>5</v>
      </c>
    </row>
    <row r="29" spans="1:12" x14ac:dyDescent="0.3">
      <c r="A29" s="2">
        <v>45164</v>
      </c>
      <c r="B29" s="2">
        <v>45172</v>
      </c>
      <c r="C29" s="1" t="s">
        <v>39</v>
      </c>
      <c r="D29" s="1" t="s">
        <v>22</v>
      </c>
      <c r="E29" s="1" t="s">
        <v>23</v>
      </c>
      <c r="F29" s="1" t="s">
        <v>24</v>
      </c>
      <c r="G29" s="1" t="s">
        <v>48</v>
      </c>
      <c r="H29" s="1" t="s">
        <v>50</v>
      </c>
      <c r="I29" s="1" t="s">
        <v>32</v>
      </c>
      <c r="J29" s="1">
        <v>6</v>
      </c>
      <c r="K29" s="1">
        <v>3206.63</v>
      </c>
      <c r="L29" s="1">
        <v>20</v>
      </c>
    </row>
    <row r="30" spans="1:12" x14ac:dyDescent="0.3">
      <c r="A30" s="2">
        <v>45061</v>
      </c>
      <c r="B30" s="2">
        <v>45067</v>
      </c>
      <c r="C30" s="1" t="s">
        <v>45</v>
      </c>
      <c r="D30" s="1" t="s">
        <v>28</v>
      </c>
      <c r="E30" s="1" t="s">
        <v>16</v>
      </c>
      <c r="F30" s="1" t="s">
        <v>17</v>
      </c>
      <c r="G30" s="1" t="s">
        <v>25</v>
      </c>
      <c r="H30" s="1" t="s">
        <v>26</v>
      </c>
      <c r="I30" s="1" t="s">
        <v>32</v>
      </c>
      <c r="J30" s="1">
        <v>3</v>
      </c>
      <c r="K30" s="1">
        <v>759.47</v>
      </c>
      <c r="L30" s="1">
        <v>15</v>
      </c>
    </row>
    <row r="31" spans="1:12" x14ac:dyDescent="0.3">
      <c r="A31" s="2">
        <v>45077</v>
      </c>
      <c r="B31" s="2">
        <v>45082</v>
      </c>
      <c r="C31" s="1" t="s">
        <v>45</v>
      </c>
      <c r="D31" s="1" t="s">
        <v>22</v>
      </c>
      <c r="E31" s="1" t="s">
        <v>29</v>
      </c>
      <c r="F31" s="1" t="s">
        <v>34</v>
      </c>
      <c r="G31" s="1" t="s">
        <v>25</v>
      </c>
      <c r="H31" s="1" t="s">
        <v>60</v>
      </c>
      <c r="I31" s="1" t="s">
        <v>44</v>
      </c>
      <c r="J31" s="1">
        <v>1</v>
      </c>
      <c r="K31" s="1">
        <v>349.38</v>
      </c>
      <c r="L31" s="1">
        <v>10</v>
      </c>
    </row>
    <row r="32" spans="1:12" x14ac:dyDescent="0.3">
      <c r="A32" s="2">
        <v>45162</v>
      </c>
      <c r="B32" s="2">
        <v>45166</v>
      </c>
      <c r="C32" s="1" t="s">
        <v>14</v>
      </c>
      <c r="D32" s="1" t="s">
        <v>28</v>
      </c>
      <c r="E32" s="1" t="s">
        <v>29</v>
      </c>
      <c r="F32" s="1" t="s">
        <v>41</v>
      </c>
      <c r="G32" s="1" t="s">
        <v>56</v>
      </c>
      <c r="H32" s="1" t="s">
        <v>61</v>
      </c>
      <c r="I32" s="1" t="s">
        <v>46</v>
      </c>
      <c r="J32" s="1">
        <v>5</v>
      </c>
      <c r="K32" s="1">
        <v>2295.65</v>
      </c>
      <c r="L32" s="1">
        <v>20</v>
      </c>
    </row>
    <row r="33" spans="1:12" x14ac:dyDescent="0.3">
      <c r="A33" s="2">
        <v>45150</v>
      </c>
      <c r="B33" s="2">
        <v>45158</v>
      </c>
      <c r="C33" s="1" t="s">
        <v>14</v>
      </c>
      <c r="D33" s="1" t="s">
        <v>40</v>
      </c>
      <c r="E33" s="1" t="s">
        <v>29</v>
      </c>
      <c r="F33" s="1" t="s">
        <v>17</v>
      </c>
      <c r="G33" s="1" t="s">
        <v>18</v>
      </c>
      <c r="H33" s="1" t="s">
        <v>42</v>
      </c>
      <c r="I33" s="1" t="s">
        <v>20</v>
      </c>
      <c r="J33" s="1">
        <v>4</v>
      </c>
      <c r="K33" s="1">
        <v>750.74</v>
      </c>
      <c r="L33" s="1">
        <v>5</v>
      </c>
    </row>
    <row r="34" spans="1:12" x14ac:dyDescent="0.3">
      <c r="A34" s="2">
        <v>45129</v>
      </c>
      <c r="B34" s="2">
        <v>45130</v>
      </c>
      <c r="C34" s="1" t="s">
        <v>21</v>
      </c>
      <c r="D34" s="1" t="s">
        <v>37</v>
      </c>
      <c r="E34" s="1" t="s">
        <v>16</v>
      </c>
      <c r="F34" s="1" t="s">
        <v>43</v>
      </c>
      <c r="G34" s="1" t="s">
        <v>56</v>
      </c>
      <c r="H34" s="1" t="s">
        <v>58</v>
      </c>
      <c r="I34" s="1" t="s">
        <v>44</v>
      </c>
      <c r="J34" s="1">
        <v>7</v>
      </c>
      <c r="K34" s="1">
        <v>3363.18</v>
      </c>
      <c r="L34" s="1">
        <v>20</v>
      </c>
    </row>
    <row r="35" spans="1:12" x14ac:dyDescent="0.3">
      <c r="A35" s="2">
        <v>45182</v>
      </c>
      <c r="B35" s="2">
        <v>45191</v>
      </c>
      <c r="C35" s="1" t="s">
        <v>33</v>
      </c>
      <c r="D35" s="1" t="s">
        <v>22</v>
      </c>
      <c r="E35" s="1" t="s">
        <v>29</v>
      </c>
      <c r="F35" s="1" t="s">
        <v>24</v>
      </c>
      <c r="G35" s="1" t="s">
        <v>30</v>
      </c>
      <c r="H35" s="1" t="s">
        <v>47</v>
      </c>
      <c r="I35" s="1" t="s">
        <v>46</v>
      </c>
      <c r="J35" s="1">
        <v>6</v>
      </c>
      <c r="K35" s="1">
        <v>1529.59</v>
      </c>
      <c r="L35" s="1">
        <v>0</v>
      </c>
    </row>
    <row r="36" spans="1:12" x14ac:dyDescent="0.3">
      <c r="A36" s="2">
        <v>45012</v>
      </c>
      <c r="B36" s="2">
        <v>45013</v>
      </c>
      <c r="C36" s="1" t="s">
        <v>39</v>
      </c>
      <c r="D36" s="1" t="s">
        <v>28</v>
      </c>
      <c r="E36" s="1" t="s">
        <v>29</v>
      </c>
      <c r="F36" s="1" t="s">
        <v>43</v>
      </c>
      <c r="G36" s="1" t="s">
        <v>30</v>
      </c>
      <c r="H36" s="1" t="s">
        <v>47</v>
      </c>
      <c r="I36" s="1" t="s">
        <v>46</v>
      </c>
      <c r="J36" s="1">
        <v>7</v>
      </c>
      <c r="K36" s="1">
        <v>3664.64</v>
      </c>
      <c r="L36" s="1">
        <v>5</v>
      </c>
    </row>
    <row r="37" spans="1:12" x14ac:dyDescent="0.3">
      <c r="A37" s="2">
        <v>45076</v>
      </c>
      <c r="B37" s="2">
        <v>45084</v>
      </c>
      <c r="C37" s="1" t="s">
        <v>15</v>
      </c>
      <c r="D37" s="1" t="s">
        <v>37</v>
      </c>
      <c r="E37" s="1" t="s">
        <v>16</v>
      </c>
      <c r="F37" s="1" t="s">
        <v>41</v>
      </c>
      <c r="G37" s="1" t="s">
        <v>25</v>
      </c>
      <c r="H37" s="1" t="s">
        <v>26</v>
      </c>
      <c r="I37" s="1" t="s">
        <v>27</v>
      </c>
      <c r="J37" s="1">
        <v>5</v>
      </c>
      <c r="K37" s="1">
        <v>2327.9</v>
      </c>
      <c r="L37" s="1">
        <v>0</v>
      </c>
    </row>
    <row r="38" spans="1:12" x14ac:dyDescent="0.3">
      <c r="A38" s="2">
        <v>45161</v>
      </c>
      <c r="B38" s="2">
        <v>45165</v>
      </c>
      <c r="C38" s="1" t="s">
        <v>36</v>
      </c>
      <c r="D38" s="1" t="s">
        <v>15</v>
      </c>
      <c r="E38" s="1" t="s">
        <v>23</v>
      </c>
      <c r="F38" s="1" t="s">
        <v>17</v>
      </c>
      <c r="G38" s="1" t="s">
        <v>18</v>
      </c>
      <c r="H38" s="1" t="s">
        <v>54</v>
      </c>
      <c r="I38" s="1" t="s">
        <v>20</v>
      </c>
      <c r="J38" s="1">
        <v>4</v>
      </c>
      <c r="K38" s="1">
        <v>853.29</v>
      </c>
      <c r="L38" s="1">
        <v>5</v>
      </c>
    </row>
    <row r="39" spans="1:12" x14ac:dyDescent="0.3">
      <c r="A39" s="2">
        <v>45271</v>
      </c>
      <c r="B39" s="2">
        <v>45280</v>
      </c>
      <c r="C39" s="1" t="s">
        <v>21</v>
      </c>
      <c r="D39" s="1" t="s">
        <v>28</v>
      </c>
      <c r="E39" s="1" t="s">
        <v>23</v>
      </c>
      <c r="F39" s="1" t="s">
        <v>41</v>
      </c>
      <c r="G39" s="1" t="s">
        <v>48</v>
      </c>
      <c r="H39" s="1" t="s">
        <v>62</v>
      </c>
      <c r="I39" s="1" t="s">
        <v>46</v>
      </c>
      <c r="J39" s="1">
        <v>7</v>
      </c>
      <c r="K39" s="1">
        <v>687.46</v>
      </c>
      <c r="L39" s="1">
        <v>20</v>
      </c>
    </row>
    <row r="40" spans="1:12" x14ac:dyDescent="0.3">
      <c r="A40" s="2">
        <v>44948</v>
      </c>
      <c r="B40" s="2">
        <v>44953</v>
      </c>
      <c r="C40" s="1" t="s">
        <v>33</v>
      </c>
      <c r="D40" s="1" t="s">
        <v>40</v>
      </c>
      <c r="E40" s="1" t="s">
        <v>16</v>
      </c>
      <c r="F40" s="1" t="s">
        <v>17</v>
      </c>
      <c r="G40" s="1" t="s">
        <v>30</v>
      </c>
      <c r="H40" s="1" t="s">
        <v>47</v>
      </c>
      <c r="I40" s="1" t="s">
        <v>44</v>
      </c>
      <c r="J40" s="1">
        <v>7</v>
      </c>
      <c r="K40" s="1">
        <v>2369.42</v>
      </c>
      <c r="L40" s="1">
        <v>15</v>
      </c>
    </row>
    <row r="41" spans="1:12" x14ac:dyDescent="0.3">
      <c r="A41" s="2">
        <v>45274</v>
      </c>
      <c r="B41" s="2">
        <v>45277</v>
      </c>
      <c r="C41" s="1" t="s">
        <v>14</v>
      </c>
      <c r="D41" s="1" t="s">
        <v>15</v>
      </c>
      <c r="E41" s="1" t="s">
        <v>29</v>
      </c>
      <c r="F41" s="1" t="s">
        <v>34</v>
      </c>
      <c r="G41" s="1" t="s">
        <v>25</v>
      </c>
      <c r="H41" s="1" t="s">
        <v>26</v>
      </c>
      <c r="I41" s="1" t="s">
        <v>27</v>
      </c>
      <c r="J41" s="1">
        <v>6</v>
      </c>
      <c r="K41" s="1">
        <v>3083.25</v>
      </c>
      <c r="L41" s="1">
        <v>10</v>
      </c>
    </row>
    <row r="42" spans="1:12" x14ac:dyDescent="0.3">
      <c r="A42" s="2">
        <v>45211</v>
      </c>
      <c r="B42" s="2">
        <v>45220</v>
      </c>
      <c r="C42" s="1" t="s">
        <v>36</v>
      </c>
      <c r="D42" s="1" t="s">
        <v>15</v>
      </c>
      <c r="E42" s="1" t="s">
        <v>16</v>
      </c>
      <c r="F42" s="1" t="s">
        <v>24</v>
      </c>
      <c r="G42" s="1" t="s">
        <v>51</v>
      </c>
      <c r="H42" s="1" t="s">
        <v>63</v>
      </c>
      <c r="I42" s="1" t="s">
        <v>20</v>
      </c>
      <c r="J42" s="1">
        <v>8</v>
      </c>
      <c r="K42" s="1">
        <v>3158.8</v>
      </c>
      <c r="L42" s="1">
        <v>0</v>
      </c>
    </row>
    <row r="43" spans="1:12" x14ac:dyDescent="0.3">
      <c r="A43" s="2">
        <v>45195</v>
      </c>
      <c r="B43" s="2">
        <v>45204</v>
      </c>
      <c r="C43" s="1" t="s">
        <v>14</v>
      </c>
      <c r="D43" s="1" t="s">
        <v>53</v>
      </c>
      <c r="E43" s="1" t="s">
        <v>23</v>
      </c>
      <c r="F43" s="1" t="s">
        <v>34</v>
      </c>
      <c r="G43" s="1" t="s">
        <v>25</v>
      </c>
      <c r="H43" s="1" t="s">
        <v>26</v>
      </c>
      <c r="I43" s="1" t="s">
        <v>32</v>
      </c>
      <c r="J43" s="1">
        <v>4</v>
      </c>
      <c r="K43" s="1">
        <v>1211.67</v>
      </c>
      <c r="L43" s="1">
        <v>20</v>
      </c>
    </row>
    <row r="44" spans="1:12" x14ac:dyDescent="0.3">
      <c r="A44" s="2">
        <v>45184</v>
      </c>
      <c r="B44" s="2">
        <v>45188</v>
      </c>
      <c r="C44" s="1" t="s">
        <v>36</v>
      </c>
      <c r="D44" s="1" t="s">
        <v>22</v>
      </c>
      <c r="E44" s="1" t="s">
        <v>23</v>
      </c>
      <c r="F44" s="1" t="s">
        <v>34</v>
      </c>
      <c r="G44" s="1" t="s">
        <v>30</v>
      </c>
      <c r="H44" s="1" t="s">
        <v>47</v>
      </c>
      <c r="I44" s="1" t="s">
        <v>44</v>
      </c>
      <c r="J44" s="1">
        <v>5</v>
      </c>
      <c r="K44" s="1">
        <v>936.35</v>
      </c>
      <c r="L44" s="1">
        <v>15</v>
      </c>
    </row>
    <row r="45" spans="1:12" x14ac:dyDescent="0.3">
      <c r="A45" s="2">
        <v>44955</v>
      </c>
      <c r="B45" s="2">
        <v>44959</v>
      </c>
      <c r="C45" s="1" t="s">
        <v>15</v>
      </c>
      <c r="D45" s="1" t="s">
        <v>28</v>
      </c>
      <c r="E45" s="1" t="s">
        <v>16</v>
      </c>
      <c r="F45" s="1" t="s">
        <v>41</v>
      </c>
      <c r="G45" s="1" t="s">
        <v>30</v>
      </c>
      <c r="H45" s="1" t="s">
        <v>47</v>
      </c>
      <c r="I45" s="1" t="s">
        <v>46</v>
      </c>
      <c r="J45" s="1">
        <v>4</v>
      </c>
      <c r="K45" s="1">
        <v>214.51</v>
      </c>
      <c r="L45" s="1">
        <v>20</v>
      </c>
    </row>
    <row r="46" spans="1:12" x14ac:dyDescent="0.3">
      <c r="A46" s="2">
        <v>45139</v>
      </c>
      <c r="B46" s="2">
        <v>45147</v>
      </c>
      <c r="C46" s="1" t="s">
        <v>33</v>
      </c>
      <c r="D46" s="1" t="s">
        <v>15</v>
      </c>
      <c r="E46" s="1" t="s">
        <v>16</v>
      </c>
      <c r="F46" s="1" t="s">
        <v>24</v>
      </c>
      <c r="G46" s="1" t="s">
        <v>25</v>
      </c>
      <c r="H46" s="1" t="s">
        <v>60</v>
      </c>
      <c r="I46" s="1" t="s">
        <v>46</v>
      </c>
      <c r="J46" s="1">
        <v>1</v>
      </c>
      <c r="K46" s="1">
        <v>2764.92</v>
      </c>
      <c r="L46" s="1">
        <v>0</v>
      </c>
    </row>
    <row r="47" spans="1:12" x14ac:dyDescent="0.3">
      <c r="A47" s="2">
        <v>45209</v>
      </c>
      <c r="B47" s="2">
        <v>45211</v>
      </c>
      <c r="C47" s="1" t="s">
        <v>36</v>
      </c>
      <c r="D47" s="1" t="s">
        <v>53</v>
      </c>
      <c r="E47" s="1" t="s">
        <v>23</v>
      </c>
      <c r="F47" s="1" t="s">
        <v>17</v>
      </c>
      <c r="G47" s="1" t="s">
        <v>48</v>
      </c>
      <c r="H47" s="1" t="s">
        <v>50</v>
      </c>
      <c r="I47" s="1" t="s">
        <v>44</v>
      </c>
      <c r="J47" s="1">
        <v>8</v>
      </c>
      <c r="K47" s="1">
        <v>444.79</v>
      </c>
      <c r="L47" s="1">
        <v>10</v>
      </c>
    </row>
    <row r="48" spans="1:12" x14ac:dyDescent="0.3">
      <c r="A48" s="2">
        <v>44976</v>
      </c>
      <c r="B48" s="2">
        <v>44985</v>
      </c>
      <c r="C48" s="1" t="s">
        <v>39</v>
      </c>
      <c r="D48" s="1" t="s">
        <v>40</v>
      </c>
      <c r="E48" s="1" t="s">
        <v>16</v>
      </c>
      <c r="F48" s="1" t="s">
        <v>17</v>
      </c>
      <c r="G48" s="1" t="s">
        <v>56</v>
      </c>
      <c r="H48" s="1" t="s">
        <v>61</v>
      </c>
      <c r="I48" s="1" t="s">
        <v>46</v>
      </c>
      <c r="J48" s="1">
        <v>1</v>
      </c>
      <c r="K48" s="1">
        <v>1769.93</v>
      </c>
      <c r="L48" s="1">
        <v>20</v>
      </c>
    </row>
    <row r="49" spans="1:12" x14ac:dyDescent="0.3">
      <c r="A49" s="2">
        <v>45021</v>
      </c>
      <c r="B49" s="2">
        <v>45027</v>
      </c>
      <c r="C49" s="1" t="s">
        <v>21</v>
      </c>
      <c r="D49" s="1" t="s">
        <v>37</v>
      </c>
      <c r="E49" s="1" t="s">
        <v>23</v>
      </c>
      <c r="F49" s="1" t="s">
        <v>43</v>
      </c>
      <c r="G49" s="1" t="s">
        <v>30</v>
      </c>
      <c r="H49" s="1" t="s">
        <v>64</v>
      </c>
      <c r="I49" s="1" t="s">
        <v>27</v>
      </c>
      <c r="J49" s="1">
        <v>5</v>
      </c>
      <c r="K49" s="1">
        <v>2466.48</v>
      </c>
      <c r="L49" s="1">
        <v>5</v>
      </c>
    </row>
    <row r="50" spans="1:12" x14ac:dyDescent="0.3">
      <c r="A50" s="2">
        <v>45014</v>
      </c>
      <c r="B50" s="2">
        <v>45023</v>
      </c>
      <c r="C50" s="1" t="s">
        <v>45</v>
      </c>
      <c r="D50" s="1" t="s">
        <v>28</v>
      </c>
      <c r="E50" s="1" t="s">
        <v>16</v>
      </c>
      <c r="F50" s="1" t="s">
        <v>17</v>
      </c>
      <c r="G50" s="1" t="s">
        <v>25</v>
      </c>
      <c r="H50" s="1" t="s">
        <v>26</v>
      </c>
      <c r="I50" s="1" t="s">
        <v>20</v>
      </c>
      <c r="J50" s="1">
        <v>6</v>
      </c>
      <c r="K50" s="1">
        <v>3757.87</v>
      </c>
      <c r="L50" s="1">
        <v>15</v>
      </c>
    </row>
    <row r="51" spans="1:12" x14ac:dyDescent="0.3">
      <c r="A51" s="2">
        <v>44970</v>
      </c>
      <c r="B51" s="2">
        <v>44978</v>
      </c>
      <c r="C51" s="1" t="s">
        <v>39</v>
      </c>
      <c r="D51" s="1" t="s">
        <v>15</v>
      </c>
      <c r="E51" s="1" t="s">
        <v>16</v>
      </c>
      <c r="F51" s="1" t="s">
        <v>41</v>
      </c>
      <c r="G51" s="1" t="s">
        <v>25</v>
      </c>
      <c r="H51" s="1" t="s">
        <v>60</v>
      </c>
      <c r="I51" s="1" t="s">
        <v>27</v>
      </c>
      <c r="J51" s="1">
        <v>6</v>
      </c>
      <c r="K51" s="1">
        <v>1350.44</v>
      </c>
      <c r="L51" s="1">
        <v>20</v>
      </c>
    </row>
    <row r="52" spans="1:12" x14ac:dyDescent="0.3">
      <c r="A52" s="2">
        <v>45097</v>
      </c>
      <c r="B52" s="2">
        <v>45098</v>
      </c>
      <c r="C52" s="1" t="s">
        <v>21</v>
      </c>
      <c r="D52" s="1" t="s">
        <v>53</v>
      </c>
      <c r="E52" s="1" t="s">
        <v>23</v>
      </c>
      <c r="F52" s="1" t="s">
        <v>34</v>
      </c>
      <c r="G52" s="1" t="s">
        <v>56</v>
      </c>
      <c r="H52" s="1" t="s">
        <v>61</v>
      </c>
      <c r="I52" s="1" t="s">
        <v>32</v>
      </c>
      <c r="J52" s="1">
        <v>3</v>
      </c>
      <c r="K52" s="1">
        <v>2668.52</v>
      </c>
      <c r="L52" s="1">
        <v>5</v>
      </c>
    </row>
    <row r="53" spans="1:12" x14ac:dyDescent="0.3">
      <c r="A53" s="2">
        <v>45115</v>
      </c>
      <c r="B53" s="2">
        <v>45118</v>
      </c>
      <c r="C53" s="1" t="s">
        <v>45</v>
      </c>
      <c r="D53" s="1" t="s">
        <v>15</v>
      </c>
      <c r="E53" s="1" t="s">
        <v>16</v>
      </c>
      <c r="F53" s="1" t="s">
        <v>34</v>
      </c>
      <c r="G53" s="1" t="s">
        <v>51</v>
      </c>
      <c r="H53" s="1" t="s">
        <v>63</v>
      </c>
      <c r="I53" s="1" t="s">
        <v>20</v>
      </c>
      <c r="J53" s="1">
        <v>5</v>
      </c>
      <c r="K53" s="1">
        <v>2534.0700000000002</v>
      </c>
      <c r="L53" s="1">
        <v>10</v>
      </c>
    </row>
    <row r="54" spans="1:12" x14ac:dyDescent="0.3">
      <c r="A54" s="2">
        <v>45279</v>
      </c>
      <c r="B54" s="2">
        <v>45281</v>
      </c>
      <c r="C54" s="1" t="s">
        <v>39</v>
      </c>
      <c r="D54" s="1" t="s">
        <v>22</v>
      </c>
      <c r="E54" s="1" t="s">
        <v>23</v>
      </c>
      <c r="F54" s="1" t="s">
        <v>24</v>
      </c>
      <c r="G54" s="1" t="s">
        <v>48</v>
      </c>
      <c r="H54" s="1" t="s">
        <v>49</v>
      </c>
      <c r="I54" s="1" t="s">
        <v>20</v>
      </c>
      <c r="J54" s="1">
        <v>8</v>
      </c>
      <c r="K54" s="1">
        <v>1428.62</v>
      </c>
      <c r="L54" s="1">
        <v>10</v>
      </c>
    </row>
    <row r="55" spans="1:12" x14ac:dyDescent="0.3">
      <c r="A55" s="2">
        <v>45110</v>
      </c>
      <c r="B55" s="2">
        <v>45115</v>
      </c>
      <c r="C55" s="1" t="s">
        <v>36</v>
      </c>
      <c r="D55" s="1" t="s">
        <v>15</v>
      </c>
      <c r="E55" s="1" t="s">
        <v>23</v>
      </c>
      <c r="F55" s="1" t="s">
        <v>17</v>
      </c>
      <c r="G55" s="1" t="s">
        <v>51</v>
      </c>
      <c r="H55" s="1" t="s">
        <v>63</v>
      </c>
      <c r="I55" s="1" t="s">
        <v>44</v>
      </c>
      <c r="J55" s="1">
        <v>2</v>
      </c>
      <c r="K55" s="1">
        <v>3723.19</v>
      </c>
      <c r="L55" s="1">
        <v>5</v>
      </c>
    </row>
    <row r="56" spans="1:12" x14ac:dyDescent="0.3">
      <c r="A56" s="2">
        <v>44929</v>
      </c>
      <c r="B56" s="2">
        <v>44934</v>
      </c>
      <c r="C56" s="1" t="s">
        <v>36</v>
      </c>
      <c r="D56" s="1" t="s">
        <v>28</v>
      </c>
      <c r="E56" s="1" t="s">
        <v>16</v>
      </c>
      <c r="F56" s="1" t="s">
        <v>41</v>
      </c>
      <c r="G56" s="1" t="s">
        <v>56</v>
      </c>
      <c r="H56" s="1" t="s">
        <v>61</v>
      </c>
      <c r="I56" s="1" t="s">
        <v>44</v>
      </c>
      <c r="J56" s="1">
        <v>6</v>
      </c>
      <c r="K56" s="1">
        <v>3402.72</v>
      </c>
      <c r="L56" s="1">
        <v>15</v>
      </c>
    </row>
    <row r="57" spans="1:12" x14ac:dyDescent="0.3">
      <c r="A57" s="2">
        <v>45117</v>
      </c>
      <c r="B57" s="2">
        <v>45122</v>
      </c>
      <c r="C57" s="1" t="s">
        <v>36</v>
      </c>
      <c r="D57" s="1" t="s">
        <v>28</v>
      </c>
      <c r="E57" s="1" t="s">
        <v>16</v>
      </c>
      <c r="F57" s="1" t="s">
        <v>24</v>
      </c>
      <c r="G57" s="1" t="s">
        <v>56</v>
      </c>
      <c r="H57" s="1" t="s">
        <v>57</v>
      </c>
      <c r="I57" s="1" t="s">
        <v>32</v>
      </c>
      <c r="J57" s="1">
        <v>9</v>
      </c>
      <c r="K57" s="1">
        <v>1012.33</v>
      </c>
      <c r="L57" s="1">
        <v>20</v>
      </c>
    </row>
    <row r="58" spans="1:12" x14ac:dyDescent="0.3">
      <c r="A58" s="2">
        <v>44945</v>
      </c>
      <c r="B58" s="2">
        <v>44950</v>
      </c>
      <c r="C58" s="1" t="s">
        <v>39</v>
      </c>
      <c r="D58" s="1" t="s">
        <v>40</v>
      </c>
      <c r="E58" s="1" t="s">
        <v>23</v>
      </c>
      <c r="F58" s="1" t="s">
        <v>41</v>
      </c>
      <c r="G58" s="1" t="s">
        <v>51</v>
      </c>
      <c r="H58" s="1" t="s">
        <v>63</v>
      </c>
      <c r="I58" s="1" t="s">
        <v>32</v>
      </c>
      <c r="J58" s="1">
        <v>8</v>
      </c>
      <c r="K58" s="1">
        <v>2122.36</v>
      </c>
      <c r="L58" s="1">
        <v>0</v>
      </c>
    </row>
    <row r="59" spans="1:12" x14ac:dyDescent="0.3">
      <c r="A59" s="2">
        <v>44949</v>
      </c>
      <c r="B59" s="2">
        <v>44952</v>
      </c>
      <c r="C59" s="1" t="s">
        <v>45</v>
      </c>
      <c r="D59" s="1" t="s">
        <v>40</v>
      </c>
      <c r="E59" s="1" t="s">
        <v>29</v>
      </c>
      <c r="F59" s="1" t="s">
        <v>41</v>
      </c>
      <c r="G59" s="1" t="s">
        <v>56</v>
      </c>
      <c r="H59" s="1" t="s">
        <v>61</v>
      </c>
      <c r="I59" s="1" t="s">
        <v>44</v>
      </c>
      <c r="J59" s="1">
        <v>8</v>
      </c>
      <c r="K59" s="1">
        <v>3128.25</v>
      </c>
      <c r="L59" s="1">
        <v>15</v>
      </c>
    </row>
    <row r="60" spans="1:12" x14ac:dyDescent="0.3">
      <c r="A60" s="2">
        <v>44956</v>
      </c>
      <c r="B60" s="2">
        <v>44957</v>
      </c>
      <c r="C60" s="1" t="s">
        <v>36</v>
      </c>
      <c r="D60" s="1" t="s">
        <v>53</v>
      </c>
      <c r="E60" s="1" t="s">
        <v>23</v>
      </c>
      <c r="F60" s="1" t="s">
        <v>41</v>
      </c>
      <c r="G60" s="1" t="s">
        <v>25</v>
      </c>
      <c r="H60" s="1" t="s">
        <v>35</v>
      </c>
      <c r="I60" s="1" t="s">
        <v>44</v>
      </c>
      <c r="J60" s="1">
        <v>7</v>
      </c>
      <c r="K60" s="1">
        <v>319.56</v>
      </c>
      <c r="L60" s="1">
        <v>10</v>
      </c>
    </row>
    <row r="61" spans="1:12" x14ac:dyDescent="0.3">
      <c r="A61" s="2">
        <v>45034</v>
      </c>
      <c r="B61" s="2">
        <v>45043</v>
      </c>
      <c r="C61" s="1" t="s">
        <v>39</v>
      </c>
      <c r="D61" s="1" t="s">
        <v>22</v>
      </c>
      <c r="E61" s="1" t="s">
        <v>29</v>
      </c>
      <c r="F61" s="1" t="s">
        <v>41</v>
      </c>
      <c r="G61" s="1" t="s">
        <v>56</v>
      </c>
      <c r="H61" s="1" t="s">
        <v>61</v>
      </c>
      <c r="I61" s="1" t="s">
        <v>27</v>
      </c>
      <c r="J61" s="1">
        <v>6</v>
      </c>
      <c r="K61" s="1">
        <v>2645.71</v>
      </c>
      <c r="L61" s="1">
        <v>10</v>
      </c>
    </row>
    <row r="62" spans="1:12" x14ac:dyDescent="0.3">
      <c r="A62" s="2">
        <v>45207</v>
      </c>
      <c r="B62" s="2">
        <v>45216</v>
      </c>
      <c r="C62" s="1" t="s">
        <v>39</v>
      </c>
      <c r="D62" s="1" t="s">
        <v>15</v>
      </c>
      <c r="E62" s="1" t="s">
        <v>29</v>
      </c>
      <c r="F62" s="1" t="s">
        <v>17</v>
      </c>
      <c r="G62" s="1" t="s">
        <v>25</v>
      </c>
      <c r="H62" s="1" t="s">
        <v>35</v>
      </c>
      <c r="I62" s="1" t="s">
        <v>46</v>
      </c>
      <c r="J62" s="1">
        <v>2</v>
      </c>
      <c r="K62" s="1">
        <v>1041.2</v>
      </c>
      <c r="L62" s="1">
        <v>15</v>
      </c>
    </row>
    <row r="63" spans="1:12" x14ac:dyDescent="0.3">
      <c r="A63" s="2">
        <v>45054</v>
      </c>
      <c r="B63" s="2">
        <v>45058</v>
      </c>
      <c r="C63" s="1" t="s">
        <v>14</v>
      </c>
      <c r="D63" s="1" t="s">
        <v>37</v>
      </c>
      <c r="E63" s="1" t="s">
        <v>16</v>
      </c>
      <c r="F63" s="1" t="s">
        <v>41</v>
      </c>
      <c r="G63" s="1" t="s">
        <v>18</v>
      </c>
      <c r="H63" s="1" t="s">
        <v>42</v>
      </c>
      <c r="I63" s="1" t="s">
        <v>44</v>
      </c>
      <c r="J63" s="1">
        <v>2</v>
      </c>
      <c r="K63" s="1">
        <v>2773.21</v>
      </c>
      <c r="L63" s="1">
        <v>10</v>
      </c>
    </row>
    <row r="64" spans="1:12" x14ac:dyDescent="0.3">
      <c r="A64" s="2">
        <v>45155</v>
      </c>
      <c r="B64" s="2">
        <v>45158</v>
      </c>
      <c r="C64" s="1" t="s">
        <v>14</v>
      </c>
      <c r="D64" s="1" t="s">
        <v>22</v>
      </c>
      <c r="E64" s="1" t="s">
        <v>16</v>
      </c>
      <c r="F64" s="1" t="s">
        <v>34</v>
      </c>
      <c r="G64" s="1" t="s">
        <v>56</v>
      </c>
      <c r="H64" s="1" t="s">
        <v>66</v>
      </c>
      <c r="I64" s="1" t="s">
        <v>44</v>
      </c>
      <c r="J64" s="1">
        <v>8</v>
      </c>
      <c r="K64" s="1">
        <v>3769.71</v>
      </c>
      <c r="L64" s="1">
        <v>5</v>
      </c>
    </row>
    <row r="65" spans="1:12" x14ac:dyDescent="0.3">
      <c r="A65" s="2">
        <v>45037</v>
      </c>
      <c r="B65" s="2">
        <v>45038</v>
      </c>
      <c r="C65" s="1" t="s">
        <v>15</v>
      </c>
      <c r="D65" s="1" t="s">
        <v>40</v>
      </c>
      <c r="E65" s="1" t="s">
        <v>23</v>
      </c>
      <c r="F65" s="1" t="s">
        <v>41</v>
      </c>
      <c r="G65" s="1" t="s">
        <v>51</v>
      </c>
      <c r="H65" s="1" t="s">
        <v>63</v>
      </c>
      <c r="I65" s="1" t="s">
        <v>27</v>
      </c>
      <c r="J65" s="1">
        <v>1</v>
      </c>
      <c r="K65" s="1">
        <v>330.13</v>
      </c>
      <c r="L65" s="1">
        <v>15</v>
      </c>
    </row>
    <row r="66" spans="1:12" x14ac:dyDescent="0.3">
      <c r="A66" s="2">
        <v>45062</v>
      </c>
      <c r="B66" s="2">
        <v>45064</v>
      </c>
      <c r="C66" s="1" t="s">
        <v>33</v>
      </c>
      <c r="D66" s="1" t="s">
        <v>40</v>
      </c>
      <c r="E66" s="1" t="s">
        <v>29</v>
      </c>
      <c r="F66" s="1" t="s">
        <v>43</v>
      </c>
      <c r="G66" s="1" t="s">
        <v>30</v>
      </c>
      <c r="H66" s="1" t="s">
        <v>47</v>
      </c>
      <c r="I66" s="1" t="s">
        <v>27</v>
      </c>
      <c r="J66" s="1">
        <v>6</v>
      </c>
      <c r="K66" s="1">
        <v>1380.66</v>
      </c>
      <c r="L66" s="1">
        <v>0</v>
      </c>
    </row>
    <row r="67" spans="1:12" x14ac:dyDescent="0.3">
      <c r="A67" s="2">
        <v>45288</v>
      </c>
      <c r="B67" s="2">
        <v>45296</v>
      </c>
      <c r="C67" s="1" t="s">
        <v>14</v>
      </c>
      <c r="D67" s="1" t="s">
        <v>22</v>
      </c>
      <c r="E67" s="1" t="s">
        <v>16</v>
      </c>
      <c r="F67" s="1" t="s">
        <v>43</v>
      </c>
      <c r="G67" s="1" t="s">
        <v>56</v>
      </c>
      <c r="H67" s="1" t="s">
        <v>61</v>
      </c>
      <c r="I67" s="1" t="s">
        <v>32</v>
      </c>
      <c r="J67" s="1">
        <v>6</v>
      </c>
      <c r="K67" s="1">
        <v>1836.98</v>
      </c>
      <c r="L67" s="1">
        <v>5</v>
      </c>
    </row>
    <row r="68" spans="1:12" x14ac:dyDescent="0.3">
      <c r="A68" s="2">
        <v>45112</v>
      </c>
      <c r="B68" s="2">
        <v>45113</v>
      </c>
      <c r="C68" s="1" t="s">
        <v>45</v>
      </c>
      <c r="D68" s="1" t="s">
        <v>40</v>
      </c>
      <c r="E68" s="1" t="s">
        <v>16</v>
      </c>
      <c r="F68" s="1" t="s">
        <v>34</v>
      </c>
      <c r="G68" s="1" t="s">
        <v>30</v>
      </c>
      <c r="H68" s="1" t="s">
        <v>38</v>
      </c>
      <c r="I68" s="1" t="s">
        <v>32</v>
      </c>
      <c r="J68" s="1">
        <v>4</v>
      </c>
      <c r="K68" s="1">
        <v>3612.15</v>
      </c>
      <c r="L68" s="1">
        <v>20</v>
      </c>
    </row>
    <row r="69" spans="1:12" x14ac:dyDescent="0.3">
      <c r="A69" s="2">
        <v>45070</v>
      </c>
      <c r="B69" s="2">
        <v>45078</v>
      </c>
      <c r="C69" s="1" t="s">
        <v>14</v>
      </c>
      <c r="D69" s="1" t="s">
        <v>28</v>
      </c>
      <c r="E69" s="1" t="s">
        <v>16</v>
      </c>
      <c r="F69" s="1" t="s">
        <v>17</v>
      </c>
      <c r="G69" s="1" t="s">
        <v>25</v>
      </c>
      <c r="H69" s="1" t="s">
        <v>60</v>
      </c>
      <c r="I69" s="1" t="s">
        <v>46</v>
      </c>
      <c r="J69" s="1">
        <v>3</v>
      </c>
      <c r="K69" s="1">
        <v>3854.71</v>
      </c>
      <c r="L69" s="1">
        <v>5</v>
      </c>
    </row>
    <row r="70" spans="1:12" x14ac:dyDescent="0.3">
      <c r="A70" s="2">
        <v>44998</v>
      </c>
      <c r="B70" s="2">
        <v>45005</v>
      </c>
      <c r="C70" s="1" t="s">
        <v>15</v>
      </c>
      <c r="D70" s="1" t="s">
        <v>53</v>
      </c>
      <c r="E70" s="1" t="s">
        <v>16</v>
      </c>
      <c r="F70" s="1" t="s">
        <v>17</v>
      </c>
      <c r="G70" s="1" t="s">
        <v>18</v>
      </c>
      <c r="H70" s="1" t="s">
        <v>54</v>
      </c>
      <c r="I70" s="1" t="s">
        <v>46</v>
      </c>
      <c r="J70" s="1">
        <v>3</v>
      </c>
      <c r="K70" s="1">
        <v>1859.84</v>
      </c>
      <c r="L70" s="1">
        <v>15</v>
      </c>
    </row>
    <row r="71" spans="1:12" x14ac:dyDescent="0.3">
      <c r="A71" s="2">
        <v>45055</v>
      </c>
      <c r="B71" s="2">
        <v>45063</v>
      </c>
      <c r="C71" s="1" t="s">
        <v>39</v>
      </c>
      <c r="D71" s="1" t="s">
        <v>15</v>
      </c>
      <c r="E71" s="1" t="s">
        <v>16</v>
      </c>
      <c r="F71" s="1" t="s">
        <v>24</v>
      </c>
      <c r="G71" s="1" t="s">
        <v>48</v>
      </c>
      <c r="H71" s="1" t="s">
        <v>67</v>
      </c>
      <c r="I71" s="1" t="s">
        <v>20</v>
      </c>
      <c r="J71" s="1">
        <v>1</v>
      </c>
      <c r="K71" s="1">
        <v>3037.61</v>
      </c>
      <c r="L71" s="1">
        <v>5</v>
      </c>
    </row>
    <row r="72" spans="1:12" x14ac:dyDescent="0.3">
      <c r="A72" s="2">
        <v>45290</v>
      </c>
      <c r="B72" s="2">
        <v>45296</v>
      </c>
      <c r="C72" s="1" t="s">
        <v>15</v>
      </c>
      <c r="D72" s="1" t="s">
        <v>53</v>
      </c>
      <c r="E72" s="1" t="s">
        <v>29</v>
      </c>
      <c r="F72" s="1" t="s">
        <v>34</v>
      </c>
      <c r="G72" s="1" t="s">
        <v>18</v>
      </c>
      <c r="H72" s="1" t="s">
        <v>42</v>
      </c>
      <c r="I72" s="1" t="s">
        <v>32</v>
      </c>
      <c r="J72" s="1">
        <v>3</v>
      </c>
      <c r="K72" s="1">
        <v>2196.89</v>
      </c>
      <c r="L72" s="1">
        <v>0</v>
      </c>
    </row>
    <row r="73" spans="1:12" x14ac:dyDescent="0.3">
      <c r="A73" s="2">
        <v>45187</v>
      </c>
      <c r="B73" s="2">
        <v>45196</v>
      </c>
      <c r="C73" s="1" t="s">
        <v>39</v>
      </c>
      <c r="D73" s="1" t="s">
        <v>15</v>
      </c>
      <c r="E73" s="1" t="s">
        <v>29</v>
      </c>
      <c r="F73" s="1" t="s">
        <v>41</v>
      </c>
      <c r="G73" s="1" t="s">
        <v>56</v>
      </c>
      <c r="H73" s="1" t="s">
        <v>57</v>
      </c>
      <c r="I73" s="1" t="s">
        <v>44</v>
      </c>
      <c r="J73" s="1">
        <v>4</v>
      </c>
      <c r="K73" s="1">
        <v>2220.46</v>
      </c>
      <c r="L73" s="1">
        <v>0</v>
      </c>
    </row>
    <row r="74" spans="1:12" x14ac:dyDescent="0.3">
      <c r="A74" s="2">
        <v>44929</v>
      </c>
      <c r="B74" s="2">
        <v>44932</v>
      </c>
      <c r="C74" s="1" t="s">
        <v>21</v>
      </c>
      <c r="D74" s="1" t="s">
        <v>15</v>
      </c>
      <c r="E74" s="1" t="s">
        <v>29</v>
      </c>
      <c r="F74" s="1" t="s">
        <v>34</v>
      </c>
      <c r="G74" s="1" t="s">
        <v>30</v>
      </c>
      <c r="H74" s="1" t="s">
        <v>38</v>
      </c>
      <c r="I74" s="1" t="s">
        <v>32</v>
      </c>
      <c r="J74" s="1">
        <v>5</v>
      </c>
      <c r="K74" s="1">
        <v>1220.68</v>
      </c>
      <c r="L74" s="1">
        <v>20</v>
      </c>
    </row>
    <row r="75" spans="1:12" x14ac:dyDescent="0.3">
      <c r="A75" s="2">
        <v>45030</v>
      </c>
      <c r="B75" s="2">
        <v>45034</v>
      </c>
      <c r="C75" s="1" t="s">
        <v>21</v>
      </c>
      <c r="D75" s="1" t="s">
        <v>53</v>
      </c>
      <c r="E75" s="1" t="s">
        <v>29</v>
      </c>
      <c r="F75" s="1" t="s">
        <v>24</v>
      </c>
      <c r="G75" s="1" t="s">
        <v>30</v>
      </c>
      <c r="H75" s="1" t="s">
        <v>31</v>
      </c>
      <c r="I75" s="1" t="s">
        <v>44</v>
      </c>
      <c r="J75" s="1">
        <v>3</v>
      </c>
      <c r="K75" s="1">
        <v>985.28</v>
      </c>
      <c r="L75" s="1">
        <v>10</v>
      </c>
    </row>
    <row r="76" spans="1:12" x14ac:dyDescent="0.3">
      <c r="A76" s="2">
        <v>45246</v>
      </c>
      <c r="B76" s="2">
        <v>45254</v>
      </c>
      <c r="C76" s="1" t="s">
        <v>33</v>
      </c>
      <c r="D76" s="1" t="s">
        <v>15</v>
      </c>
      <c r="E76" s="1" t="s">
        <v>29</v>
      </c>
      <c r="F76" s="1" t="s">
        <v>34</v>
      </c>
      <c r="G76" s="1" t="s">
        <v>30</v>
      </c>
      <c r="H76" s="1" t="s">
        <v>31</v>
      </c>
      <c r="I76" s="1" t="s">
        <v>32</v>
      </c>
      <c r="J76" s="1">
        <v>5</v>
      </c>
      <c r="K76" s="1">
        <v>2291.86</v>
      </c>
      <c r="L76" s="1">
        <v>15</v>
      </c>
    </row>
    <row r="77" spans="1:12" x14ac:dyDescent="0.3">
      <c r="A77" s="2">
        <v>45288</v>
      </c>
      <c r="B77" s="2">
        <v>45293</v>
      </c>
      <c r="C77" s="1" t="s">
        <v>14</v>
      </c>
      <c r="D77" s="1" t="s">
        <v>53</v>
      </c>
      <c r="E77" s="1" t="s">
        <v>16</v>
      </c>
      <c r="F77" s="1" t="s">
        <v>24</v>
      </c>
      <c r="G77" s="1" t="s">
        <v>51</v>
      </c>
      <c r="H77" s="1" t="s">
        <v>55</v>
      </c>
      <c r="I77" s="1" t="s">
        <v>27</v>
      </c>
      <c r="J77" s="1">
        <v>3</v>
      </c>
      <c r="K77" s="1">
        <v>262.25</v>
      </c>
      <c r="L77" s="1">
        <v>10</v>
      </c>
    </row>
    <row r="78" spans="1:12" x14ac:dyDescent="0.3">
      <c r="A78" s="2">
        <v>45280</v>
      </c>
      <c r="B78" s="2">
        <v>45283</v>
      </c>
      <c r="C78" s="1" t="s">
        <v>45</v>
      </c>
      <c r="D78" s="1" t="s">
        <v>15</v>
      </c>
      <c r="E78" s="1" t="s">
        <v>29</v>
      </c>
      <c r="F78" s="1" t="s">
        <v>17</v>
      </c>
      <c r="G78" s="1" t="s">
        <v>25</v>
      </c>
      <c r="H78" s="1" t="s">
        <v>26</v>
      </c>
      <c r="I78" s="1" t="s">
        <v>46</v>
      </c>
      <c r="J78" s="1">
        <v>6</v>
      </c>
      <c r="K78" s="1">
        <v>3642.91</v>
      </c>
      <c r="L78" s="1">
        <v>0</v>
      </c>
    </row>
    <row r="79" spans="1:12" x14ac:dyDescent="0.3">
      <c r="A79" s="2">
        <v>44936</v>
      </c>
      <c r="B79" s="2">
        <v>44942</v>
      </c>
      <c r="C79" s="1" t="s">
        <v>45</v>
      </c>
      <c r="D79" s="1" t="s">
        <v>37</v>
      </c>
      <c r="E79" s="1" t="s">
        <v>23</v>
      </c>
      <c r="F79" s="1" t="s">
        <v>41</v>
      </c>
      <c r="G79" s="1" t="s">
        <v>48</v>
      </c>
      <c r="H79" s="1" t="s">
        <v>62</v>
      </c>
      <c r="I79" s="1" t="s">
        <v>46</v>
      </c>
      <c r="J79" s="1">
        <v>6</v>
      </c>
      <c r="K79" s="1">
        <v>751.69</v>
      </c>
      <c r="L79" s="1">
        <v>0</v>
      </c>
    </row>
    <row r="80" spans="1:12" x14ac:dyDescent="0.3">
      <c r="A80" s="2">
        <v>45228</v>
      </c>
      <c r="B80" s="2">
        <v>45232</v>
      </c>
      <c r="C80" s="1" t="s">
        <v>36</v>
      </c>
      <c r="D80" s="1" t="s">
        <v>22</v>
      </c>
      <c r="E80" s="1" t="s">
        <v>16</v>
      </c>
      <c r="F80" s="1" t="s">
        <v>24</v>
      </c>
      <c r="G80" s="1" t="s">
        <v>56</v>
      </c>
      <c r="H80" s="1" t="s">
        <v>61</v>
      </c>
      <c r="I80" s="1" t="s">
        <v>20</v>
      </c>
      <c r="J80" s="1">
        <v>8</v>
      </c>
      <c r="K80" s="1">
        <v>997.34</v>
      </c>
      <c r="L80" s="1">
        <v>5</v>
      </c>
    </row>
    <row r="81" spans="1:12" x14ac:dyDescent="0.3">
      <c r="A81" s="2">
        <v>45157</v>
      </c>
      <c r="B81" s="2">
        <v>45166</v>
      </c>
      <c r="C81" s="1" t="s">
        <v>39</v>
      </c>
      <c r="D81" s="1" t="s">
        <v>28</v>
      </c>
      <c r="E81" s="1" t="s">
        <v>29</v>
      </c>
      <c r="F81" s="1" t="s">
        <v>43</v>
      </c>
      <c r="G81" s="1" t="s">
        <v>51</v>
      </c>
      <c r="H81" s="1" t="s">
        <v>55</v>
      </c>
      <c r="I81" s="1" t="s">
        <v>32</v>
      </c>
      <c r="J81" s="1">
        <v>2</v>
      </c>
      <c r="K81" s="1">
        <v>2145.36</v>
      </c>
      <c r="L81" s="1">
        <v>20</v>
      </c>
    </row>
    <row r="82" spans="1:12" x14ac:dyDescent="0.3">
      <c r="A82" s="2">
        <v>45145</v>
      </c>
      <c r="B82" s="2">
        <v>45148</v>
      </c>
      <c r="C82" s="1" t="s">
        <v>45</v>
      </c>
      <c r="D82" s="1" t="s">
        <v>15</v>
      </c>
      <c r="E82" s="1" t="s">
        <v>29</v>
      </c>
      <c r="F82" s="1" t="s">
        <v>17</v>
      </c>
      <c r="G82" s="1" t="s">
        <v>48</v>
      </c>
      <c r="H82" s="1" t="s">
        <v>49</v>
      </c>
      <c r="I82" s="1" t="s">
        <v>27</v>
      </c>
      <c r="J82" s="1">
        <v>1</v>
      </c>
      <c r="K82" s="1">
        <v>2883.94</v>
      </c>
      <c r="L82" s="1">
        <v>20</v>
      </c>
    </row>
    <row r="83" spans="1:12" x14ac:dyDescent="0.3">
      <c r="A83" s="2">
        <v>44992</v>
      </c>
      <c r="B83" s="2">
        <v>44996</v>
      </c>
      <c r="C83" s="1" t="s">
        <v>33</v>
      </c>
      <c r="D83" s="1" t="s">
        <v>37</v>
      </c>
      <c r="E83" s="1" t="s">
        <v>29</v>
      </c>
      <c r="F83" s="1" t="s">
        <v>43</v>
      </c>
      <c r="G83" s="1" t="s">
        <v>30</v>
      </c>
      <c r="H83" s="1" t="s">
        <v>64</v>
      </c>
      <c r="I83" s="1" t="s">
        <v>44</v>
      </c>
      <c r="J83" s="1">
        <v>4</v>
      </c>
      <c r="K83" s="1">
        <v>518.55999999999995</v>
      </c>
      <c r="L83" s="1">
        <v>20</v>
      </c>
    </row>
    <row r="84" spans="1:12" x14ac:dyDescent="0.3">
      <c r="A84" s="2">
        <v>45038</v>
      </c>
      <c r="B84" s="2">
        <v>45045</v>
      </c>
      <c r="C84" s="1" t="s">
        <v>39</v>
      </c>
      <c r="D84" s="1" t="s">
        <v>28</v>
      </c>
      <c r="E84" s="1" t="s">
        <v>16</v>
      </c>
      <c r="F84" s="1" t="s">
        <v>17</v>
      </c>
      <c r="G84" s="1" t="s">
        <v>30</v>
      </c>
      <c r="H84" s="1" t="s">
        <v>38</v>
      </c>
      <c r="I84" s="1" t="s">
        <v>46</v>
      </c>
      <c r="J84" s="1">
        <v>7</v>
      </c>
      <c r="K84" s="1">
        <v>1373.12</v>
      </c>
      <c r="L84" s="1">
        <v>5</v>
      </c>
    </row>
    <row r="85" spans="1:12" x14ac:dyDescent="0.3">
      <c r="A85" s="2">
        <v>44939</v>
      </c>
      <c r="B85" s="2">
        <v>44946</v>
      </c>
      <c r="C85" s="1" t="s">
        <v>33</v>
      </c>
      <c r="D85" s="1" t="s">
        <v>28</v>
      </c>
      <c r="E85" s="1" t="s">
        <v>16</v>
      </c>
      <c r="F85" s="1" t="s">
        <v>41</v>
      </c>
      <c r="G85" s="1" t="s">
        <v>48</v>
      </c>
      <c r="H85" s="1" t="s">
        <v>62</v>
      </c>
      <c r="I85" s="1" t="s">
        <v>46</v>
      </c>
      <c r="J85" s="1">
        <v>3</v>
      </c>
      <c r="K85" s="1">
        <v>3879.4</v>
      </c>
      <c r="L85" s="1">
        <v>20</v>
      </c>
    </row>
    <row r="86" spans="1:12" x14ac:dyDescent="0.3">
      <c r="A86" s="2">
        <v>45016</v>
      </c>
      <c r="B86" s="2">
        <v>45019</v>
      </c>
      <c r="C86" s="1" t="s">
        <v>36</v>
      </c>
      <c r="D86" s="1" t="s">
        <v>15</v>
      </c>
      <c r="E86" s="1" t="s">
        <v>16</v>
      </c>
      <c r="F86" s="1" t="s">
        <v>43</v>
      </c>
      <c r="G86" s="1" t="s">
        <v>25</v>
      </c>
      <c r="H86" s="1" t="s">
        <v>26</v>
      </c>
      <c r="I86" s="1" t="s">
        <v>27</v>
      </c>
      <c r="J86" s="1">
        <v>5</v>
      </c>
      <c r="K86" s="1">
        <v>3370.52</v>
      </c>
      <c r="L86" s="1">
        <v>10</v>
      </c>
    </row>
    <row r="87" spans="1:12" x14ac:dyDescent="0.3">
      <c r="A87" s="2">
        <v>45240</v>
      </c>
      <c r="B87" s="2">
        <v>45246</v>
      </c>
      <c r="C87" s="1" t="s">
        <v>45</v>
      </c>
      <c r="D87" s="1" t="s">
        <v>37</v>
      </c>
      <c r="E87" s="1" t="s">
        <v>29</v>
      </c>
      <c r="F87" s="1" t="s">
        <v>17</v>
      </c>
      <c r="G87" s="1" t="s">
        <v>48</v>
      </c>
      <c r="H87" s="1" t="s">
        <v>49</v>
      </c>
      <c r="I87" s="1" t="s">
        <v>32</v>
      </c>
      <c r="J87" s="1">
        <v>3</v>
      </c>
      <c r="K87" s="1">
        <v>343.33</v>
      </c>
      <c r="L87" s="1">
        <v>5</v>
      </c>
    </row>
    <row r="88" spans="1:12" x14ac:dyDescent="0.3">
      <c r="A88" s="2">
        <v>44980</v>
      </c>
      <c r="B88" s="2">
        <v>44982</v>
      </c>
      <c r="C88" s="1" t="s">
        <v>39</v>
      </c>
      <c r="D88" s="1" t="s">
        <v>28</v>
      </c>
      <c r="E88" s="1" t="s">
        <v>16</v>
      </c>
      <c r="F88" s="1" t="s">
        <v>41</v>
      </c>
      <c r="G88" s="1" t="s">
        <v>51</v>
      </c>
      <c r="H88" s="1" t="s">
        <v>55</v>
      </c>
      <c r="I88" s="1" t="s">
        <v>32</v>
      </c>
      <c r="J88" s="1">
        <v>9</v>
      </c>
      <c r="K88" s="1">
        <v>1938.76</v>
      </c>
      <c r="L88" s="1">
        <v>20</v>
      </c>
    </row>
    <row r="89" spans="1:12" x14ac:dyDescent="0.3">
      <c r="A89" s="2">
        <v>44938</v>
      </c>
      <c r="B89" s="2">
        <v>44946</v>
      </c>
      <c r="C89" s="1" t="s">
        <v>21</v>
      </c>
      <c r="D89" s="1" t="s">
        <v>15</v>
      </c>
      <c r="E89" s="1" t="s">
        <v>29</v>
      </c>
      <c r="F89" s="1" t="s">
        <v>24</v>
      </c>
      <c r="G89" s="1" t="s">
        <v>51</v>
      </c>
      <c r="H89" s="1" t="s">
        <v>59</v>
      </c>
      <c r="I89" s="1" t="s">
        <v>20</v>
      </c>
      <c r="J89" s="1">
        <v>4</v>
      </c>
      <c r="K89" s="1">
        <v>1611.52</v>
      </c>
      <c r="L89" s="1">
        <v>10</v>
      </c>
    </row>
    <row r="90" spans="1:12" x14ac:dyDescent="0.3">
      <c r="A90" s="2">
        <v>45135</v>
      </c>
      <c r="B90" s="2">
        <v>45137</v>
      </c>
      <c r="C90" s="1" t="s">
        <v>39</v>
      </c>
      <c r="D90" s="1" t="s">
        <v>53</v>
      </c>
      <c r="E90" s="1" t="s">
        <v>29</v>
      </c>
      <c r="F90" s="1" t="s">
        <v>41</v>
      </c>
      <c r="G90" s="1" t="s">
        <v>48</v>
      </c>
      <c r="H90" s="1" t="s">
        <v>49</v>
      </c>
      <c r="I90" s="1" t="s">
        <v>46</v>
      </c>
      <c r="J90" s="1">
        <v>3</v>
      </c>
      <c r="K90" s="1">
        <v>1368.86</v>
      </c>
      <c r="L90" s="1">
        <v>10</v>
      </c>
    </row>
    <row r="91" spans="1:12" x14ac:dyDescent="0.3">
      <c r="A91" s="2">
        <v>44940</v>
      </c>
      <c r="B91" s="2">
        <v>44947</v>
      </c>
      <c r="C91" s="1" t="s">
        <v>39</v>
      </c>
      <c r="D91" s="1" t="s">
        <v>15</v>
      </c>
      <c r="E91" s="1" t="s">
        <v>16</v>
      </c>
      <c r="F91" s="1" t="s">
        <v>24</v>
      </c>
      <c r="G91" s="1" t="s">
        <v>51</v>
      </c>
      <c r="H91" s="1" t="s">
        <v>59</v>
      </c>
      <c r="I91" s="1" t="s">
        <v>32</v>
      </c>
      <c r="J91" s="1">
        <v>2</v>
      </c>
      <c r="K91" s="1">
        <v>1249.94</v>
      </c>
      <c r="L91" s="1">
        <v>10</v>
      </c>
    </row>
    <row r="92" spans="1:12" x14ac:dyDescent="0.3">
      <c r="A92" s="2">
        <v>45047</v>
      </c>
      <c r="B92" s="2">
        <v>45056</v>
      </c>
      <c r="C92" s="1" t="s">
        <v>36</v>
      </c>
      <c r="D92" s="1" t="s">
        <v>22</v>
      </c>
      <c r="E92" s="1" t="s">
        <v>23</v>
      </c>
      <c r="F92" s="1" t="s">
        <v>17</v>
      </c>
      <c r="G92" s="1" t="s">
        <v>51</v>
      </c>
      <c r="H92" s="1" t="s">
        <v>59</v>
      </c>
      <c r="I92" s="1" t="s">
        <v>27</v>
      </c>
      <c r="J92" s="1">
        <v>9</v>
      </c>
      <c r="K92" s="1">
        <v>501.79</v>
      </c>
      <c r="L92" s="1">
        <v>5</v>
      </c>
    </row>
    <row r="93" spans="1:12" x14ac:dyDescent="0.3">
      <c r="A93" s="2">
        <v>44946</v>
      </c>
      <c r="B93" s="2">
        <v>44947</v>
      </c>
      <c r="C93" s="1" t="s">
        <v>36</v>
      </c>
      <c r="D93" s="1" t="s">
        <v>53</v>
      </c>
      <c r="E93" s="1" t="s">
        <v>23</v>
      </c>
      <c r="F93" s="1" t="s">
        <v>41</v>
      </c>
      <c r="G93" s="1" t="s">
        <v>25</v>
      </c>
      <c r="H93" s="1" t="s">
        <v>35</v>
      </c>
      <c r="I93" s="1" t="s">
        <v>44</v>
      </c>
      <c r="J93" s="1">
        <v>4</v>
      </c>
      <c r="K93" s="1">
        <v>1362.08</v>
      </c>
      <c r="L93" s="1">
        <v>15</v>
      </c>
    </row>
    <row r="94" spans="1:12" x14ac:dyDescent="0.3">
      <c r="A94" s="2">
        <v>45001</v>
      </c>
      <c r="B94" s="2">
        <v>45009</v>
      </c>
      <c r="C94" s="1" t="s">
        <v>45</v>
      </c>
      <c r="D94" s="1" t="s">
        <v>37</v>
      </c>
      <c r="E94" s="1" t="s">
        <v>16</v>
      </c>
      <c r="F94" s="1" t="s">
        <v>41</v>
      </c>
      <c r="G94" s="1" t="s">
        <v>51</v>
      </c>
      <c r="H94" s="1" t="s">
        <v>52</v>
      </c>
      <c r="I94" s="1" t="s">
        <v>27</v>
      </c>
      <c r="J94" s="1">
        <v>3</v>
      </c>
      <c r="K94" s="1">
        <v>315.75</v>
      </c>
      <c r="L94" s="1">
        <v>20</v>
      </c>
    </row>
    <row r="95" spans="1:12" x14ac:dyDescent="0.3">
      <c r="A95" s="2">
        <v>45169</v>
      </c>
      <c r="B95" s="2">
        <v>45176</v>
      </c>
      <c r="C95" s="1" t="s">
        <v>15</v>
      </c>
      <c r="D95" s="1" t="s">
        <v>28</v>
      </c>
      <c r="E95" s="1" t="s">
        <v>23</v>
      </c>
      <c r="F95" s="1" t="s">
        <v>17</v>
      </c>
      <c r="G95" s="1" t="s">
        <v>18</v>
      </c>
      <c r="H95" s="1" t="s">
        <v>42</v>
      </c>
      <c r="I95" s="1" t="s">
        <v>46</v>
      </c>
      <c r="J95" s="1">
        <v>7</v>
      </c>
      <c r="K95" s="1">
        <v>3156.71</v>
      </c>
      <c r="L95" s="1">
        <v>10</v>
      </c>
    </row>
    <row r="96" spans="1:12" x14ac:dyDescent="0.3">
      <c r="A96" s="2">
        <v>45149</v>
      </c>
      <c r="B96" s="2">
        <v>45155</v>
      </c>
      <c r="C96" s="1" t="s">
        <v>15</v>
      </c>
      <c r="D96" s="1" t="s">
        <v>15</v>
      </c>
      <c r="E96" s="1" t="s">
        <v>29</v>
      </c>
      <c r="F96" s="1" t="s">
        <v>41</v>
      </c>
      <c r="G96" s="1" t="s">
        <v>56</v>
      </c>
      <c r="H96" s="1" t="s">
        <v>58</v>
      </c>
      <c r="I96" s="1" t="s">
        <v>27</v>
      </c>
      <c r="J96" s="1">
        <v>8</v>
      </c>
      <c r="K96" s="1">
        <v>1683.18</v>
      </c>
      <c r="L96" s="1">
        <v>15</v>
      </c>
    </row>
    <row r="97" spans="1:12" x14ac:dyDescent="0.3">
      <c r="A97" s="2">
        <v>44996</v>
      </c>
      <c r="B97" s="2">
        <v>45002</v>
      </c>
      <c r="C97" s="1" t="s">
        <v>36</v>
      </c>
      <c r="D97" s="1" t="s">
        <v>53</v>
      </c>
      <c r="E97" s="1" t="s">
        <v>29</v>
      </c>
      <c r="F97" s="1" t="s">
        <v>24</v>
      </c>
      <c r="G97" s="1" t="s">
        <v>30</v>
      </c>
      <c r="H97" s="1" t="s">
        <v>38</v>
      </c>
      <c r="I97" s="1" t="s">
        <v>20</v>
      </c>
      <c r="J97" s="1">
        <v>2</v>
      </c>
      <c r="K97" s="1">
        <v>1859.03</v>
      </c>
      <c r="L97" s="1">
        <v>20</v>
      </c>
    </row>
    <row r="98" spans="1:12" x14ac:dyDescent="0.3">
      <c r="A98" s="2">
        <v>45238</v>
      </c>
      <c r="B98" s="2">
        <v>45244</v>
      </c>
      <c r="C98" s="1" t="s">
        <v>45</v>
      </c>
      <c r="D98" s="1" t="s">
        <v>22</v>
      </c>
      <c r="E98" s="1" t="s">
        <v>16</v>
      </c>
      <c r="F98" s="1" t="s">
        <v>41</v>
      </c>
      <c r="G98" s="1" t="s">
        <v>18</v>
      </c>
      <c r="H98" s="1" t="s">
        <v>19</v>
      </c>
      <c r="I98" s="1" t="s">
        <v>46</v>
      </c>
      <c r="J98" s="1">
        <v>7</v>
      </c>
      <c r="K98" s="1">
        <v>3590.34</v>
      </c>
      <c r="L98" s="1">
        <v>20</v>
      </c>
    </row>
    <row r="99" spans="1:12" x14ac:dyDescent="0.3">
      <c r="A99" s="2">
        <v>45027</v>
      </c>
      <c r="B99" s="2">
        <v>45029</v>
      </c>
      <c r="C99" s="1" t="s">
        <v>45</v>
      </c>
      <c r="D99" s="1" t="s">
        <v>40</v>
      </c>
      <c r="E99" s="1" t="s">
        <v>23</v>
      </c>
      <c r="F99" s="1" t="s">
        <v>34</v>
      </c>
      <c r="G99" s="1" t="s">
        <v>25</v>
      </c>
      <c r="H99" s="1" t="s">
        <v>26</v>
      </c>
      <c r="I99" s="1" t="s">
        <v>20</v>
      </c>
      <c r="J99" s="1">
        <v>5</v>
      </c>
      <c r="K99" s="1">
        <v>181.03</v>
      </c>
      <c r="L99" s="1">
        <v>10</v>
      </c>
    </row>
    <row r="100" spans="1:12" x14ac:dyDescent="0.3">
      <c r="A100" s="2">
        <v>45112</v>
      </c>
      <c r="B100" s="2">
        <v>45113</v>
      </c>
      <c r="C100" s="1" t="s">
        <v>45</v>
      </c>
      <c r="D100" s="1" t="s">
        <v>22</v>
      </c>
      <c r="E100" s="1" t="s">
        <v>29</v>
      </c>
      <c r="F100" s="1" t="s">
        <v>24</v>
      </c>
      <c r="G100" s="1" t="s">
        <v>48</v>
      </c>
      <c r="H100" s="1" t="s">
        <v>62</v>
      </c>
      <c r="I100" s="1" t="s">
        <v>46</v>
      </c>
      <c r="J100" s="1">
        <v>3</v>
      </c>
      <c r="K100" s="1">
        <v>3781.22</v>
      </c>
      <c r="L100" s="1">
        <v>5</v>
      </c>
    </row>
    <row r="101" spans="1:12" x14ac:dyDescent="0.3">
      <c r="A101" s="2">
        <v>45058</v>
      </c>
      <c r="B101" s="2">
        <v>45064</v>
      </c>
      <c r="C101" s="1" t="s">
        <v>45</v>
      </c>
      <c r="D101" s="1" t="s">
        <v>37</v>
      </c>
      <c r="E101" s="1" t="s">
        <v>16</v>
      </c>
      <c r="F101" s="1" t="s">
        <v>43</v>
      </c>
      <c r="G101" s="1" t="s">
        <v>51</v>
      </c>
      <c r="H101" s="1" t="s">
        <v>59</v>
      </c>
      <c r="I101" s="1" t="s">
        <v>44</v>
      </c>
      <c r="J101" s="1">
        <v>5</v>
      </c>
      <c r="K101" s="1">
        <v>1063.01</v>
      </c>
      <c r="L101" s="1">
        <v>15</v>
      </c>
    </row>
    <row r="102" spans="1:12" x14ac:dyDescent="0.3">
      <c r="A102" s="2">
        <v>45037</v>
      </c>
      <c r="B102" s="2">
        <v>45045</v>
      </c>
      <c r="C102" s="1" t="s">
        <v>14</v>
      </c>
      <c r="D102" s="1" t="s">
        <v>28</v>
      </c>
      <c r="E102" s="1" t="s">
        <v>23</v>
      </c>
      <c r="F102" s="1" t="s">
        <v>17</v>
      </c>
      <c r="G102" s="1" t="s">
        <v>25</v>
      </c>
      <c r="H102" s="1" t="s">
        <v>35</v>
      </c>
      <c r="I102" s="1" t="s">
        <v>20</v>
      </c>
      <c r="J102" s="1">
        <v>2</v>
      </c>
      <c r="K102" s="1">
        <v>564.30999999999995</v>
      </c>
      <c r="L102" s="1">
        <v>15</v>
      </c>
    </row>
    <row r="103" spans="1:12" x14ac:dyDescent="0.3">
      <c r="A103" s="2">
        <v>44946</v>
      </c>
      <c r="B103" s="2">
        <v>44947</v>
      </c>
      <c r="C103" s="1" t="s">
        <v>45</v>
      </c>
      <c r="D103" s="1" t="s">
        <v>15</v>
      </c>
      <c r="E103" s="1" t="s">
        <v>23</v>
      </c>
      <c r="F103" s="1" t="s">
        <v>34</v>
      </c>
      <c r="G103" s="1" t="s">
        <v>51</v>
      </c>
      <c r="H103" s="1" t="s">
        <v>55</v>
      </c>
      <c r="I103" s="1" t="s">
        <v>46</v>
      </c>
      <c r="J103" s="1">
        <v>6</v>
      </c>
      <c r="K103" s="1">
        <v>2076.84</v>
      </c>
      <c r="L103" s="1">
        <v>20</v>
      </c>
    </row>
    <row r="104" spans="1:12" x14ac:dyDescent="0.3">
      <c r="A104" s="2">
        <v>44950</v>
      </c>
      <c r="B104" s="2">
        <v>44959</v>
      </c>
      <c r="C104" s="1" t="s">
        <v>14</v>
      </c>
      <c r="D104" s="1" t="s">
        <v>53</v>
      </c>
      <c r="E104" s="1" t="s">
        <v>29</v>
      </c>
      <c r="F104" s="1" t="s">
        <v>34</v>
      </c>
      <c r="G104" s="1" t="s">
        <v>48</v>
      </c>
      <c r="H104" s="1" t="s">
        <v>67</v>
      </c>
      <c r="I104" s="1" t="s">
        <v>32</v>
      </c>
      <c r="J104" s="1">
        <v>1</v>
      </c>
      <c r="K104" s="1">
        <v>1820.02</v>
      </c>
      <c r="L104" s="1">
        <v>10</v>
      </c>
    </row>
    <row r="105" spans="1:12" x14ac:dyDescent="0.3">
      <c r="A105" s="2">
        <v>45153</v>
      </c>
      <c r="B105" s="2">
        <v>45154</v>
      </c>
      <c r="C105" s="1" t="s">
        <v>36</v>
      </c>
      <c r="D105" s="1" t="s">
        <v>40</v>
      </c>
      <c r="E105" s="1" t="s">
        <v>29</v>
      </c>
      <c r="F105" s="1" t="s">
        <v>17</v>
      </c>
      <c r="G105" s="1" t="s">
        <v>25</v>
      </c>
      <c r="H105" s="1" t="s">
        <v>35</v>
      </c>
      <c r="I105" s="1" t="s">
        <v>20</v>
      </c>
      <c r="J105" s="1">
        <v>4</v>
      </c>
      <c r="K105" s="1">
        <v>1110.5899999999999</v>
      </c>
      <c r="L105" s="1">
        <v>20</v>
      </c>
    </row>
    <row r="106" spans="1:12" x14ac:dyDescent="0.3">
      <c r="A106" s="2">
        <v>45080</v>
      </c>
      <c r="B106" s="2">
        <v>45083</v>
      </c>
      <c r="C106" s="1" t="s">
        <v>15</v>
      </c>
      <c r="D106" s="1" t="s">
        <v>22</v>
      </c>
      <c r="E106" s="1" t="s">
        <v>16</v>
      </c>
      <c r="F106" s="1" t="s">
        <v>17</v>
      </c>
      <c r="G106" s="1" t="s">
        <v>25</v>
      </c>
      <c r="H106" s="1" t="s">
        <v>60</v>
      </c>
      <c r="I106" s="1" t="s">
        <v>20</v>
      </c>
      <c r="J106" s="1">
        <v>6</v>
      </c>
      <c r="K106" s="1">
        <v>2257.77</v>
      </c>
      <c r="L106" s="1">
        <v>20</v>
      </c>
    </row>
    <row r="107" spans="1:12" x14ac:dyDescent="0.3">
      <c r="A107" s="2">
        <v>45219</v>
      </c>
      <c r="B107" s="2">
        <v>45227</v>
      </c>
      <c r="C107" s="1" t="s">
        <v>39</v>
      </c>
      <c r="D107" s="1" t="s">
        <v>22</v>
      </c>
      <c r="E107" s="1" t="s">
        <v>29</v>
      </c>
      <c r="F107" s="1" t="s">
        <v>24</v>
      </c>
      <c r="G107" s="1" t="s">
        <v>25</v>
      </c>
      <c r="H107" s="1" t="s">
        <v>68</v>
      </c>
      <c r="I107" s="1" t="s">
        <v>44</v>
      </c>
      <c r="J107" s="1">
        <v>9</v>
      </c>
      <c r="K107" s="1">
        <v>1206.3800000000001</v>
      </c>
      <c r="L107" s="1">
        <v>10</v>
      </c>
    </row>
    <row r="108" spans="1:12" x14ac:dyDescent="0.3">
      <c r="A108" s="2">
        <v>45156</v>
      </c>
      <c r="B108" s="2">
        <v>45159</v>
      </c>
      <c r="C108" s="1" t="s">
        <v>21</v>
      </c>
      <c r="D108" s="1" t="s">
        <v>53</v>
      </c>
      <c r="E108" s="1" t="s">
        <v>23</v>
      </c>
      <c r="F108" s="1" t="s">
        <v>41</v>
      </c>
      <c r="G108" s="1" t="s">
        <v>56</v>
      </c>
      <c r="H108" s="1" t="s">
        <v>61</v>
      </c>
      <c r="I108" s="1" t="s">
        <v>27</v>
      </c>
      <c r="J108" s="1">
        <v>2</v>
      </c>
      <c r="K108" s="1">
        <v>3621.09</v>
      </c>
      <c r="L108" s="1">
        <v>0</v>
      </c>
    </row>
    <row r="109" spans="1:12" x14ac:dyDescent="0.3">
      <c r="A109" s="2">
        <v>45236</v>
      </c>
      <c r="B109" s="2">
        <v>45240</v>
      </c>
      <c r="C109" s="1" t="s">
        <v>15</v>
      </c>
      <c r="D109" s="1" t="s">
        <v>40</v>
      </c>
      <c r="E109" s="1" t="s">
        <v>29</v>
      </c>
      <c r="F109" s="1" t="s">
        <v>17</v>
      </c>
      <c r="G109" s="1" t="s">
        <v>51</v>
      </c>
      <c r="H109" s="1" t="s">
        <v>59</v>
      </c>
      <c r="I109" s="1" t="s">
        <v>46</v>
      </c>
      <c r="J109" s="1">
        <v>7</v>
      </c>
      <c r="K109" s="1">
        <v>978.54</v>
      </c>
      <c r="L109" s="1">
        <v>15</v>
      </c>
    </row>
    <row r="110" spans="1:12" x14ac:dyDescent="0.3">
      <c r="A110" s="2">
        <v>45285</v>
      </c>
      <c r="B110" s="2">
        <v>45293</v>
      </c>
      <c r="C110" s="1" t="s">
        <v>39</v>
      </c>
      <c r="D110" s="1" t="s">
        <v>53</v>
      </c>
      <c r="E110" s="1" t="s">
        <v>16</v>
      </c>
      <c r="F110" s="1" t="s">
        <v>41</v>
      </c>
      <c r="G110" s="1" t="s">
        <v>56</v>
      </c>
      <c r="H110" s="1" t="s">
        <v>57</v>
      </c>
      <c r="I110" s="1" t="s">
        <v>46</v>
      </c>
      <c r="J110" s="1">
        <v>6</v>
      </c>
      <c r="K110" s="1">
        <v>3554.77</v>
      </c>
      <c r="L110" s="1">
        <v>20</v>
      </c>
    </row>
    <row r="111" spans="1:12" x14ac:dyDescent="0.3">
      <c r="A111" s="2">
        <v>45128</v>
      </c>
      <c r="B111" s="2">
        <v>45129</v>
      </c>
      <c r="C111" s="1" t="s">
        <v>21</v>
      </c>
      <c r="D111" s="1" t="s">
        <v>15</v>
      </c>
      <c r="E111" s="1" t="s">
        <v>16</v>
      </c>
      <c r="F111" s="1" t="s">
        <v>43</v>
      </c>
      <c r="G111" s="1" t="s">
        <v>30</v>
      </c>
      <c r="H111" s="1" t="s">
        <v>47</v>
      </c>
      <c r="I111" s="1" t="s">
        <v>32</v>
      </c>
      <c r="J111" s="1">
        <v>2</v>
      </c>
      <c r="K111" s="1">
        <v>2303.71</v>
      </c>
      <c r="L111" s="1">
        <v>20</v>
      </c>
    </row>
    <row r="112" spans="1:12" x14ac:dyDescent="0.3">
      <c r="A112" s="2">
        <v>44964</v>
      </c>
      <c r="B112" s="2">
        <v>44970</v>
      </c>
      <c r="C112" s="1" t="s">
        <v>15</v>
      </c>
      <c r="D112" s="1" t="s">
        <v>37</v>
      </c>
      <c r="E112" s="1" t="s">
        <v>16</v>
      </c>
      <c r="F112" s="1" t="s">
        <v>34</v>
      </c>
      <c r="G112" s="1" t="s">
        <v>30</v>
      </c>
      <c r="H112" s="1" t="s">
        <v>31</v>
      </c>
      <c r="I112" s="1" t="s">
        <v>32</v>
      </c>
      <c r="J112" s="1">
        <v>8</v>
      </c>
      <c r="K112" s="1">
        <v>3339.68</v>
      </c>
      <c r="L112" s="1">
        <v>0</v>
      </c>
    </row>
    <row r="113" spans="1:12" x14ac:dyDescent="0.3">
      <c r="A113" s="2">
        <v>45186</v>
      </c>
      <c r="B113" s="2">
        <v>45187</v>
      </c>
      <c r="C113" s="1" t="s">
        <v>39</v>
      </c>
      <c r="D113" s="1" t="s">
        <v>22</v>
      </c>
      <c r="E113" s="1" t="s">
        <v>23</v>
      </c>
      <c r="F113" s="1" t="s">
        <v>41</v>
      </c>
      <c r="G113" s="1" t="s">
        <v>51</v>
      </c>
      <c r="H113" s="1" t="s">
        <v>52</v>
      </c>
      <c r="I113" s="1" t="s">
        <v>46</v>
      </c>
      <c r="J113" s="1">
        <v>7</v>
      </c>
      <c r="K113" s="1">
        <v>2894.46</v>
      </c>
      <c r="L113" s="1">
        <v>5</v>
      </c>
    </row>
    <row r="114" spans="1:12" x14ac:dyDescent="0.3">
      <c r="A114" s="2">
        <v>45114</v>
      </c>
      <c r="B114" s="2">
        <v>45115</v>
      </c>
      <c r="C114" s="1" t="s">
        <v>15</v>
      </c>
      <c r="D114" s="1" t="s">
        <v>15</v>
      </c>
      <c r="E114" s="1" t="s">
        <v>23</v>
      </c>
      <c r="F114" s="1" t="s">
        <v>34</v>
      </c>
      <c r="G114" s="1" t="s">
        <v>56</v>
      </c>
      <c r="H114" s="1" t="s">
        <v>61</v>
      </c>
      <c r="I114" s="1" t="s">
        <v>32</v>
      </c>
      <c r="J114" s="1">
        <v>5</v>
      </c>
      <c r="K114" s="1">
        <v>2832.28</v>
      </c>
      <c r="L114" s="1">
        <v>0</v>
      </c>
    </row>
    <row r="115" spans="1:12" x14ac:dyDescent="0.3">
      <c r="A115" s="2">
        <v>44983</v>
      </c>
      <c r="B115" s="2">
        <v>44991</v>
      </c>
      <c r="C115" s="1" t="s">
        <v>15</v>
      </c>
      <c r="D115" s="1" t="s">
        <v>37</v>
      </c>
      <c r="E115" s="1" t="s">
        <v>23</v>
      </c>
      <c r="F115" s="1" t="s">
        <v>41</v>
      </c>
      <c r="G115" s="1" t="s">
        <v>48</v>
      </c>
      <c r="H115" s="1" t="s">
        <v>62</v>
      </c>
      <c r="I115" s="1" t="s">
        <v>44</v>
      </c>
      <c r="J115" s="1">
        <v>5</v>
      </c>
      <c r="K115" s="1">
        <v>1398.73</v>
      </c>
      <c r="L115" s="1">
        <v>0</v>
      </c>
    </row>
    <row r="116" spans="1:12" x14ac:dyDescent="0.3">
      <c r="A116" s="2">
        <v>44946</v>
      </c>
      <c r="B116" s="2">
        <v>44950</v>
      </c>
      <c r="C116" s="1" t="s">
        <v>21</v>
      </c>
      <c r="D116" s="1" t="s">
        <v>15</v>
      </c>
      <c r="E116" s="1" t="s">
        <v>23</v>
      </c>
      <c r="F116" s="1" t="s">
        <v>43</v>
      </c>
      <c r="G116" s="1" t="s">
        <v>25</v>
      </c>
      <c r="H116" s="1" t="s">
        <v>68</v>
      </c>
      <c r="I116" s="1" t="s">
        <v>46</v>
      </c>
      <c r="J116" s="1">
        <v>7</v>
      </c>
      <c r="K116" s="1">
        <v>1050.5</v>
      </c>
      <c r="L116" s="1">
        <v>20</v>
      </c>
    </row>
    <row r="117" spans="1:12" x14ac:dyDescent="0.3">
      <c r="A117" s="2">
        <v>45199</v>
      </c>
      <c r="B117" s="2">
        <v>45200</v>
      </c>
      <c r="C117" s="1" t="s">
        <v>15</v>
      </c>
      <c r="D117" s="1" t="s">
        <v>40</v>
      </c>
      <c r="E117" s="1" t="s">
        <v>23</v>
      </c>
      <c r="F117" s="1" t="s">
        <v>17</v>
      </c>
      <c r="G117" s="1" t="s">
        <v>25</v>
      </c>
      <c r="H117" s="1" t="s">
        <v>60</v>
      </c>
      <c r="I117" s="1" t="s">
        <v>32</v>
      </c>
      <c r="J117" s="1">
        <v>9</v>
      </c>
      <c r="K117" s="1">
        <v>961.91</v>
      </c>
      <c r="L117" s="1">
        <v>15</v>
      </c>
    </row>
    <row r="118" spans="1:12" x14ac:dyDescent="0.3">
      <c r="A118" s="2">
        <v>45045</v>
      </c>
      <c r="B118" s="2">
        <v>45052</v>
      </c>
      <c r="C118" s="1" t="s">
        <v>15</v>
      </c>
      <c r="D118" s="1" t="s">
        <v>22</v>
      </c>
      <c r="E118" s="1" t="s">
        <v>29</v>
      </c>
      <c r="F118" s="1" t="s">
        <v>43</v>
      </c>
      <c r="G118" s="1" t="s">
        <v>51</v>
      </c>
      <c r="H118" s="1" t="s">
        <v>63</v>
      </c>
      <c r="I118" s="1" t="s">
        <v>46</v>
      </c>
      <c r="J118" s="1">
        <v>9</v>
      </c>
      <c r="K118" s="1">
        <v>3450.19</v>
      </c>
      <c r="L118" s="1">
        <v>0</v>
      </c>
    </row>
    <row r="119" spans="1:12" x14ac:dyDescent="0.3">
      <c r="A119" s="2">
        <v>44997</v>
      </c>
      <c r="B119" s="2">
        <v>45002</v>
      </c>
      <c r="C119" s="1" t="s">
        <v>21</v>
      </c>
      <c r="D119" s="1" t="s">
        <v>53</v>
      </c>
      <c r="E119" s="1" t="s">
        <v>23</v>
      </c>
      <c r="F119" s="1" t="s">
        <v>17</v>
      </c>
      <c r="G119" s="1" t="s">
        <v>30</v>
      </c>
      <c r="H119" s="1" t="s">
        <v>47</v>
      </c>
      <c r="I119" s="1" t="s">
        <v>27</v>
      </c>
      <c r="J119" s="1">
        <v>9</v>
      </c>
      <c r="K119" s="1">
        <v>3308.64</v>
      </c>
      <c r="L119" s="1">
        <v>5</v>
      </c>
    </row>
    <row r="120" spans="1:12" x14ac:dyDescent="0.3">
      <c r="A120" s="2">
        <v>44930</v>
      </c>
      <c r="B120" s="2">
        <v>44935</v>
      </c>
      <c r="C120" s="1" t="s">
        <v>36</v>
      </c>
      <c r="D120" s="1" t="s">
        <v>53</v>
      </c>
      <c r="E120" s="1" t="s">
        <v>23</v>
      </c>
      <c r="F120" s="1" t="s">
        <v>17</v>
      </c>
      <c r="G120" s="1" t="s">
        <v>30</v>
      </c>
      <c r="H120" s="1" t="s">
        <v>38</v>
      </c>
      <c r="I120" s="1" t="s">
        <v>20</v>
      </c>
      <c r="J120" s="1">
        <v>6</v>
      </c>
      <c r="K120" s="1">
        <v>1846.21</v>
      </c>
      <c r="L120" s="1">
        <v>10</v>
      </c>
    </row>
    <row r="121" spans="1:12" x14ac:dyDescent="0.3">
      <c r="A121" s="2">
        <v>45147</v>
      </c>
      <c r="B121" s="2">
        <v>45148</v>
      </c>
      <c r="C121" s="1" t="s">
        <v>45</v>
      </c>
      <c r="D121" s="1" t="s">
        <v>37</v>
      </c>
      <c r="E121" s="1" t="s">
        <v>29</v>
      </c>
      <c r="F121" s="1" t="s">
        <v>34</v>
      </c>
      <c r="G121" s="1" t="s">
        <v>25</v>
      </c>
      <c r="H121" s="1" t="s">
        <v>60</v>
      </c>
      <c r="I121" s="1" t="s">
        <v>46</v>
      </c>
      <c r="J121" s="1">
        <v>6</v>
      </c>
      <c r="K121" s="1">
        <v>659.76</v>
      </c>
      <c r="L121" s="1">
        <v>0</v>
      </c>
    </row>
    <row r="122" spans="1:12" x14ac:dyDescent="0.3">
      <c r="A122" s="2">
        <v>44940</v>
      </c>
      <c r="B122" s="2">
        <v>44946</v>
      </c>
      <c r="C122" s="1" t="s">
        <v>33</v>
      </c>
      <c r="D122" s="1" t="s">
        <v>28</v>
      </c>
      <c r="E122" s="1" t="s">
        <v>23</v>
      </c>
      <c r="F122" s="1" t="s">
        <v>43</v>
      </c>
      <c r="G122" s="1" t="s">
        <v>51</v>
      </c>
      <c r="H122" s="1" t="s">
        <v>55</v>
      </c>
      <c r="I122" s="1" t="s">
        <v>20</v>
      </c>
      <c r="J122" s="1">
        <v>3</v>
      </c>
      <c r="K122" s="1">
        <v>1621.67</v>
      </c>
      <c r="L122" s="1">
        <v>0</v>
      </c>
    </row>
    <row r="123" spans="1:12" x14ac:dyDescent="0.3">
      <c r="A123" s="2">
        <v>44929</v>
      </c>
      <c r="B123" s="2">
        <v>44938</v>
      </c>
      <c r="C123" s="1" t="s">
        <v>14</v>
      </c>
      <c r="D123" s="1" t="s">
        <v>40</v>
      </c>
      <c r="E123" s="1" t="s">
        <v>16</v>
      </c>
      <c r="F123" s="1" t="s">
        <v>41</v>
      </c>
      <c r="G123" s="1" t="s">
        <v>56</v>
      </c>
      <c r="H123" s="1" t="s">
        <v>61</v>
      </c>
      <c r="I123" s="1" t="s">
        <v>32</v>
      </c>
      <c r="J123" s="1">
        <v>1</v>
      </c>
      <c r="K123" s="1">
        <v>2534.4699999999998</v>
      </c>
      <c r="L123" s="1">
        <v>5</v>
      </c>
    </row>
    <row r="124" spans="1:12" x14ac:dyDescent="0.3">
      <c r="A124" s="2">
        <v>45142</v>
      </c>
      <c r="B124" s="2">
        <v>45151</v>
      </c>
      <c r="C124" s="1" t="s">
        <v>33</v>
      </c>
      <c r="D124" s="1" t="s">
        <v>37</v>
      </c>
      <c r="E124" s="1" t="s">
        <v>23</v>
      </c>
      <c r="F124" s="1" t="s">
        <v>43</v>
      </c>
      <c r="G124" s="1" t="s">
        <v>30</v>
      </c>
      <c r="H124" s="1" t="s">
        <v>31</v>
      </c>
      <c r="I124" s="1" t="s">
        <v>20</v>
      </c>
      <c r="J124" s="1">
        <v>7</v>
      </c>
      <c r="K124" s="1">
        <v>1899.45</v>
      </c>
      <c r="L124" s="1">
        <v>15</v>
      </c>
    </row>
    <row r="125" spans="1:12" x14ac:dyDescent="0.3">
      <c r="A125" s="2">
        <v>45155</v>
      </c>
      <c r="B125" s="2">
        <v>45163</v>
      </c>
      <c r="C125" s="1" t="s">
        <v>33</v>
      </c>
      <c r="D125" s="1" t="s">
        <v>28</v>
      </c>
      <c r="E125" s="1" t="s">
        <v>23</v>
      </c>
      <c r="F125" s="1" t="s">
        <v>34</v>
      </c>
      <c r="G125" s="1" t="s">
        <v>56</v>
      </c>
      <c r="H125" s="1" t="s">
        <v>57</v>
      </c>
      <c r="I125" s="1" t="s">
        <v>46</v>
      </c>
      <c r="J125" s="1">
        <v>4</v>
      </c>
      <c r="K125" s="1">
        <v>3153.73</v>
      </c>
      <c r="L125" s="1">
        <v>0</v>
      </c>
    </row>
    <row r="126" spans="1:12" x14ac:dyDescent="0.3">
      <c r="A126" s="2">
        <v>45262</v>
      </c>
      <c r="B126" s="2">
        <v>45267</v>
      </c>
      <c r="C126" s="1" t="s">
        <v>39</v>
      </c>
      <c r="D126" s="1" t="s">
        <v>15</v>
      </c>
      <c r="E126" s="1" t="s">
        <v>16</v>
      </c>
      <c r="F126" s="1" t="s">
        <v>17</v>
      </c>
      <c r="G126" s="1" t="s">
        <v>30</v>
      </c>
      <c r="H126" s="1" t="s">
        <v>47</v>
      </c>
      <c r="I126" s="1" t="s">
        <v>27</v>
      </c>
      <c r="J126" s="1">
        <v>1</v>
      </c>
      <c r="K126" s="1">
        <v>3990.85</v>
      </c>
      <c r="L126" s="1">
        <v>0</v>
      </c>
    </row>
    <row r="127" spans="1:12" x14ac:dyDescent="0.3">
      <c r="A127" s="2">
        <v>44981</v>
      </c>
      <c r="B127" s="2">
        <v>44990</v>
      </c>
      <c r="C127" s="1" t="s">
        <v>39</v>
      </c>
      <c r="D127" s="1" t="s">
        <v>15</v>
      </c>
      <c r="E127" s="1" t="s">
        <v>16</v>
      </c>
      <c r="F127" s="1" t="s">
        <v>24</v>
      </c>
      <c r="G127" s="1" t="s">
        <v>18</v>
      </c>
      <c r="H127" s="1" t="s">
        <v>42</v>
      </c>
      <c r="I127" s="1" t="s">
        <v>46</v>
      </c>
      <c r="J127" s="1">
        <v>6</v>
      </c>
      <c r="K127" s="1">
        <v>1919.66</v>
      </c>
      <c r="L127" s="1">
        <v>5</v>
      </c>
    </row>
    <row r="128" spans="1:12" x14ac:dyDescent="0.3">
      <c r="A128" s="2">
        <v>45180</v>
      </c>
      <c r="B128" s="2">
        <v>45181</v>
      </c>
      <c r="C128" s="1" t="s">
        <v>45</v>
      </c>
      <c r="D128" s="1" t="s">
        <v>22</v>
      </c>
      <c r="E128" s="1" t="s">
        <v>16</v>
      </c>
      <c r="F128" s="1" t="s">
        <v>24</v>
      </c>
      <c r="G128" s="1" t="s">
        <v>30</v>
      </c>
      <c r="H128" s="1" t="s">
        <v>38</v>
      </c>
      <c r="I128" s="1" t="s">
        <v>32</v>
      </c>
      <c r="J128" s="1">
        <v>6</v>
      </c>
      <c r="K128" s="1">
        <v>1809.29</v>
      </c>
      <c r="L128" s="1">
        <v>0</v>
      </c>
    </row>
    <row r="129" spans="1:12" x14ac:dyDescent="0.3">
      <c r="A129" s="2">
        <v>45088</v>
      </c>
      <c r="B129" s="2">
        <v>45093</v>
      </c>
      <c r="C129" s="1" t="s">
        <v>21</v>
      </c>
      <c r="D129" s="1" t="s">
        <v>28</v>
      </c>
      <c r="E129" s="1" t="s">
        <v>16</v>
      </c>
      <c r="F129" s="1" t="s">
        <v>34</v>
      </c>
      <c r="G129" s="1" t="s">
        <v>51</v>
      </c>
      <c r="H129" s="1" t="s">
        <v>52</v>
      </c>
      <c r="I129" s="1" t="s">
        <v>20</v>
      </c>
      <c r="J129" s="1">
        <v>1</v>
      </c>
      <c r="K129" s="1">
        <v>912.67</v>
      </c>
      <c r="L129" s="1">
        <v>0</v>
      </c>
    </row>
    <row r="130" spans="1:12" x14ac:dyDescent="0.3">
      <c r="A130" s="2">
        <v>45084</v>
      </c>
      <c r="B130" s="2">
        <v>45087</v>
      </c>
      <c r="C130" s="1" t="s">
        <v>45</v>
      </c>
      <c r="D130" s="1" t="s">
        <v>22</v>
      </c>
      <c r="E130" s="1" t="s">
        <v>16</v>
      </c>
      <c r="F130" s="1" t="s">
        <v>41</v>
      </c>
      <c r="G130" s="1" t="s">
        <v>51</v>
      </c>
      <c r="H130" s="1" t="s">
        <v>52</v>
      </c>
      <c r="I130" s="1" t="s">
        <v>44</v>
      </c>
      <c r="J130" s="1">
        <v>2</v>
      </c>
      <c r="K130" s="1">
        <v>402.91</v>
      </c>
      <c r="L130" s="1">
        <v>10</v>
      </c>
    </row>
    <row r="131" spans="1:12" x14ac:dyDescent="0.3">
      <c r="A131" s="2">
        <v>45008</v>
      </c>
      <c r="B131" s="2">
        <v>45015</v>
      </c>
      <c r="C131" s="1" t="s">
        <v>15</v>
      </c>
      <c r="D131" s="1" t="s">
        <v>53</v>
      </c>
      <c r="E131" s="1" t="s">
        <v>29</v>
      </c>
      <c r="F131" s="1" t="s">
        <v>41</v>
      </c>
      <c r="G131" s="1" t="s">
        <v>56</v>
      </c>
      <c r="H131" s="1" t="s">
        <v>58</v>
      </c>
      <c r="I131" s="1" t="s">
        <v>46</v>
      </c>
      <c r="J131" s="1">
        <v>4</v>
      </c>
      <c r="K131" s="1">
        <v>3565.41</v>
      </c>
      <c r="L131" s="1">
        <v>20</v>
      </c>
    </row>
    <row r="132" spans="1:12" x14ac:dyDescent="0.3">
      <c r="A132" s="2">
        <v>45085</v>
      </c>
      <c r="B132" s="2">
        <v>45092</v>
      </c>
      <c r="C132" s="1" t="s">
        <v>36</v>
      </c>
      <c r="D132" s="1" t="s">
        <v>28</v>
      </c>
      <c r="E132" s="1" t="s">
        <v>16</v>
      </c>
      <c r="F132" s="1" t="s">
        <v>24</v>
      </c>
      <c r="G132" s="1" t="s">
        <v>30</v>
      </c>
      <c r="H132" s="1" t="s">
        <v>38</v>
      </c>
      <c r="I132" s="1" t="s">
        <v>27</v>
      </c>
      <c r="J132" s="1">
        <v>2</v>
      </c>
      <c r="K132" s="1">
        <v>1766.42</v>
      </c>
      <c r="L132" s="1">
        <v>10</v>
      </c>
    </row>
    <row r="133" spans="1:12" x14ac:dyDescent="0.3">
      <c r="A133" s="2">
        <v>45114</v>
      </c>
      <c r="B133" s="2">
        <v>45123</v>
      </c>
      <c r="C133" s="1" t="s">
        <v>15</v>
      </c>
      <c r="D133" s="1" t="s">
        <v>37</v>
      </c>
      <c r="E133" s="1" t="s">
        <v>16</v>
      </c>
      <c r="F133" s="1" t="s">
        <v>41</v>
      </c>
      <c r="G133" s="1" t="s">
        <v>48</v>
      </c>
      <c r="H133" s="1" t="s">
        <v>50</v>
      </c>
      <c r="I133" s="1" t="s">
        <v>32</v>
      </c>
      <c r="J133" s="1">
        <v>1</v>
      </c>
      <c r="K133" s="1">
        <v>2063.0500000000002</v>
      </c>
      <c r="L133" s="1">
        <v>0</v>
      </c>
    </row>
    <row r="134" spans="1:12" x14ac:dyDescent="0.3">
      <c r="A134" s="2">
        <v>44986</v>
      </c>
      <c r="B134" s="2">
        <v>44993</v>
      </c>
      <c r="C134" s="1" t="s">
        <v>36</v>
      </c>
      <c r="D134" s="1" t="s">
        <v>53</v>
      </c>
      <c r="E134" s="1" t="s">
        <v>29</v>
      </c>
      <c r="F134" s="1" t="s">
        <v>24</v>
      </c>
      <c r="G134" s="1" t="s">
        <v>56</v>
      </c>
      <c r="H134" s="1" t="s">
        <v>57</v>
      </c>
      <c r="I134" s="1" t="s">
        <v>20</v>
      </c>
      <c r="J134" s="1">
        <v>7</v>
      </c>
      <c r="K134" s="1">
        <v>3680.23</v>
      </c>
      <c r="L134" s="1">
        <v>5</v>
      </c>
    </row>
    <row r="135" spans="1:12" x14ac:dyDescent="0.3">
      <c r="A135" s="2">
        <v>45231</v>
      </c>
      <c r="B135" s="2">
        <v>45234</v>
      </c>
      <c r="C135" s="1" t="s">
        <v>39</v>
      </c>
      <c r="D135" s="1" t="s">
        <v>53</v>
      </c>
      <c r="E135" s="1" t="s">
        <v>29</v>
      </c>
      <c r="F135" s="1" t="s">
        <v>17</v>
      </c>
      <c r="G135" s="1" t="s">
        <v>18</v>
      </c>
      <c r="H135" s="1" t="s">
        <v>54</v>
      </c>
      <c r="I135" s="1" t="s">
        <v>32</v>
      </c>
      <c r="J135" s="1">
        <v>8</v>
      </c>
      <c r="K135" s="1">
        <v>3138.72</v>
      </c>
      <c r="L135" s="1">
        <v>20</v>
      </c>
    </row>
    <row r="136" spans="1:12" x14ac:dyDescent="0.3">
      <c r="A136" s="2">
        <v>45245</v>
      </c>
      <c r="B136" s="2">
        <v>45246</v>
      </c>
      <c r="C136" s="1" t="s">
        <v>36</v>
      </c>
      <c r="D136" s="1" t="s">
        <v>37</v>
      </c>
      <c r="E136" s="1" t="s">
        <v>23</v>
      </c>
      <c r="F136" s="1" t="s">
        <v>34</v>
      </c>
      <c r="G136" s="1" t="s">
        <v>56</v>
      </c>
      <c r="H136" s="1" t="s">
        <v>58</v>
      </c>
      <c r="I136" s="1" t="s">
        <v>46</v>
      </c>
      <c r="J136" s="1">
        <v>6</v>
      </c>
      <c r="K136" s="1">
        <v>652.42999999999995</v>
      </c>
      <c r="L136" s="1">
        <v>10</v>
      </c>
    </row>
    <row r="137" spans="1:12" x14ac:dyDescent="0.3">
      <c r="A137" s="2">
        <v>45137</v>
      </c>
      <c r="B137" s="2">
        <v>45145</v>
      </c>
      <c r="C137" s="1" t="s">
        <v>39</v>
      </c>
      <c r="D137" s="1" t="s">
        <v>40</v>
      </c>
      <c r="E137" s="1" t="s">
        <v>29</v>
      </c>
      <c r="F137" s="1" t="s">
        <v>41</v>
      </c>
      <c r="G137" s="1" t="s">
        <v>56</v>
      </c>
      <c r="H137" s="1" t="s">
        <v>61</v>
      </c>
      <c r="I137" s="1" t="s">
        <v>32</v>
      </c>
      <c r="J137" s="1">
        <v>4</v>
      </c>
      <c r="K137" s="1">
        <v>2326.87</v>
      </c>
      <c r="L137" s="1">
        <v>15</v>
      </c>
    </row>
    <row r="138" spans="1:12" x14ac:dyDescent="0.3">
      <c r="A138" s="2">
        <v>45078</v>
      </c>
      <c r="B138" s="2">
        <v>45081</v>
      </c>
      <c r="C138" s="1" t="s">
        <v>21</v>
      </c>
      <c r="D138" s="1" t="s">
        <v>53</v>
      </c>
      <c r="E138" s="1" t="s">
        <v>23</v>
      </c>
      <c r="F138" s="1" t="s">
        <v>24</v>
      </c>
      <c r="G138" s="1" t="s">
        <v>30</v>
      </c>
      <c r="H138" s="1" t="s">
        <v>47</v>
      </c>
      <c r="I138" s="1" t="s">
        <v>20</v>
      </c>
      <c r="J138" s="1">
        <v>6</v>
      </c>
      <c r="K138" s="1">
        <v>1852.67</v>
      </c>
      <c r="L138" s="1">
        <v>5</v>
      </c>
    </row>
    <row r="139" spans="1:12" x14ac:dyDescent="0.3">
      <c r="A139" s="2">
        <v>45035</v>
      </c>
      <c r="B139" s="2">
        <v>45043</v>
      </c>
      <c r="C139" s="1" t="s">
        <v>33</v>
      </c>
      <c r="D139" s="1" t="s">
        <v>28</v>
      </c>
      <c r="E139" s="1" t="s">
        <v>29</v>
      </c>
      <c r="F139" s="1" t="s">
        <v>43</v>
      </c>
      <c r="G139" s="1" t="s">
        <v>18</v>
      </c>
      <c r="H139" s="1" t="s">
        <v>19</v>
      </c>
      <c r="I139" s="1" t="s">
        <v>46</v>
      </c>
      <c r="J139" s="1">
        <v>3</v>
      </c>
      <c r="K139" s="1">
        <v>3219.26</v>
      </c>
      <c r="L139" s="1">
        <v>10</v>
      </c>
    </row>
    <row r="140" spans="1:12" x14ac:dyDescent="0.3">
      <c r="A140" s="2">
        <v>45002</v>
      </c>
      <c r="B140" s="2">
        <v>45010</v>
      </c>
      <c r="C140" s="1" t="s">
        <v>21</v>
      </c>
      <c r="D140" s="1" t="s">
        <v>22</v>
      </c>
      <c r="E140" s="1" t="s">
        <v>29</v>
      </c>
      <c r="F140" s="1" t="s">
        <v>41</v>
      </c>
      <c r="G140" s="1" t="s">
        <v>56</v>
      </c>
      <c r="H140" s="1" t="s">
        <v>61</v>
      </c>
      <c r="I140" s="1" t="s">
        <v>32</v>
      </c>
      <c r="J140" s="1">
        <v>8</v>
      </c>
      <c r="K140" s="1">
        <v>2938.3</v>
      </c>
      <c r="L140" s="1">
        <v>15</v>
      </c>
    </row>
    <row r="141" spans="1:12" x14ac:dyDescent="0.3">
      <c r="A141" s="2">
        <v>44956</v>
      </c>
      <c r="B141" s="2">
        <v>44961</v>
      </c>
      <c r="C141" s="1" t="s">
        <v>21</v>
      </c>
      <c r="D141" s="1" t="s">
        <v>53</v>
      </c>
      <c r="E141" s="1" t="s">
        <v>23</v>
      </c>
      <c r="F141" s="1" t="s">
        <v>17</v>
      </c>
      <c r="G141" s="1" t="s">
        <v>48</v>
      </c>
      <c r="H141" s="1" t="s">
        <v>50</v>
      </c>
      <c r="I141" s="1" t="s">
        <v>27</v>
      </c>
      <c r="J141" s="1">
        <v>2</v>
      </c>
      <c r="K141" s="1">
        <v>2808.06</v>
      </c>
      <c r="L141" s="1">
        <v>0</v>
      </c>
    </row>
    <row r="142" spans="1:12" x14ac:dyDescent="0.3">
      <c r="A142" s="2">
        <v>45240</v>
      </c>
      <c r="B142" s="2">
        <v>45241</v>
      </c>
      <c r="C142" s="1" t="s">
        <v>33</v>
      </c>
      <c r="D142" s="1" t="s">
        <v>28</v>
      </c>
      <c r="E142" s="1" t="s">
        <v>29</v>
      </c>
      <c r="F142" s="1" t="s">
        <v>17</v>
      </c>
      <c r="G142" s="1" t="s">
        <v>48</v>
      </c>
      <c r="H142" s="1" t="s">
        <v>62</v>
      </c>
      <c r="I142" s="1" t="s">
        <v>46</v>
      </c>
      <c r="J142" s="1">
        <v>5</v>
      </c>
      <c r="K142" s="1">
        <v>1461.1</v>
      </c>
      <c r="L142" s="1">
        <v>15</v>
      </c>
    </row>
    <row r="143" spans="1:12" x14ac:dyDescent="0.3">
      <c r="A143" s="2">
        <v>45043</v>
      </c>
      <c r="B143" s="2">
        <v>45050</v>
      </c>
      <c r="C143" s="1" t="s">
        <v>36</v>
      </c>
      <c r="D143" s="1" t="s">
        <v>15</v>
      </c>
      <c r="E143" s="1" t="s">
        <v>23</v>
      </c>
      <c r="F143" s="1" t="s">
        <v>43</v>
      </c>
      <c r="G143" s="1" t="s">
        <v>51</v>
      </c>
      <c r="H143" s="1" t="s">
        <v>55</v>
      </c>
      <c r="I143" s="1" t="s">
        <v>46</v>
      </c>
      <c r="J143" s="1">
        <v>1</v>
      </c>
      <c r="K143" s="1">
        <v>3249.11</v>
      </c>
      <c r="L143" s="1">
        <v>10</v>
      </c>
    </row>
    <row r="144" spans="1:12" x14ac:dyDescent="0.3">
      <c r="A144" s="2">
        <v>45118</v>
      </c>
      <c r="B144" s="2">
        <v>45126</v>
      </c>
      <c r="C144" s="1" t="s">
        <v>39</v>
      </c>
      <c r="D144" s="1" t="s">
        <v>22</v>
      </c>
      <c r="E144" s="1" t="s">
        <v>16</v>
      </c>
      <c r="F144" s="1" t="s">
        <v>41</v>
      </c>
      <c r="G144" s="1" t="s">
        <v>18</v>
      </c>
      <c r="H144" s="1" t="s">
        <v>42</v>
      </c>
      <c r="I144" s="1" t="s">
        <v>44</v>
      </c>
      <c r="J144" s="1">
        <v>2</v>
      </c>
      <c r="K144" s="1">
        <v>764.56</v>
      </c>
      <c r="L144" s="1">
        <v>0</v>
      </c>
    </row>
    <row r="145" spans="1:12" x14ac:dyDescent="0.3">
      <c r="A145" s="2">
        <v>44945</v>
      </c>
      <c r="B145" s="2">
        <v>44954</v>
      </c>
      <c r="C145" s="1" t="s">
        <v>15</v>
      </c>
      <c r="D145" s="1" t="s">
        <v>28</v>
      </c>
      <c r="E145" s="1" t="s">
        <v>29</v>
      </c>
      <c r="F145" s="1" t="s">
        <v>24</v>
      </c>
      <c r="G145" s="1" t="s">
        <v>51</v>
      </c>
      <c r="H145" s="1" t="s">
        <v>55</v>
      </c>
      <c r="I145" s="1" t="s">
        <v>20</v>
      </c>
      <c r="J145" s="1">
        <v>4</v>
      </c>
      <c r="K145" s="1">
        <v>1442.15</v>
      </c>
      <c r="L145" s="1">
        <v>15</v>
      </c>
    </row>
    <row r="146" spans="1:12" x14ac:dyDescent="0.3">
      <c r="A146" s="2">
        <v>45099</v>
      </c>
      <c r="B146" s="2">
        <v>45106</v>
      </c>
      <c r="C146" s="1" t="s">
        <v>39</v>
      </c>
      <c r="D146" s="1" t="s">
        <v>37</v>
      </c>
      <c r="E146" s="1" t="s">
        <v>23</v>
      </c>
      <c r="F146" s="1" t="s">
        <v>17</v>
      </c>
      <c r="G146" s="1" t="s">
        <v>56</v>
      </c>
      <c r="H146" s="1" t="s">
        <v>58</v>
      </c>
      <c r="I146" s="1" t="s">
        <v>44</v>
      </c>
      <c r="J146" s="1">
        <v>6</v>
      </c>
      <c r="K146" s="1">
        <v>445.71</v>
      </c>
      <c r="L146" s="1">
        <v>15</v>
      </c>
    </row>
    <row r="147" spans="1:12" x14ac:dyDescent="0.3">
      <c r="A147" s="2">
        <v>45154</v>
      </c>
      <c r="B147" s="2">
        <v>45161</v>
      </c>
      <c r="C147" s="1" t="s">
        <v>15</v>
      </c>
      <c r="D147" s="1" t="s">
        <v>22</v>
      </c>
      <c r="E147" s="1" t="s">
        <v>29</v>
      </c>
      <c r="F147" s="1" t="s">
        <v>24</v>
      </c>
      <c r="G147" s="1" t="s">
        <v>18</v>
      </c>
      <c r="H147" s="1" t="s">
        <v>19</v>
      </c>
      <c r="I147" s="1" t="s">
        <v>32</v>
      </c>
      <c r="J147" s="1">
        <v>8</v>
      </c>
      <c r="K147" s="1">
        <v>1054.73</v>
      </c>
      <c r="L147" s="1">
        <v>0</v>
      </c>
    </row>
    <row r="148" spans="1:12" x14ac:dyDescent="0.3">
      <c r="A148" s="2">
        <v>45276</v>
      </c>
      <c r="B148" s="2">
        <v>45277</v>
      </c>
      <c r="C148" s="1" t="s">
        <v>21</v>
      </c>
      <c r="D148" s="1" t="s">
        <v>40</v>
      </c>
      <c r="E148" s="1" t="s">
        <v>23</v>
      </c>
      <c r="F148" s="1" t="s">
        <v>17</v>
      </c>
      <c r="G148" s="1" t="s">
        <v>48</v>
      </c>
      <c r="H148" s="1" t="s">
        <v>62</v>
      </c>
      <c r="I148" s="1" t="s">
        <v>27</v>
      </c>
      <c r="J148" s="1">
        <v>8</v>
      </c>
      <c r="K148" s="1">
        <v>3346.08</v>
      </c>
      <c r="L148" s="1">
        <v>15</v>
      </c>
    </row>
    <row r="149" spans="1:12" x14ac:dyDescent="0.3">
      <c r="A149" s="2">
        <v>45109</v>
      </c>
      <c r="B149" s="2">
        <v>45113</v>
      </c>
      <c r="C149" s="1" t="s">
        <v>33</v>
      </c>
      <c r="D149" s="1" t="s">
        <v>15</v>
      </c>
      <c r="E149" s="1" t="s">
        <v>23</v>
      </c>
      <c r="F149" s="1" t="s">
        <v>24</v>
      </c>
      <c r="G149" s="1" t="s">
        <v>48</v>
      </c>
      <c r="H149" s="1" t="s">
        <v>67</v>
      </c>
      <c r="I149" s="1" t="s">
        <v>44</v>
      </c>
      <c r="J149" s="1">
        <v>6</v>
      </c>
      <c r="K149" s="1">
        <v>3800.77</v>
      </c>
      <c r="L149" s="1">
        <v>0</v>
      </c>
    </row>
    <row r="150" spans="1:12" x14ac:dyDescent="0.3">
      <c r="A150" s="2">
        <v>45039</v>
      </c>
      <c r="B150" s="2">
        <v>45041</v>
      </c>
      <c r="C150" s="1" t="s">
        <v>21</v>
      </c>
      <c r="D150" s="1" t="s">
        <v>37</v>
      </c>
      <c r="E150" s="1" t="s">
        <v>16</v>
      </c>
      <c r="F150" s="1" t="s">
        <v>43</v>
      </c>
      <c r="G150" s="1" t="s">
        <v>30</v>
      </c>
      <c r="H150" s="1" t="s">
        <v>47</v>
      </c>
      <c r="I150" s="1" t="s">
        <v>46</v>
      </c>
      <c r="J150" s="1">
        <v>4</v>
      </c>
      <c r="K150" s="1">
        <v>1322.72</v>
      </c>
      <c r="L150" s="1">
        <v>5</v>
      </c>
    </row>
    <row r="151" spans="1:12" x14ac:dyDescent="0.3">
      <c r="A151" s="2">
        <v>45109</v>
      </c>
      <c r="B151" s="2">
        <v>45111</v>
      </c>
      <c r="C151" s="1" t="s">
        <v>45</v>
      </c>
      <c r="D151" s="1" t="s">
        <v>40</v>
      </c>
      <c r="E151" s="1" t="s">
        <v>16</v>
      </c>
      <c r="F151" s="1" t="s">
        <v>34</v>
      </c>
      <c r="G151" s="1" t="s">
        <v>18</v>
      </c>
      <c r="H151" s="1" t="s">
        <v>19</v>
      </c>
      <c r="I151" s="1" t="s">
        <v>32</v>
      </c>
      <c r="J151" s="1">
        <v>8</v>
      </c>
      <c r="K151" s="1">
        <v>1168.3900000000001</v>
      </c>
      <c r="L151" s="1">
        <v>10</v>
      </c>
    </row>
    <row r="152" spans="1:12" x14ac:dyDescent="0.3">
      <c r="A152" s="2">
        <v>45072</v>
      </c>
      <c r="B152" s="2">
        <v>45074</v>
      </c>
      <c r="C152" s="1" t="s">
        <v>36</v>
      </c>
      <c r="D152" s="1" t="s">
        <v>28</v>
      </c>
      <c r="E152" s="1" t="s">
        <v>23</v>
      </c>
      <c r="F152" s="1" t="s">
        <v>43</v>
      </c>
      <c r="G152" s="1" t="s">
        <v>56</v>
      </c>
      <c r="H152" s="1" t="s">
        <v>57</v>
      </c>
      <c r="I152" s="1" t="s">
        <v>32</v>
      </c>
      <c r="J152" s="1">
        <v>8</v>
      </c>
      <c r="K152" s="1">
        <v>1227.5899999999999</v>
      </c>
      <c r="L152" s="1">
        <v>5</v>
      </c>
    </row>
    <row r="153" spans="1:12" x14ac:dyDescent="0.3">
      <c r="A153" s="2">
        <v>45245</v>
      </c>
      <c r="B153" s="2">
        <v>45249</v>
      </c>
      <c r="C153" s="1" t="s">
        <v>15</v>
      </c>
      <c r="D153" s="1" t="s">
        <v>22</v>
      </c>
      <c r="E153" s="1" t="s">
        <v>29</v>
      </c>
      <c r="F153" s="1" t="s">
        <v>43</v>
      </c>
      <c r="G153" s="1" t="s">
        <v>51</v>
      </c>
      <c r="H153" s="1" t="s">
        <v>52</v>
      </c>
      <c r="I153" s="1" t="s">
        <v>44</v>
      </c>
      <c r="J153" s="1">
        <v>1</v>
      </c>
      <c r="K153" s="1">
        <v>1219.22</v>
      </c>
      <c r="L153" s="1">
        <v>20</v>
      </c>
    </row>
    <row r="154" spans="1:12" x14ac:dyDescent="0.3">
      <c r="A154" s="2">
        <v>45042</v>
      </c>
      <c r="B154" s="2">
        <v>45043</v>
      </c>
      <c r="C154" s="1" t="s">
        <v>39</v>
      </c>
      <c r="D154" s="1" t="s">
        <v>15</v>
      </c>
      <c r="E154" s="1" t="s">
        <v>23</v>
      </c>
      <c r="F154" s="1" t="s">
        <v>34</v>
      </c>
      <c r="G154" s="1" t="s">
        <v>51</v>
      </c>
      <c r="H154" s="1" t="s">
        <v>63</v>
      </c>
      <c r="I154" s="1" t="s">
        <v>44</v>
      </c>
      <c r="J154" s="1">
        <v>4</v>
      </c>
      <c r="K154" s="1">
        <v>288.33</v>
      </c>
      <c r="L154" s="1">
        <v>20</v>
      </c>
    </row>
    <row r="155" spans="1:12" x14ac:dyDescent="0.3">
      <c r="A155" s="2">
        <v>45039</v>
      </c>
      <c r="B155" s="2">
        <v>45043</v>
      </c>
      <c r="C155" s="1" t="s">
        <v>33</v>
      </c>
      <c r="D155" s="1" t="s">
        <v>37</v>
      </c>
      <c r="E155" s="1" t="s">
        <v>23</v>
      </c>
      <c r="F155" s="1" t="s">
        <v>34</v>
      </c>
      <c r="G155" s="1" t="s">
        <v>56</v>
      </c>
      <c r="H155" s="1" t="s">
        <v>61</v>
      </c>
      <c r="I155" s="1" t="s">
        <v>27</v>
      </c>
      <c r="J155" s="1">
        <v>4</v>
      </c>
      <c r="K155" s="1">
        <v>3718.63</v>
      </c>
      <c r="L155" s="1">
        <v>20</v>
      </c>
    </row>
    <row r="156" spans="1:12" x14ac:dyDescent="0.3">
      <c r="A156" s="2">
        <v>45177</v>
      </c>
      <c r="B156" s="2">
        <v>45179</v>
      </c>
      <c r="C156" s="1" t="s">
        <v>15</v>
      </c>
      <c r="D156" s="1" t="s">
        <v>40</v>
      </c>
      <c r="E156" s="1" t="s">
        <v>29</v>
      </c>
      <c r="F156" s="1" t="s">
        <v>41</v>
      </c>
      <c r="G156" s="1" t="s">
        <v>25</v>
      </c>
      <c r="H156" s="1" t="s">
        <v>26</v>
      </c>
      <c r="I156" s="1" t="s">
        <v>20</v>
      </c>
      <c r="J156" s="1">
        <v>7</v>
      </c>
      <c r="K156" s="1">
        <v>972.74</v>
      </c>
      <c r="L156" s="1">
        <v>0</v>
      </c>
    </row>
    <row r="157" spans="1:12" x14ac:dyDescent="0.3">
      <c r="A157" s="2">
        <v>45177</v>
      </c>
      <c r="B157" s="2">
        <v>45182</v>
      </c>
      <c r="C157" s="1" t="s">
        <v>39</v>
      </c>
      <c r="D157" s="1" t="s">
        <v>40</v>
      </c>
      <c r="E157" s="1" t="s">
        <v>29</v>
      </c>
      <c r="F157" s="1" t="s">
        <v>41</v>
      </c>
      <c r="G157" s="1" t="s">
        <v>30</v>
      </c>
      <c r="H157" s="1" t="s">
        <v>31</v>
      </c>
      <c r="I157" s="1" t="s">
        <v>44</v>
      </c>
      <c r="J157" s="1">
        <v>7</v>
      </c>
      <c r="K157" s="1">
        <v>1767.02</v>
      </c>
      <c r="L157" s="1">
        <v>15</v>
      </c>
    </row>
    <row r="158" spans="1:12" x14ac:dyDescent="0.3">
      <c r="A158" s="2">
        <v>45229</v>
      </c>
      <c r="B158" s="2">
        <v>45232</v>
      </c>
      <c r="C158" s="1" t="s">
        <v>36</v>
      </c>
      <c r="D158" s="1" t="s">
        <v>15</v>
      </c>
      <c r="E158" s="1" t="s">
        <v>29</v>
      </c>
      <c r="F158" s="1" t="s">
        <v>43</v>
      </c>
      <c r="G158" s="1" t="s">
        <v>51</v>
      </c>
      <c r="H158" s="1" t="s">
        <v>55</v>
      </c>
      <c r="I158" s="1" t="s">
        <v>44</v>
      </c>
      <c r="J158" s="1">
        <v>8</v>
      </c>
      <c r="K158" s="1">
        <v>187.29</v>
      </c>
      <c r="L158" s="1">
        <v>5</v>
      </c>
    </row>
    <row r="159" spans="1:12" x14ac:dyDescent="0.3">
      <c r="A159" s="2">
        <v>45044</v>
      </c>
      <c r="B159" s="2">
        <v>45048</v>
      </c>
      <c r="C159" s="1" t="s">
        <v>36</v>
      </c>
      <c r="D159" s="1" t="s">
        <v>15</v>
      </c>
      <c r="E159" s="1" t="s">
        <v>23</v>
      </c>
      <c r="F159" s="1" t="s">
        <v>17</v>
      </c>
      <c r="G159" s="1" t="s">
        <v>30</v>
      </c>
      <c r="H159" s="1" t="s">
        <v>64</v>
      </c>
      <c r="I159" s="1" t="s">
        <v>32</v>
      </c>
      <c r="J159" s="1">
        <v>7</v>
      </c>
      <c r="K159" s="1">
        <v>2964.96</v>
      </c>
      <c r="L159" s="1">
        <v>5</v>
      </c>
    </row>
    <row r="160" spans="1:12" x14ac:dyDescent="0.3">
      <c r="A160" s="2">
        <v>45227</v>
      </c>
      <c r="B160" s="2">
        <v>45228</v>
      </c>
      <c r="C160" s="1" t="s">
        <v>14</v>
      </c>
      <c r="D160" s="1" t="s">
        <v>40</v>
      </c>
      <c r="E160" s="1" t="s">
        <v>23</v>
      </c>
      <c r="F160" s="1" t="s">
        <v>17</v>
      </c>
      <c r="G160" s="1" t="s">
        <v>18</v>
      </c>
      <c r="H160" s="1" t="s">
        <v>42</v>
      </c>
      <c r="I160" s="1" t="s">
        <v>20</v>
      </c>
      <c r="J160" s="1">
        <v>8</v>
      </c>
      <c r="K160" s="1">
        <v>3795.01</v>
      </c>
      <c r="L160" s="1">
        <v>5</v>
      </c>
    </row>
    <row r="161" spans="1:12" x14ac:dyDescent="0.3">
      <c r="A161" s="2">
        <v>45087</v>
      </c>
      <c r="B161" s="2">
        <v>45088</v>
      </c>
      <c r="C161" s="1" t="s">
        <v>45</v>
      </c>
      <c r="D161" s="1" t="s">
        <v>53</v>
      </c>
      <c r="E161" s="1" t="s">
        <v>16</v>
      </c>
      <c r="F161" s="1" t="s">
        <v>41</v>
      </c>
      <c r="G161" s="1" t="s">
        <v>48</v>
      </c>
      <c r="H161" s="1" t="s">
        <v>62</v>
      </c>
      <c r="I161" s="1" t="s">
        <v>46</v>
      </c>
      <c r="J161" s="1">
        <v>9</v>
      </c>
      <c r="K161" s="1">
        <v>3159.22</v>
      </c>
      <c r="L161" s="1">
        <v>20</v>
      </c>
    </row>
    <row r="162" spans="1:12" x14ac:dyDescent="0.3">
      <c r="A162" s="2">
        <v>45124</v>
      </c>
      <c r="B162" s="2">
        <v>45127</v>
      </c>
      <c r="C162" s="1" t="s">
        <v>14</v>
      </c>
      <c r="D162" s="1" t="s">
        <v>37</v>
      </c>
      <c r="E162" s="1" t="s">
        <v>23</v>
      </c>
      <c r="F162" s="1" t="s">
        <v>41</v>
      </c>
      <c r="G162" s="1" t="s">
        <v>30</v>
      </c>
      <c r="H162" s="1" t="s">
        <v>64</v>
      </c>
      <c r="I162" s="1" t="s">
        <v>27</v>
      </c>
      <c r="J162" s="1">
        <v>3</v>
      </c>
      <c r="K162" s="1">
        <v>1357.77</v>
      </c>
      <c r="L162" s="1">
        <v>5</v>
      </c>
    </row>
    <row r="163" spans="1:12" x14ac:dyDescent="0.3">
      <c r="A163" s="2">
        <v>45186</v>
      </c>
      <c r="B163" s="2">
        <v>45195</v>
      </c>
      <c r="C163" s="1" t="s">
        <v>33</v>
      </c>
      <c r="D163" s="1" t="s">
        <v>15</v>
      </c>
      <c r="E163" s="1" t="s">
        <v>29</v>
      </c>
      <c r="F163" s="1" t="s">
        <v>17</v>
      </c>
      <c r="G163" s="1" t="s">
        <v>51</v>
      </c>
      <c r="H163" s="1" t="s">
        <v>52</v>
      </c>
      <c r="I163" s="1" t="s">
        <v>27</v>
      </c>
      <c r="J163" s="1">
        <v>3</v>
      </c>
      <c r="K163" s="1">
        <v>1104.31</v>
      </c>
      <c r="L163" s="1">
        <v>15</v>
      </c>
    </row>
    <row r="164" spans="1:12" x14ac:dyDescent="0.3">
      <c r="A164" s="2">
        <v>45074</v>
      </c>
      <c r="B164" s="2">
        <v>45081</v>
      </c>
      <c r="C164" s="1" t="s">
        <v>15</v>
      </c>
      <c r="D164" s="1" t="s">
        <v>40</v>
      </c>
      <c r="E164" s="1" t="s">
        <v>16</v>
      </c>
      <c r="F164" s="1" t="s">
        <v>17</v>
      </c>
      <c r="G164" s="1" t="s">
        <v>30</v>
      </c>
      <c r="H164" s="1" t="s">
        <v>31</v>
      </c>
      <c r="I164" s="1" t="s">
        <v>44</v>
      </c>
      <c r="J164" s="1">
        <v>4</v>
      </c>
      <c r="K164" s="1">
        <v>2836.21</v>
      </c>
      <c r="L164" s="1">
        <v>20</v>
      </c>
    </row>
    <row r="165" spans="1:12" x14ac:dyDescent="0.3">
      <c r="A165" s="2">
        <v>45124</v>
      </c>
      <c r="B165" s="2">
        <v>45126</v>
      </c>
      <c r="C165" s="1" t="s">
        <v>39</v>
      </c>
      <c r="D165" s="1" t="s">
        <v>28</v>
      </c>
      <c r="E165" s="1" t="s">
        <v>16</v>
      </c>
      <c r="F165" s="1" t="s">
        <v>17</v>
      </c>
      <c r="G165" s="1" t="s">
        <v>25</v>
      </c>
      <c r="H165" s="1" t="s">
        <v>60</v>
      </c>
      <c r="I165" s="1" t="s">
        <v>44</v>
      </c>
      <c r="J165" s="1">
        <v>7</v>
      </c>
      <c r="K165" s="1">
        <v>174.09</v>
      </c>
      <c r="L165" s="1">
        <v>10</v>
      </c>
    </row>
    <row r="166" spans="1:12" x14ac:dyDescent="0.3">
      <c r="A166" s="2">
        <v>44973</v>
      </c>
      <c r="B166" s="2">
        <v>44976</v>
      </c>
      <c r="C166" s="1" t="s">
        <v>36</v>
      </c>
      <c r="D166" s="1" t="s">
        <v>15</v>
      </c>
      <c r="E166" s="1" t="s">
        <v>29</v>
      </c>
      <c r="F166" s="1" t="s">
        <v>24</v>
      </c>
      <c r="G166" s="1" t="s">
        <v>30</v>
      </c>
      <c r="H166" s="1" t="s">
        <v>31</v>
      </c>
      <c r="I166" s="1" t="s">
        <v>20</v>
      </c>
      <c r="J166" s="1">
        <v>9</v>
      </c>
      <c r="K166" s="1">
        <v>388.26</v>
      </c>
      <c r="L166" s="1">
        <v>10</v>
      </c>
    </row>
    <row r="167" spans="1:12" x14ac:dyDescent="0.3">
      <c r="A167" s="2">
        <v>45004</v>
      </c>
      <c r="B167" s="2">
        <v>45006</v>
      </c>
      <c r="C167" s="1" t="s">
        <v>14</v>
      </c>
      <c r="D167" s="1" t="s">
        <v>28</v>
      </c>
      <c r="E167" s="1" t="s">
        <v>16</v>
      </c>
      <c r="F167" s="1" t="s">
        <v>34</v>
      </c>
      <c r="G167" s="1" t="s">
        <v>18</v>
      </c>
      <c r="H167" s="1" t="s">
        <v>42</v>
      </c>
      <c r="I167" s="1" t="s">
        <v>44</v>
      </c>
      <c r="J167" s="1">
        <v>8</v>
      </c>
      <c r="K167" s="1">
        <v>2211.17</v>
      </c>
      <c r="L167" s="1">
        <v>10</v>
      </c>
    </row>
    <row r="168" spans="1:12" x14ac:dyDescent="0.3">
      <c r="A168" s="2">
        <v>45050</v>
      </c>
      <c r="B168" s="2">
        <v>45053</v>
      </c>
      <c r="C168" s="1" t="s">
        <v>14</v>
      </c>
      <c r="D168" s="1" t="s">
        <v>22</v>
      </c>
      <c r="E168" s="1" t="s">
        <v>16</v>
      </c>
      <c r="F168" s="1" t="s">
        <v>41</v>
      </c>
      <c r="G168" s="1" t="s">
        <v>48</v>
      </c>
      <c r="H168" s="1" t="s">
        <v>49</v>
      </c>
      <c r="I168" s="1" t="s">
        <v>32</v>
      </c>
      <c r="J168" s="1">
        <v>5</v>
      </c>
      <c r="K168" s="1">
        <v>2329.38</v>
      </c>
      <c r="L168" s="1">
        <v>20</v>
      </c>
    </row>
    <row r="169" spans="1:12" x14ac:dyDescent="0.3">
      <c r="A169" s="2">
        <v>45285</v>
      </c>
      <c r="B169" s="2">
        <v>45294</v>
      </c>
      <c r="C169" s="1" t="s">
        <v>14</v>
      </c>
      <c r="D169" s="1" t="s">
        <v>22</v>
      </c>
      <c r="E169" s="1" t="s">
        <v>29</v>
      </c>
      <c r="F169" s="1" t="s">
        <v>17</v>
      </c>
      <c r="G169" s="1" t="s">
        <v>30</v>
      </c>
      <c r="H169" s="1" t="s">
        <v>38</v>
      </c>
      <c r="I169" s="1" t="s">
        <v>46</v>
      </c>
      <c r="J169" s="1">
        <v>7</v>
      </c>
      <c r="K169" s="1">
        <v>658.07</v>
      </c>
      <c r="L169" s="1">
        <v>20</v>
      </c>
    </row>
    <row r="170" spans="1:12" x14ac:dyDescent="0.3">
      <c r="A170" s="2">
        <v>45063</v>
      </c>
      <c r="B170" s="2">
        <v>45072</v>
      </c>
      <c r="C170" s="1" t="s">
        <v>21</v>
      </c>
      <c r="D170" s="1" t="s">
        <v>53</v>
      </c>
      <c r="E170" s="1" t="s">
        <v>16</v>
      </c>
      <c r="F170" s="1" t="s">
        <v>43</v>
      </c>
      <c r="G170" s="1" t="s">
        <v>51</v>
      </c>
      <c r="H170" s="1" t="s">
        <v>63</v>
      </c>
      <c r="I170" s="1" t="s">
        <v>20</v>
      </c>
      <c r="J170" s="1">
        <v>5</v>
      </c>
      <c r="K170" s="1">
        <v>2125.75</v>
      </c>
      <c r="L170" s="1">
        <v>15</v>
      </c>
    </row>
    <row r="171" spans="1:12" x14ac:dyDescent="0.3">
      <c r="A171" s="2">
        <v>45016</v>
      </c>
      <c r="B171" s="2">
        <v>45023</v>
      </c>
      <c r="C171" s="1" t="s">
        <v>33</v>
      </c>
      <c r="D171" s="1" t="s">
        <v>15</v>
      </c>
      <c r="E171" s="1" t="s">
        <v>16</v>
      </c>
      <c r="F171" s="1" t="s">
        <v>17</v>
      </c>
      <c r="G171" s="1" t="s">
        <v>30</v>
      </c>
      <c r="H171" s="1" t="s">
        <v>38</v>
      </c>
      <c r="I171" s="1" t="s">
        <v>46</v>
      </c>
      <c r="J171" s="1">
        <v>7</v>
      </c>
      <c r="K171" s="1">
        <v>898.62</v>
      </c>
      <c r="L171" s="1">
        <v>0</v>
      </c>
    </row>
    <row r="172" spans="1:12" x14ac:dyDescent="0.3">
      <c r="A172" s="2">
        <v>45251</v>
      </c>
      <c r="B172" s="2">
        <v>45254</v>
      </c>
      <c r="C172" s="1" t="s">
        <v>36</v>
      </c>
      <c r="D172" s="1" t="s">
        <v>40</v>
      </c>
      <c r="E172" s="1" t="s">
        <v>29</v>
      </c>
      <c r="F172" s="1" t="s">
        <v>24</v>
      </c>
      <c r="G172" s="1" t="s">
        <v>51</v>
      </c>
      <c r="H172" s="1" t="s">
        <v>55</v>
      </c>
      <c r="I172" s="1" t="s">
        <v>46</v>
      </c>
      <c r="J172" s="1">
        <v>1</v>
      </c>
      <c r="K172" s="1">
        <v>508.81</v>
      </c>
      <c r="L172" s="1">
        <v>0</v>
      </c>
    </row>
    <row r="173" spans="1:12" x14ac:dyDescent="0.3">
      <c r="A173" s="2">
        <v>44987</v>
      </c>
      <c r="B173" s="2">
        <v>44991</v>
      </c>
      <c r="C173" s="1" t="s">
        <v>15</v>
      </c>
      <c r="D173" s="1" t="s">
        <v>40</v>
      </c>
      <c r="E173" s="1" t="s">
        <v>16</v>
      </c>
      <c r="F173" s="1" t="s">
        <v>43</v>
      </c>
      <c r="G173" s="1" t="s">
        <v>18</v>
      </c>
      <c r="H173" s="1" t="s">
        <v>42</v>
      </c>
      <c r="I173" s="1" t="s">
        <v>32</v>
      </c>
      <c r="J173" s="1">
        <v>1</v>
      </c>
      <c r="K173" s="1">
        <v>1730.41</v>
      </c>
      <c r="L173" s="1">
        <v>10</v>
      </c>
    </row>
    <row r="174" spans="1:12" x14ac:dyDescent="0.3">
      <c r="A174" s="2">
        <v>45064</v>
      </c>
      <c r="B174" s="2">
        <v>45070</v>
      </c>
      <c r="C174" s="1" t="s">
        <v>39</v>
      </c>
      <c r="D174" s="1" t="s">
        <v>53</v>
      </c>
      <c r="E174" s="1" t="s">
        <v>16</v>
      </c>
      <c r="F174" s="1" t="s">
        <v>24</v>
      </c>
      <c r="G174" s="1" t="s">
        <v>51</v>
      </c>
      <c r="H174" s="1" t="s">
        <v>52</v>
      </c>
      <c r="I174" s="1" t="s">
        <v>20</v>
      </c>
      <c r="J174" s="1">
        <v>3</v>
      </c>
      <c r="K174" s="1">
        <v>778.85</v>
      </c>
      <c r="L174" s="1">
        <v>10</v>
      </c>
    </row>
    <row r="175" spans="1:12" x14ac:dyDescent="0.3">
      <c r="A175" s="2">
        <v>45185</v>
      </c>
      <c r="B175" s="2">
        <v>45187</v>
      </c>
      <c r="C175" s="1" t="s">
        <v>33</v>
      </c>
      <c r="D175" s="1" t="s">
        <v>53</v>
      </c>
      <c r="E175" s="1" t="s">
        <v>29</v>
      </c>
      <c r="F175" s="1" t="s">
        <v>24</v>
      </c>
      <c r="G175" s="1" t="s">
        <v>48</v>
      </c>
      <c r="H175" s="1" t="s">
        <v>50</v>
      </c>
      <c r="I175" s="1" t="s">
        <v>20</v>
      </c>
      <c r="J175" s="1">
        <v>2</v>
      </c>
      <c r="K175" s="1">
        <v>1372.59</v>
      </c>
      <c r="L175" s="1">
        <v>5</v>
      </c>
    </row>
    <row r="176" spans="1:12" x14ac:dyDescent="0.3">
      <c r="A176" s="2">
        <v>45033</v>
      </c>
      <c r="B176" s="2">
        <v>45039</v>
      </c>
      <c r="C176" s="1" t="s">
        <v>39</v>
      </c>
      <c r="D176" s="1" t="s">
        <v>28</v>
      </c>
      <c r="E176" s="1" t="s">
        <v>29</v>
      </c>
      <c r="F176" s="1" t="s">
        <v>34</v>
      </c>
      <c r="G176" s="1" t="s">
        <v>51</v>
      </c>
      <c r="H176" s="1" t="s">
        <v>55</v>
      </c>
      <c r="I176" s="1" t="s">
        <v>20</v>
      </c>
      <c r="J176" s="1">
        <v>7</v>
      </c>
      <c r="K176" s="1">
        <v>1148.6500000000001</v>
      </c>
      <c r="L176" s="1">
        <v>15</v>
      </c>
    </row>
    <row r="177" spans="1:12" x14ac:dyDescent="0.3">
      <c r="A177" s="2">
        <v>45039</v>
      </c>
      <c r="B177" s="2">
        <v>45042</v>
      </c>
      <c r="C177" s="1" t="s">
        <v>14</v>
      </c>
      <c r="D177" s="1" t="s">
        <v>28</v>
      </c>
      <c r="E177" s="1" t="s">
        <v>29</v>
      </c>
      <c r="F177" s="1" t="s">
        <v>34</v>
      </c>
      <c r="G177" s="1" t="s">
        <v>51</v>
      </c>
      <c r="H177" s="1" t="s">
        <v>59</v>
      </c>
      <c r="I177" s="1" t="s">
        <v>20</v>
      </c>
      <c r="J177" s="1">
        <v>2</v>
      </c>
      <c r="K177" s="1">
        <v>487.23</v>
      </c>
      <c r="L177" s="1">
        <v>15</v>
      </c>
    </row>
    <row r="178" spans="1:12" x14ac:dyDescent="0.3">
      <c r="A178" s="2">
        <v>45276</v>
      </c>
      <c r="B178" s="2">
        <v>45284</v>
      </c>
      <c r="C178" s="1" t="s">
        <v>45</v>
      </c>
      <c r="D178" s="1" t="s">
        <v>37</v>
      </c>
      <c r="E178" s="1" t="s">
        <v>29</v>
      </c>
      <c r="F178" s="1" t="s">
        <v>24</v>
      </c>
      <c r="G178" s="1" t="s">
        <v>48</v>
      </c>
      <c r="H178" s="1" t="s">
        <v>50</v>
      </c>
      <c r="I178" s="1" t="s">
        <v>32</v>
      </c>
      <c r="J178" s="1">
        <v>4</v>
      </c>
      <c r="K178" s="1">
        <v>496.18</v>
      </c>
      <c r="L178" s="1">
        <v>15</v>
      </c>
    </row>
    <row r="179" spans="1:12" x14ac:dyDescent="0.3">
      <c r="A179" s="2">
        <v>45180</v>
      </c>
      <c r="B179" s="2">
        <v>45182</v>
      </c>
      <c r="C179" s="1" t="s">
        <v>33</v>
      </c>
      <c r="D179" s="1" t="s">
        <v>40</v>
      </c>
      <c r="E179" s="1" t="s">
        <v>23</v>
      </c>
      <c r="F179" s="1" t="s">
        <v>24</v>
      </c>
      <c r="G179" s="1" t="s">
        <v>56</v>
      </c>
      <c r="H179" s="1" t="s">
        <v>58</v>
      </c>
      <c r="I179" s="1" t="s">
        <v>44</v>
      </c>
      <c r="J179" s="1">
        <v>2</v>
      </c>
      <c r="K179" s="1">
        <v>894.01</v>
      </c>
      <c r="L179" s="1">
        <v>15</v>
      </c>
    </row>
    <row r="180" spans="1:12" x14ac:dyDescent="0.3">
      <c r="A180" s="2">
        <v>45044</v>
      </c>
      <c r="B180" s="2">
        <v>45045</v>
      </c>
      <c r="C180" s="1" t="s">
        <v>33</v>
      </c>
      <c r="D180" s="1" t="s">
        <v>22</v>
      </c>
      <c r="E180" s="1" t="s">
        <v>16</v>
      </c>
      <c r="F180" s="1" t="s">
        <v>34</v>
      </c>
      <c r="G180" s="1" t="s">
        <v>30</v>
      </c>
      <c r="H180" s="1" t="s">
        <v>64</v>
      </c>
      <c r="I180" s="1" t="s">
        <v>46</v>
      </c>
      <c r="J180" s="1">
        <v>6</v>
      </c>
      <c r="K180" s="1">
        <v>344.65</v>
      </c>
      <c r="L180" s="1">
        <v>10</v>
      </c>
    </row>
    <row r="181" spans="1:12" x14ac:dyDescent="0.3">
      <c r="A181" s="2">
        <v>45124</v>
      </c>
      <c r="B181" s="2">
        <v>45133</v>
      </c>
      <c r="C181" s="1" t="s">
        <v>36</v>
      </c>
      <c r="D181" s="1" t="s">
        <v>28</v>
      </c>
      <c r="E181" s="1" t="s">
        <v>29</v>
      </c>
      <c r="F181" s="1" t="s">
        <v>43</v>
      </c>
      <c r="G181" s="1" t="s">
        <v>51</v>
      </c>
      <c r="H181" s="1" t="s">
        <v>52</v>
      </c>
      <c r="I181" s="1" t="s">
        <v>20</v>
      </c>
      <c r="J181" s="1">
        <v>8</v>
      </c>
      <c r="K181" s="1">
        <v>2561.86</v>
      </c>
      <c r="L181" s="1">
        <v>0</v>
      </c>
    </row>
    <row r="182" spans="1:12" x14ac:dyDescent="0.3">
      <c r="A182" s="2">
        <v>45263</v>
      </c>
      <c r="B182" s="2">
        <v>45266</v>
      </c>
      <c r="C182" s="1" t="s">
        <v>15</v>
      </c>
      <c r="D182" s="1" t="s">
        <v>37</v>
      </c>
      <c r="E182" s="1" t="s">
        <v>16</v>
      </c>
      <c r="F182" s="1" t="s">
        <v>34</v>
      </c>
      <c r="G182" s="1" t="s">
        <v>48</v>
      </c>
      <c r="H182" s="1" t="s">
        <v>67</v>
      </c>
      <c r="I182" s="1" t="s">
        <v>44</v>
      </c>
      <c r="J182" s="1">
        <v>4</v>
      </c>
      <c r="K182" s="1">
        <v>1256.21</v>
      </c>
      <c r="L182" s="1">
        <v>10</v>
      </c>
    </row>
    <row r="183" spans="1:12" x14ac:dyDescent="0.3">
      <c r="A183" s="2">
        <v>45291</v>
      </c>
      <c r="B183" s="2">
        <v>45292</v>
      </c>
      <c r="C183" s="1" t="s">
        <v>33</v>
      </c>
      <c r="D183" s="1" t="s">
        <v>40</v>
      </c>
      <c r="E183" s="1" t="s">
        <v>16</v>
      </c>
      <c r="F183" s="1" t="s">
        <v>41</v>
      </c>
      <c r="G183" s="1" t="s">
        <v>18</v>
      </c>
      <c r="H183" s="1" t="s">
        <v>65</v>
      </c>
      <c r="I183" s="1" t="s">
        <v>44</v>
      </c>
      <c r="J183" s="1">
        <v>5</v>
      </c>
      <c r="K183" s="1">
        <v>1227.02</v>
      </c>
      <c r="L183" s="1">
        <v>15</v>
      </c>
    </row>
    <row r="184" spans="1:12" x14ac:dyDescent="0.3">
      <c r="A184" s="2">
        <v>44977</v>
      </c>
      <c r="B184" s="2">
        <v>44984</v>
      </c>
      <c r="C184" s="1" t="s">
        <v>33</v>
      </c>
      <c r="D184" s="1" t="s">
        <v>22</v>
      </c>
      <c r="E184" s="1" t="s">
        <v>23</v>
      </c>
      <c r="F184" s="1" t="s">
        <v>34</v>
      </c>
      <c r="G184" s="1" t="s">
        <v>48</v>
      </c>
      <c r="H184" s="1" t="s">
        <v>50</v>
      </c>
      <c r="I184" s="1" t="s">
        <v>46</v>
      </c>
      <c r="J184" s="1">
        <v>4</v>
      </c>
      <c r="K184" s="1">
        <v>1428.19</v>
      </c>
      <c r="L184" s="1">
        <v>10</v>
      </c>
    </row>
    <row r="185" spans="1:12" x14ac:dyDescent="0.3">
      <c r="A185" s="2">
        <v>45171</v>
      </c>
      <c r="B185" s="2">
        <v>45176</v>
      </c>
      <c r="C185" s="1" t="s">
        <v>14</v>
      </c>
      <c r="D185" s="1" t="s">
        <v>28</v>
      </c>
      <c r="E185" s="1" t="s">
        <v>29</v>
      </c>
      <c r="F185" s="1" t="s">
        <v>43</v>
      </c>
      <c r="G185" s="1" t="s">
        <v>18</v>
      </c>
      <c r="H185" s="1" t="s">
        <v>65</v>
      </c>
      <c r="I185" s="1" t="s">
        <v>32</v>
      </c>
      <c r="J185" s="1">
        <v>3</v>
      </c>
      <c r="K185" s="1">
        <v>2701.77</v>
      </c>
      <c r="L185" s="1">
        <v>15</v>
      </c>
    </row>
    <row r="186" spans="1:12" x14ac:dyDescent="0.3">
      <c r="A186" s="2">
        <v>44961</v>
      </c>
      <c r="B186" s="2">
        <v>44966</v>
      </c>
      <c r="C186" s="1" t="s">
        <v>14</v>
      </c>
      <c r="D186" s="1" t="s">
        <v>28</v>
      </c>
      <c r="E186" s="1" t="s">
        <v>29</v>
      </c>
      <c r="F186" s="1" t="s">
        <v>41</v>
      </c>
      <c r="G186" s="1" t="s">
        <v>56</v>
      </c>
      <c r="H186" s="1" t="s">
        <v>58</v>
      </c>
      <c r="I186" s="1" t="s">
        <v>27</v>
      </c>
      <c r="J186" s="1">
        <v>5</v>
      </c>
      <c r="K186" s="1">
        <v>3501.94</v>
      </c>
      <c r="L186" s="1">
        <v>20</v>
      </c>
    </row>
    <row r="187" spans="1:12" x14ac:dyDescent="0.3">
      <c r="A187" s="2">
        <v>45228</v>
      </c>
      <c r="B187" s="2">
        <v>45229</v>
      </c>
      <c r="C187" s="1" t="s">
        <v>39</v>
      </c>
      <c r="D187" s="1" t="s">
        <v>53</v>
      </c>
      <c r="E187" s="1" t="s">
        <v>16</v>
      </c>
      <c r="F187" s="1" t="s">
        <v>17</v>
      </c>
      <c r="G187" s="1" t="s">
        <v>30</v>
      </c>
      <c r="H187" s="1" t="s">
        <v>64</v>
      </c>
      <c r="I187" s="1" t="s">
        <v>27</v>
      </c>
      <c r="J187" s="1">
        <v>9</v>
      </c>
      <c r="K187" s="1">
        <v>3072.48</v>
      </c>
      <c r="L187" s="1">
        <v>0</v>
      </c>
    </row>
    <row r="188" spans="1:12" x14ac:dyDescent="0.3">
      <c r="A188" s="2">
        <v>45000</v>
      </c>
      <c r="B188" s="2">
        <v>45006</v>
      </c>
      <c r="C188" s="1" t="s">
        <v>36</v>
      </c>
      <c r="D188" s="1" t="s">
        <v>40</v>
      </c>
      <c r="E188" s="1" t="s">
        <v>23</v>
      </c>
      <c r="F188" s="1" t="s">
        <v>43</v>
      </c>
      <c r="G188" s="1" t="s">
        <v>48</v>
      </c>
      <c r="H188" s="1" t="s">
        <v>50</v>
      </c>
      <c r="I188" s="1" t="s">
        <v>32</v>
      </c>
      <c r="J188" s="1">
        <v>7</v>
      </c>
      <c r="K188" s="1">
        <v>982.56</v>
      </c>
      <c r="L188" s="1">
        <v>10</v>
      </c>
    </row>
    <row r="189" spans="1:12" x14ac:dyDescent="0.3">
      <c r="A189" s="2">
        <v>45118</v>
      </c>
      <c r="B189" s="2">
        <v>45123</v>
      </c>
      <c r="C189" s="1" t="s">
        <v>45</v>
      </c>
      <c r="D189" s="1" t="s">
        <v>40</v>
      </c>
      <c r="E189" s="1" t="s">
        <v>23</v>
      </c>
      <c r="F189" s="1" t="s">
        <v>41</v>
      </c>
      <c r="G189" s="1" t="s">
        <v>51</v>
      </c>
      <c r="H189" s="1" t="s">
        <v>52</v>
      </c>
      <c r="I189" s="1" t="s">
        <v>27</v>
      </c>
      <c r="J189" s="1">
        <v>8</v>
      </c>
      <c r="K189" s="1">
        <v>953.07</v>
      </c>
      <c r="L189" s="1">
        <v>20</v>
      </c>
    </row>
    <row r="190" spans="1:12" x14ac:dyDescent="0.3">
      <c r="A190" s="2">
        <v>45187</v>
      </c>
      <c r="B190" s="2">
        <v>45193</v>
      </c>
      <c r="C190" s="1" t="s">
        <v>39</v>
      </c>
      <c r="D190" s="1" t="s">
        <v>15</v>
      </c>
      <c r="E190" s="1" t="s">
        <v>16</v>
      </c>
      <c r="F190" s="1" t="s">
        <v>41</v>
      </c>
      <c r="G190" s="1" t="s">
        <v>48</v>
      </c>
      <c r="H190" s="1" t="s">
        <v>49</v>
      </c>
      <c r="I190" s="1" t="s">
        <v>44</v>
      </c>
      <c r="J190" s="1">
        <v>8</v>
      </c>
      <c r="K190" s="1">
        <v>1291.1099999999999</v>
      </c>
      <c r="L190" s="1">
        <v>15</v>
      </c>
    </row>
    <row r="191" spans="1:12" x14ac:dyDescent="0.3">
      <c r="A191" s="2">
        <v>45282</v>
      </c>
      <c r="B191" s="2">
        <v>45284</v>
      </c>
      <c r="C191" s="1" t="s">
        <v>14</v>
      </c>
      <c r="D191" s="1" t="s">
        <v>53</v>
      </c>
      <c r="E191" s="1" t="s">
        <v>29</v>
      </c>
      <c r="F191" s="1" t="s">
        <v>17</v>
      </c>
      <c r="G191" s="1" t="s">
        <v>18</v>
      </c>
      <c r="H191" s="1" t="s">
        <v>19</v>
      </c>
      <c r="I191" s="1" t="s">
        <v>44</v>
      </c>
      <c r="J191" s="1">
        <v>8</v>
      </c>
      <c r="K191" s="1">
        <v>3656.59</v>
      </c>
      <c r="L191" s="1">
        <v>15</v>
      </c>
    </row>
    <row r="192" spans="1:12" x14ac:dyDescent="0.3">
      <c r="A192" s="2">
        <v>44996</v>
      </c>
      <c r="B192" s="2">
        <v>45000</v>
      </c>
      <c r="C192" s="1" t="s">
        <v>21</v>
      </c>
      <c r="D192" s="1" t="s">
        <v>22</v>
      </c>
      <c r="E192" s="1" t="s">
        <v>23</v>
      </c>
      <c r="F192" s="1" t="s">
        <v>41</v>
      </c>
      <c r="G192" s="1" t="s">
        <v>48</v>
      </c>
      <c r="H192" s="1" t="s">
        <v>50</v>
      </c>
      <c r="I192" s="1" t="s">
        <v>20</v>
      </c>
      <c r="J192" s="1">
        <v>7</v>
      </c>
      <c r="K192" s="1">
        <v>2257.5500000000002</v>
      </c>
      <c r="L192" s="1">
        <v>10</v>
      </c>
    </row>
    <row r="193" spans="1:12" x14ac:dyDescent="0.3">
      <c r="A193" s="2">
        <v>45016</v>
      </c>
      <c r="B193" s="2">
        <v>45019</v>
      </c>
      <c r="C193" s="1" t="s">
        <v>15</v>
      </c>
      <c r="D193" s="1" t="s">
        <v>28</v>
      </c>
      <c r="E193" s="1" t="s">
        <v>29</v>
      </c>
      <c r="F193" s="1" t="s">
        <v>43</v>
      </c>
      <c r="G193" s="1" t="s">
        <v>25</v>
      </c>
      <c r="H193" s="1" t="s">
        <v>60</v>
      </c>
      <c r="I193" s="1" t="s">
        <v>32</v>
      </c>
      <c r="J193" s="1">
        <v>1</v>
      </c>
      <c r="K193" s="1">
        <v>2975.54</v>
      </c>
      <c r="L193" s="1">
        <v>15</v>
      </c>
    </row>
    <row r="194" spans="1:12" x14ac:dyDescent="0.3">
      <c r="A194" s="2">
        <v>45052</v>
      </c>
      <c r="B194" s="2">
        <v>45061</v>
      </c>
      <c r="C194" s="1" t="s">
        <v>36</v>
      </c>
      <c r="D194" s="1" t="s">
        <v>28</v>
      </c>
      <c r="E194" s="1" t="s">
        <v>23</v>
      </c>
      <c r="F194" s="1" t="s">
        <v>43</v>
      </c>
      <c r="G194" s="1" t="s">
        <v>48</v>
      </c>
      <c r="H194" s="1" t="s">
        <v>62</v>
      </c>
      <c r="I194" s="1" t="s">
        <v>46</v>
      </c>
      <c r="J194" s="1">
        <v>4</v>
      </c>
      <c r="K194" s="1">
        <v>1719.71</v>
      </c>
      <c r="L194" s="1">
        <v>15</v>
      </c>
    </row>
    <row r="195" spans="1:12" x14ac:dyDescent="0.3">
      <c r="A195" s="2">
        <v>45157</v>
      </c>
      <c r="B195" s="2">
        <v>45162</v>
      </c>
      <c r="C195" s="1" t="s">
        <v>14</v>
      </c>
      <c r="D195" s="1" t="s">
        <v>15</v>
      </c>
      <c r="E195" s="1" t="s">
        <v>16</v>
      </c>
      <c r="F195" s="1" t="s">
        <v>24</v>
      </c>
      <c r="G195" s="1" t="s">
        <v>25</v>
      </c>
      <c r="H195" s="1" t="s">
        <v>26</v>
      </c>
      <c r="I195" s="1" t="s">
        <v>20</v>
      </c>
      <c r="J195" s="1">
        <v>5</v>
      </c>
      <c r="K195" s="1">
        <v>633.42999999999995</v>
      </c>
      <c r="L195" s="1">
        <v>20</v>
      </c>
    </row>
    <row r="196" spans="1:12" x14ac:dyDescent="0.3">
      <c r="A196" s="2">
        <v>45221</v>
      </c>
      <c r="B196" s="2">
        <v>45227</v>
      </c>
      <c r="C196" s="1" t="s">
        <v>36</v>
      </c>
      <c r="D196" s="1" t="s">
        <v>22</v>
      </c>
      <c r="E196" s="1" t="s">
        <v>23</v>
      </c>
      <c r="F196" s="1" t="s">
        <v>17</v>
      </c>
      <c r="G196" s="1" t="s">
        <v>56</v>
      </c>
      <c r="H196" s="1" t="s">
        <v>66</v>
      </c>
      <c r="I196" s="1" t="s">
        <v>20</v>
      </c>
      <c r="J196" s="1">
        <v>6</v>
      </c>
      <c r="K196" s="1">
        <v>809.49</v>
      </c>
      <c r="L196" s="1">
        <v>5</v>
      </c>
    </row>
    <row r="197" spans="1:12" x14ac:dyDescent="0.3">
      <c r="A197" s="2">
        <v>45055</v>
      </c>
      <c r="B197" s="2">
        <v>45057</v>
      </c>
      <c r="C197" s="1" t="s">
        <v>36</v>
      </c>
      <c r="D197" s="1" t="s">
        <v>40</v>
      </c>
      <c r="E197" s="1" t="s">
        <v>23</v>
      </c>
      <c r="F197" s="1" t="s">
        <v>41</v>
      </c>
      <c r="G197" s="1" t="s">
        <v>48</v>
      </c>
      <c r="H197" s="1" t="s">
        <v>49</v>
      </c>
      <c r="I197" s="1" t="s">
        <v>27</v>
      </c>
      <c r="J197" s="1">
        <v>4</v>
      </c>
      <c r="K197" s="1">
        <v>3335.32</v>
      </c>
      <c r="L197" s="1">
        <v>20</v>
      </c>
    </row>
    <row r="198" spans="1:12" x14ac:dyDescent="0.3">
      <c r="A198" s="2">
        <v>45206</v>
      </c>
      <c r="B198" s="2">
        <v>45209</v>
      </c>
      <c r="C198" s="1" t="s">
        <v>36</v>
      </c>
      <c r="D198" s="1" t="s">
        <v>28</v>
      </c>
      <c r="E198" s="1" t="s">
        <v>16</v>
      </c>
      <c r="F198" s="1" t="s">
        <v>43</v>
      </c>
      <c r="G198" s="1" t="s">
        <v>25</v>
      </c>
      <c r="H198" s="1" t="s">
        <v>68</v>
      </c>
      <c r="I198" s="1" t="s">
        <v>44</v>
      </c>
      <c r="J198" s="1">
        <v>2</v>
      </c>
      <c r="K198" s="1">
        <v>2401.63</v>
      </c>
      <c r="L198" s="1">
        <v>0</v>
      </c>
    </row>
    <row r="199" spans="1:12" x14ac:dyDescent="0.3">
      <c r="A199" s="2">
        <v>45026</v>
      </c>
      <c r="B199" s="2">
        <v>45035</v>
      </c>
      <c r="C199" s="1" t="s">
        <v>36</v>
      </c>
      <c r="D199" s="1" t="s">
        <v>15</v>
      </c>
      <c r="E199" s="1" t="s">
        <v>23</v>
      </c>
      <c r="F199" s="1" t="s">
        <v>17</v>
      </c>
      <c r="G199" s="1" t="s">
        <v>18</v>
      </c>
      <c r="H199" s="1" t="s">
        <v>54</v>
      </c>
      <c r="I199" s="1" t="s">
        <v>20</v>
      </c>
      <c r="J199" s="1">
        <v>8</v>
      </c>
      <c r="K199" s="1">
        <v>3240.98</v>
      </c>
      <c r="L199" s="1">
        <v>0</v>
      </c>
    </row>
    <row r="200" spans="1:12" x14ac:dyDescent="0.3">
      <c r="A200" s="2">
        <v>45223</v>
      </c>
      <c r="B200" s="2">
        <v>45231</v>
      </c>
      <c r="C200" s="1" t="s">
        <v>15</v>
      </c>
      <c r="D200" s="1" t="s">
        <v>15</v>
      </c>
      <c r="E200" s="1" t="s">
        <v>23</v>
      </c>
      <c r="F200" s="1" t="s">
        <v>43</v>
      </c>
      <c r="G200" s="1" t="s">
        <v>48</v>
      </c>
      <c r="H200" s="1" t="s">
        <v>50</v>
      </c>
      <c r="I200" s="1" t="s">
        <v>20</v>
      </c>
      <c r="J200" s="1">
        <v>7</v>
      </c>
      <c r="K200" s="1">
        <v>3907.73</v>
      </c>
      <c r="L200" s="1">
        <v>10</v>
      </c>
    </row>
    <row r="201" spans="1:12" x14ac:dyDescent="0.3">
      <c r="A201" s="2">
        <v>45108</v>
      </c>
      <c r="B201" s="2">
        <v>45117</v>
      </c>
      <c r="C201" s="1" t="s">
        <v>45</v>
      </c>
      <c r="D201" s="1" t="s">
        <v>53</v>
      </c>
      <c r="E201" s="1" t="s">
        <v>16</v>
      </c>
      <c r="F201" s="1" t="s">
        <v>24</v>
      </c>
      <c r="G201" s="1" t="s">
        <v>56</v>
      </c>
      <c r="H201" s="1" t="s">
        <v>58</v>
      </c>
      <c r="I201" s="1" t="s">
        <v>46</v>
      </c>
      <c r="J201" s="1">
        <v>6</v>
      </c>
      <c r="K201" s="1">
        <v>1477.55</v>
      </c>
      <c r="L201" s="1">
        <v>10</v>
      </c>
    </row>
    <row r="202" spans="1:12" x14ac:dyDescent="0.3">
      <c r="A202" s="2">
        <v>45290</v>
      </c>
      <c r="B202" s="2">
        <v>45291</v>
      </c>
      <c r="C202" s="1" t="s">
        <v>36</v>
      </c>
      <c r="D202" s="1" t="s">
        <v>37</v>
      </c>
      <c r="E202" s="1" t="s">
        <v>16</v>
      </c>
      <c r="F202" s="1" t="s">
        <v>41</v>
      </c>
      <c r="G202" s="1" t="s">
        <v>48</v>
      </c>
      <c r="H202" s="1" t="s">
        <v>62</v>
      </c>
      <c r="I202" s="1" t="s">
        <v>44</v>
      </c>
      <c r="J202" s="1">
        <v>5</v>
      </c>
      <c r="K202" s="1">
        <v>620.13</v>
      </c>
      <c r="L202" s="1">
        <v>5</v>
      </c>
    </row>
    <row r="203" spans="1:12" x14ac:dyDescent="0.3">
      <c r="A203" s="2">
        <v>44957</v>
      </c>
      <c r="B203" s="2">
        <v>44959</v>
      </c>
      <c r="C203" s="1" t="s">
        <v>15</v>
      </c>
      <c r="D203" s="1" t="s">
        <v>53</v>
      </c>
      <c r="E203" s="1" t="s">
        <v>29</v>
      </c>
      <c r="F203" s="1" t="s">
        <v>43</v>
      </c>
      <c r="G203" s="1" t="s">
        <v>48</v>
      </c>
      <c r="H203" s="1" t="s">
        <v>67</v>
      </c>
      <c r="I203" s="1" t="s">
        <v>32</v>
      </c>
      <c r="J203" s="1">
        <v>8</v>
      </c>
      <c r="K203" s="1">
        <v>3519.2</v>
      </c>
      <c r="L203" s="1">
        <v>0</v>
      </c>
    </row>
    <row r="204" spans="1:12" x14ac:dyDescent="0.3">
      <c r="A204" s="2">
        <v>44962</v>
      </c>
      <c r="B204" s="2">
        <v>44969</v>
      </c>
      <c r="C204" s="1" t="s">
        <v>21</v>
      </c>
      <c r="D204" s="1" t="s">
        <v>28</v>
      </c>
      <c r="E204" s="1" t="s">
        <v>16</v>
      </c>
      <c r="F204" s="1" t="s">
        <v>17</v>
      </c>
      <c r="G204" s="1" t="s">
        <v>56</v>
      </c>
      <c r="H204" s="1" t="s">
        <v>58</v>
      </c>
      <c r="I204" s="1" t="s">
        <v>20</v>
      </c>
      <c r="J204" s="1">
        <v>1</v>
      </c>
      <c r="K204" s="1">
        <v>2250.4899999999998</v>
      </c>
      <c r="L204" s="1">
        <v>15</v>
      </c>
    </row>
    <row r="205" spans="1:12" x14ac:dyDescent="0.3">
      <c r="A205" s="2">
        <v>45139</v>
      </c>
      <c r="B205" s="2">
        <v>45143</v>
      </c>
      <c r="C205" s="1" t="s">
        <v>15</v>
      </c>
      <c r="D205" s="1" t="s">
        <v>40</v>
      </c>
      <c r="E205" s="1" t="s">
        <v>16</v>
      </c>
      <c r="F205" s="1" t="s">
        <v>43</v>
      </c>
      <c r="G205" s="1" t="s">
        <v>18</v>
      </c>
      <c r="H205" s="1" t="s">
        <v>54</v>
      </c>
      <c r="I205" s="1" t="s">
        <v>46</v>
      </c>
      <c r="J205" s="1">
        <v>1</v>
      </c>
      <c r="K205" s="1">
        <v>556.53</v>
      </c>
      <c r="L205" s="1">
        <v>5</v>
      </c>
    </row>
    <row r="206" spans="1:12" x14ac:dyDescent="0.3">
      <c r="A206" s="2">
        <v>45290</v>
      </c>
      <c r="B206" s="2">
        <v>45295</v>
      </c>
      <c r="C206" s="1" t="s">
        <v>36</v>
      </c>
      <c r="D206" s="1" t="s">
        <v>15</v>
      </c>
      <c r="E206" s="1" t="s">
        <v>29</v>
      </c>
      <c r="F206" s="1" t="s">
        <v>43</v>
      </c>
      <c r="G206" s="1" t="s">
        <v>30</v>
      </c>
      <c r="H206" s="1" t="s">
        <v>47</v>
      </c>
      <c r="I206" s="1" t="s">
        <v>32</v>
      </c>
      <c r="J206" s="1">
        <v>7</v>
      </c>
      <c r="K206" s="1">
        <v>324.38</v>
      </c>
      <c r="L206" s="1">
        <v>10</v>
      </c>
    </row>
    <row r="207" spans="1:12" x14ac:dyDescent="0.3">
      <c r="A207" s="2">
        <v>45032</v>
      </c>
      <c r="B207" s="2">
        <v>45040</v>
      </c>
      <c r="C207" s="1" t="s">
        <v>39</v>
      </c>
      <c r="D207" s="1" t="s">
        <v>28</v>
      </c>
      <c r="E207" s="1" t="s">
        <v>16</v>
      </c>
      <c r="F207" s="1" t="s">
        <v>34</v>
      </c>
      <c r="G207" s="1" t="s">
        <v>51</v>
      </c>
      <c r="H207" s="1" t="s">
        <v>59</v>
      </c>
      <c r="I207" s="1" t="s">
        <v>46</v>
      </c>
      <c r="J207" s="1">
        <v>9</v>
      </c>
      <c r="K207" s="1">
        <v>2677.09</v>
      </c>
      <c r="L207" s="1">
        <v>10</v>
      </c>
    </row>
    <row r="208" spans="1:12" x14ac:dyDescent="0.3">
      <c r="A208" s="2">
        <v>45089</v>
      </c>
      <c r="B208" s="2">
        <v>45093</v>
      </c>
      <c r="C208" s="1" t="s">
        <v>33</v>
      </c>
      <c r="D208" s="1" t="s">
        <v>37</v>
      </c>
      <c r="E208" s="1" t="s">
        <v>23</v>
      </c>
      <c r="F208" s="1" t="s">
        <v>34</v>
      </c>
      <c r="G208" s="1" t="s">
        <v>56</v>
      </c>
      <c r="H208" s="1" t="s">
        <v>61</v>
      </c>
      <c r="I208" s="1" t="s">
        <v>44</v>
      </c>
      <c r="J208" s="1">
        <v>8</v>
      </c>
      <c r="K208" s="1">
        <v>284.52</v>
      </c>
      <c r="L208" s="1">
        <v>15</v>
      </c>
    </row>
    <row r="209" spans="1:12" x14ac:dyDescent="0.3">
      <c r="A209" s="2">
        <v>45146</v>
      </c>
      <c r="B209" s="2">
        <v>45149</v>
      </c>
      <c r="C209" s="1" t="s">
        <v>33</v>
      </c>
      <c r="D209" s="1" t="s">
        <v>40</v>
      </c>
      <c r="E209" s="1" t="s">
        <v>23</v>
      </c>
      <c r="F209" s="1" t="s">
        <v>24</v>
      </c>
      <c r="G209" s="1" t="s">
        <v>48</v>
      </c>
      <c r="H209" s="1" t="s">
        <v>62</v>
      </c>
      <c r="I209" s="1" t="s">
        <v>46</v>
      </c>
      <c r="J209" s="1">
        <v>2</v>
      </c>
      <c r="K209" s="1">
        <v>3960.56</v>
      </c>
      <c r="L209" s="1">
        <v>10</v>
      </c>
    </row>
    <row r="210" spans="1:12" x14ac:dyDescent="0.3">
      <c r="A210" s="2">
        <v>45196</v>
      </c>
      <c r="B210" s="2">
        <v>45198</v>
      </c>
      <c r="C210" s="1" t="s">
        <v>15</v>
      </c>
      <c r="D210" s="1" t="s">
        <v>37</v>
      </c>
      <c r="E210" s="1" t="s">
        <v>16</v>
      </c>
      <c r="F210" s="1" t="s">
        <v>41</v>
      </c>
      <c r="G210" s="1" t="s">
        <v>56</v>
      </c>
      <c r="H210" s="1" t="s">
        <v>66</v>
      </c>
      <c r="I210" s="1" t="s">
        <v>44</v>
      </c>
      <c r="J210" s="1">
        <v>9</v>
      </c>
      <c r="K210" s="1">
        <v>265.58</v>
      </c>
      <c r="L210" s="1">
        <v>10</v>
      </c>
    </row>
    <row r="211" spans="1:12" x14ac:dyDescent="0.3">
      <c r="A211" s="2">
        <v>45046</v>
      </c>
      <c r="B211" s="2">
        <v>45049</v>
      </c>
      <c r="C211" s="1" t="s">
        <v>39</v>
      </c>
      <c r="D211" s="1" t="s">
        <v>40</v>
      </c>
      <c r="E211" s="1" t="s">
        <v>29</v>
      </c>
      <c r="F211" s="1" t="s">
        <v>17</v>
      </c>
      <c r="G211" s="1" t="s">
        <v>18</v>
      </c>
      <c r="H211" s="1" t="s">
        <v>65</v>
      </c>
      <c r="I211" s="1" t="s">
        <v>32</v>
      </c>
      <c r="J211" s="1">
        <v>6</v>
      </c>
      <c r="K211" s="1">
        <v>1861.43</v>
      </c>
      <c r="L211" s="1">
        <v>0</v>
      </c>
    </row>
    <row r="212" spans="1:12" x14ac:dyDescent="0.3">
      <c r="A212" s="2">
        <v>45108</v>
      </c>
      <c r="B212" s="2">
        <v>45109</v>
      </c>
      <c r="C212" s="1" t="s">
        <v>36</v>
      </c>
      <c r="D212" s="1" t="s">
        <v>22</v>
      </c>
      <c r="E212" s="1" t="s">
        <v>29</v>
      </c>
      <c r="F212" s="1" t="s">
        <v>17</v>
      </c>
      <c r="G212" s="1" t="s">
        <v>56</v>
      </c>
      <c r="H212" s="1" t="s">
        <v>58</v>
      </c>
      <c r="I212" s="1" t="s">
        <v>27</v>
      </c>
      <c r="J212" s="1">
        <v>2</v>
      </c>
      <c r="K212" s="1">
        <v>601.53</v>
      </c>
      <c r="L212" s="1">
        <v>20</v>
      </c>
    </row>
    <row r="213" spans="1:12" x14ac:dyDescent="0.3">
      <c r="A213" s="2">
        <v>45032</v>
      </c>
      <c r="B213" s="2">
        <v>45038</v>
      </c>
      <c r="C213" s="1" t="s">
        <v>33</v>
      </c>
      <c r="D213" s="1" t="s">
        <v>28</v>
      </c>
      <c r="E213" s="1" t="s">
        <v>16</v>
      </c>
      <c r="F213" s="1" t="s">
        <v>43</v>
      </c>
      <c r="G213" s="1" t="s">
        <v>51</v>
      </c>
      <c r="H213" s="1" t="s">
        <v>52</v>
      </c>
      <c r="I213" s="1" t="s">
        <v>44</v>
      </c>
      <c r="J213" s="1">
        <v>3</v>
      </c>
      <c r="K213" s="1">
        <v>800.89</v>
      </c>
      <c r="L213" s="1">
        <v>0</v>
      </c>
    </row>
    <row r="214" spans="1:12" x14ac:dyDescent="0.3">
      <c r="A214" s="2">
        <v>45143</v>
      </c>
      <c r="B214" s="2">
        <v>45148</v>
      </c>
      <c r="C214" s="1" t="s">
        <v>14</v>
      </c>
      <c r="D214" s="1" t="s">
        <v>15</v>
      </c>
      <c r="E214" s="1" t="s">
        <v>29</v>
      </c>
      <c r="F214" s="1" t="s">
        <v>41</v>
      </c>
      <c r="G214" s="1" t="s">
        <v>48</v>
      </c>
      <c r="H214" s="1" t="s">
        <v>50</v>
      </c>
      <c r="I214" s="1" t="s">
        <v>46</v>
      </c>
      <c r="J214" s="1">
        <v>8</v>
      </c>
      <c r="K214" s="1">
        <v>1504.45</v>
      </c>
      <c r="L214" s="1">
        <v>20</v>
      </c>
    </row>
    <row r="215" spans="1:12" x14ac:dyDescent="0.3">
      <c r="A215" s="2">
        <v>45131</v>
      </c>
      <c r="B215" s="2">
        <v>45139</v>
      </c>
      <c r="C215" s="1" t="s">
        <v>15</v>
      </c>
      <c r="D215" s="1" t="s">
        <v>28</v>
      </c>
      <c r="E215" s="1" t="s">
        <v>23</v>
      </c>
      <c r="F215" s="1" t="s">
        <v>24</v>
      </c>
      <c r="G215" s="1" t="s">
        <v>51</v>
      </c>
      <c r="H215" s="1" t="s">
        <v>52</v>
      </c>
      <c r="I215" s="1" t="s">
        <v>44</v>
      </c>
      <c r="J215" s="1">
        <v>1</v>
      </c>
      <c r="K215" s="1">
        <v>3082.45</v>
      </c>
      <c r="L215" s="1">
        <v>5</v>
      </c>
    </row>
    <row r="216" spans="1:12" x14ac:dyDescent="0.3">
      <c r="A216" s="2">
        <v>44996</v>
      </c>
      <c r="B216" s="2">
        <v>44998</v>
      </c>
      <c r="C216" s="1" t="s">
        <v>14</v>
      </c>
      <c r="D216" s="1" t="s">
        <v>53</v>
      </c>
      <c r="E216" s="1" t="s">
        <v>29</v>
      </c>
      <c r="F216" s="1" t="s">
        <v>34</v>
      </c>
      <c r="G216" s="1" t="s">
        <v>51</v>
      </c>
      <c r="H216" s="1" t="s">
        <v>63</v>
      </c>
      <c r="I216" s="1" t="s">
        <v>46</v>
      </c>
      <c r="J216" s="1">
        <v>7</v>
      </c>
      <c r="K216" s="1">
        <v>2102.27</v>
      </c>
      <c r="L216" s="1">
        <v>20</v>
      </c>
    </row>
    <row r="217" spans="1:12" x14ac:dyDescent="0.3">
      <c r="A217" s="2">
        <v>44970</v>
      </c>
      <c r="B217" s="2">
        <v>44974</v>
      </c>
      <c r="C217" s="1" t="s">
        <v>21</v>
      </c>
      <c r="D217" s="1" t="s">
        <v>15</v>
      </c>
      <c r="E217" s="1" t="s">
        <v>29</v>
      </c>
      <c r="F217" s="1" t="s">
        <v>41</v>
      </c>
      <c r="G217" s="1" t="s">
        <v>30</v>
      </c>
      <c r="H217" s="1" t="s">
        <v>38</v>
      </c>
      <c r="I217" s="1" t="s">
        <v>20</v>
      </c>
      <c r="J217" s="1">
        <v>7</v>
      </c>
      <c r="K217" s="1">
        <v>2605.92</v>
      </c>
      <c r="L217" s="1">
        <v>20</v>
      </c>
    </row>
    <row r="218" spans="1:12" x14ac:dyDescent="0.3">
      <c r="A218" s="2">
        <v>45255</v>
      </c>
      <c r="B218" s="2">
        <v>45263</v>
      </c>
      <c r="C218" s="1" t="s">
        <v>45</v>
      </c>
      <c r="D218" s="1" t="s">
        <v>40</v>
      </c>
      <c r="E218" s="1" t="s">
        <v>16</v>
      </c>
      <c r="F218" s="1" t="s">
        <v>17</v>
      </c>
      <c r="G218" s="1" t="s">
        <v>30</v>
      </c>
      <c r="H218" s="1" t="s">
        <v>64</v>
      </c>
      <c r="I218" s="1" t="s">
        <v>44</v>
      </c>
      <c r="J218" s="1">
        <v>1</v>
      </c>
      <c r="K218" s="1">
        <v>3942.92</v>
      </c>
      <c r="L218" s="1">
        <v>0</v>
      </c>
    </row>
    <row r="219" spans="1:12" x14ac:dyDescent="0.3">
      <c r="A219" s="2">
        <v>45154</v>
      </c>
      <c r="B219" s="2">
        <v>45155</v>
      </c>
      <c r="C219" s="1" t="s">
        <v>15</v>
      </c>
      <c r="D219" s="1" t="s">
        <v>22</v>
      </c>
      <c r="E219" s="1" t="s">
        <v>16</v>
      </c>
      <c r="F219" s="1" t="s">
        <v>24</v>
      </c>
      <c r="G219" s="1" t="s">
        <v>30</v>
      </c>
      <c r="H219" s="1" t="s">
        <v>47</v>
      </c>
      <c r="I219" s="1" t="s">
        <v>27</v>
      </c>
      <c r="J219" s="1">
        <v>8</v>
      </c>
      <c r="K219" s="1">
        <v>1822.29</v>
      </c>
      <c r="L219" s="1">
        <v>20</v>
      </c>
    </row>
    <row r="220" spans="1:12" x14ac:dyDescent="0.3">
      <c r="A220" s="2">
        <v>45110</v>
      </c>
      <c r="B220" s="2">
        <v>45114</v>
      </c>
      <c r="C220" s="1" t="s">
        <v>36</v>
      </c>
      <c r="D220" s="1" t="s">
        <v>37</v>
      </c>
      <c r="E220" s="1" t="s">
        <v>23</v>
      </c>
      <c r="F220" s="1" t="s">
        <v>41</v>
      </c>
      <c r="G220" s="1" t="s">
        <v>51</v>
      </c>
      <c r="H220" s="1" t="s">
        <v>59</v>
      </c>
      <c r="I220" s="1" t="s">
        <v>32</v>
      </c>
      <c r="J220" s="1">
        <v>4</v>
      </c>
      <c r="K220" s="1">
        <v>1868.8</v>
      </c>
      <c r="L220" s="1">
        <v>20</v>
      </c>
    </row>
    <row r="221" spans="1:12" x14ac:dyDescent="0.3">
      <c r="A221" s="2">
        <v>45033</v>
      </c>
      <c r="B221" s="2">
        <v>45034</v>
      </c>
      <c r="C221" s="1" t="s">
        <v>39</v>
      </c>
      <c r="D221" s="1" t="s">
        <v>40</v>
      </c>
      <c r="E221" s="1" t="s">
        <v>23</v>
      </c>
      <c r="F221" s="1" t="s">
        <v>34</v>
      </c>
      <c r="G221" s="1" t="s">
        <v>18</v>
      </c>
      <c r="H221" s="1" t="s">
        <v>19</v>
      </c>
      <c r="I221" s="1" t="s">
        <v>46</v>
      </c>
      <c r="J221" s="1">
        <v>5</v>
      </c>
      <c r="K221" s="1">
        <v>2532.27</v>
      </c>
      <c r="L221" s="1">
        <v>15</v>
      </c>
    </row>
    <row r="222" spans="1:12" x14ac:dyDescent="0.3">
      <c r="A222" s="2">
        <v>45010</v>
      </c>
      <c r="B222" s="2">
        <v>45012</v>
      </c>
      <c r="C222" s="1" t="s">
        <v>21</v>
      </c>
      <c r="D222" s="1" t="s">
        <v>15</v>
      </c>
      <c r="E222" s="1" t="s">
        <v>16</v>
      </c>
      <c r="F222" s="1" t="s">
        <v>41</v>
      </c>
      <c r="G222" s="1" t="s">
        <v>51</v>
      </c>
      <c r="H222" s="1" t="s">
        <v>63</v>
      </c>
      <c r="I222" s="1" t="s">
        <v>44</v>
      </c>
      <c r="J222" s="1">
        <v>2</v>
      </c>
      <c r="K222" s="1">
        <v>2711.66</v>
      </c>
      <c r="L222" s="1">
        <v>0</v>
      </c>
    </row>
    <row r="223" spans="1:12" x14ac:dyDescent="0.3">
      <c r="A223" s="2">
        <v>45289</v>
      </c>
      <c r="B223" s="2">
        <v>45297</v>
      </c>
      <c r="C223" s="1" t="s">
        <v>39</v>
      </c>
      <c r="D223" s="1" t="s">
        <v>40</v>
      </c>
      <c r="E223" s="1" t="s">
        <v>23</v>
      </c>
      <c r="F223" s="1" t="s">
        <v>43</v>
      </c>
      <c r="G223" s="1" t="s">
        <v>30</v>
      </c>
      <c r="H223" s="1" t="s">
        <v>31</v>
      </c>
      <c r="I223" s="1" t="s">
        <v>46</v>
      </c>
      <c r="J223" s="1">
        <v>3</v>
      </c>
      <c r="K223" s="1">
        <v>240.6</v>
      </c>
      <c r="L223" s="1">
        <v>5</v>
      </c>
    </row>
    <row r="224" spans="1:12" x14ac:dyDescent="0.3">
      <c r="A224" s="2">
        <v>45104</v>
      </c>
      <c r="B224" s="2">
        <v>45110</v>
      </c>
      <c r="C224" s="1" t="s">
        <v>21</v>
      </c>
      <c r="D224" s="1" t="s">
        <v>40</v>
      </c>
      <c r="E224" s="1" t="s">
        <v>16</v>
      </c>
      <c r="F224" s="1" t="s">
        <v>41</v>
      </c>
      <c r="G224" s="1" t="s">
        <v>30</v>
      </c>
      <c r="H224" s="1" t="s">
        <v>64</v>
      </c>
      <c r="I224" s="1" t="s">
        <v>27</v>
      </c>
      <c r="J224" s="1">
        <v>3</v>
      </c>
      <c r="K224" s="1">
        <v>647.32000000000005</v>
      </c>
      <c r="L224" s="1">
        <v>5</v>
      </c>
    </row>
    <row r="225" spans="1:12" x14ac:dyDescent="0.3">
      <c r="A225" s="2">
        <v>44933</v>
      </c>
      <c r="B225" s="2">
        <v>44936</v>
      </c>
      <c r="C225" s="1" t="s">
        <v>14</v>
      </c>
      <c r="D225" s="1" t="s">
        <v>53</v>
      </c>
      <c r="E225" s="1" t="s">
        <v>23</v>
      </c>
      <c r="F225" s="1" t="s">
        <v>24</v>
      </c>
      <c r="G225" s="1" t="s">
        <v>30</v>
      </c>
      <c r="H225" s="1" t="s">
        <v>31</v>
      </c>
      <c r="I225" s="1" t="s">
        <v>32</v>
      </c>
      <c r="J225" s="1">
        <v>2</v>
      </c>
      <c r="K225" s="1">
        <v>533.25</v>
      </c>
      <c r="L225" s="1">
        <v>0</v>
      </c>
    </row>
    <row r="226" spans="1:12" x14ac:dyDescent="0.3">
      <c r="A226" s="2">
        <v>44996</v>
      </c>
      <c r="B226" s="2">
        <v>44998</v>
      </c>
      <c r="C226" s="1" t="s">
        <v>14</v>
      </c>
      <c r="D226" s="1" t="s">
        <v>22</v>
      </c>
      <c r="E226" s="1" t="s">
        <v>16</v>
      </c>
      <c r="F226" s="1" t="s">
        <v>43</v>
      </c>
      <c r="G226" s="1" t="s">
        <v>56</v>
      </c>
      <c r="H226" s="1" t="s">
        <v>58</v>
      </c>
      <c r="I226" s="1" t="s">
        <v>20</v>
      </c>
      <c r="J226" s="1">
        <v>7</v>
      </c>
      <c r="K226" s="1">
        <v>2472.29</v>
      </c>
      <c r="L226" s="1">
        <v>10</v>
      </c>
    </row>
    <row r="227" spans="1:12" x14ac:dyDescent="0.3">
      <c r="A227" s="2">
        <v>45053</v>
      </c>
      <c r="B227" s="2">
        <v>45059</v>
      </c>
      <c r="C227" s="1" t="s">
        <v>39</v>
      </c>
      <c r="D227" s="1" t="s">
        <v>37</v>
      </c>
      <c r="E227" s="1" t="s">
        <v>29</v>
      </c>
      <c r="F227" s="1" t="s">
        <v>34</v>
      </c>
      <c r="G227" s="1" t="s">
        <v>48</v>
      </c>
      <c r="H227" s="1" t="s">
        <v>62</v>
      </c>
      <c r="I227" s="1" t="s">
        <v>32</v>
      </c>
      <c r="J227" s="1">
        <v>7</v>
      </c>
      <c r="K227" s="1">
        <v>2165.86</v>
      </c>
      <c r="L227" s="1">
        <v>0</v>
      </c>
    </row>
    <row r="228" spans="1:12" x14ac:dyDescent="0.3">
      <c r="A228" s="2">
        <v>45086</v>
      </c>
      <c r="B228" s="2">
        <v>45091</v>
      </c>
      <c r="C228" s="1" t="s">
        <v>14</v>
      </c>
      <c r="D228" s="1" t="s">
        <v>15</v>
      </c>
      <c r="E228" s="1" t="s">
        <v>29</v>
      </c>
      <c r="F228" s="1" t="s">
        <v>43</v>
      </c>
      <c r="G228" s="1" t="s">
        <v>51</v>
      </c>
      <c r="H228" s="1" t="s">
        <v>59</v>
      </c>
      <c r="I228" s="1" t="s">
        <v>46</v>
      </c>
      <c r="J228" s="1">
        <v>4</v>
      </c>
      <c r="K228" s="1">
        <v>1126.3</v>
      </c>
      <c r="L228" s="1">
        <v>20</v>
      </c>
    </row>
    <row r="229" spans="1:12" x14ac:dyDescent="0.3">
      <c r="A229" s="2">
        <v>45129</v>
      </c>
      <c r="B229" s="2">
        <v>45134</v>
      </c>
      <c r="C229" s="1" t="s">
        <v>39</v>
      </c>
      <c r="D229" s="1" t="s">
        <v>15</v>
      </c>
      <c r="E229" s="1" t="s">
        <v>29</v>
      </c>
      <c r="F229" s="1" t="s">
        <v>34</v>
      </c>
      <c r="G229" s="1" t="s">
        <v>25</v>
      </c>
      <c r="H229" s="1" t="s">
        <v>60</v>
      </c>
      <c r="I229" s="1" t="s">
        <v>32</v>
      </c>
      <c r="J229" s="1">
        <v>8</v>
      </c>
      <c r="K229" s="1">
        <v>2045.09</v>
      </c>
      <c r="L229" s="1">
        <v>10</v>
      </c>
    </row>
    <row r="230" spans="1:12" x14ac:dyDescent="0.3">
      <c r="A230" s="2">
        <v>45074</v>
      </c>
      <c r="B230" s="2">
        <v>45079</v>
      </c>
      <c r="C230" s="1" t="s">
        <v>39</v>
      </c>
      <c r="D230" s="1" t="s">
        <v>37</v>
      </c>
      <c r="E230" s="1" t="s">
        <v>29</v>
      </c>
      <c r="F230" s="1" t="s">
        <v>43</v>
      </c>
      <c r="G230" s="1" t="s">
        <v>51</v>
      </c>
      <c r="H230" s="1" t="s">
        <v>52</v>
      </c>
      <c r="I230" s="1" t="s">
        <v>46</v>
      </c>
      <c r="J230" s="1">
        <v>1</v>
      </c>
      <c r="K230" s="1">
        <v>900.78</v>
      </c>
      <c r="L230" s="1">
        <v>5</v>
      </c>
    </row>
    <row r="231" spans="1:12" x14ac:dyDescent="0.3">
      <c r="A231" s="2">
        <v>45069</v>
      </c>
      <c r="B231" s="2">
        <v>45072</v>
      </c>
      <c r="C231" s="1" t="s">
        <v>36</v>
      </c>
      <c r="D231" s="1" t="s">
        <v>15</v>
      </c>
      <c r="E231" s="1" t="s">
        <v>29</v>
      </c>
      <c r="F231" s="1" t="s">
        <v>41</v>
      </c>
      <c r="G231" s="1" t="s">
        <v>30</v>
      </c>
      <c r="H231" s="1" t="s">
        <v>38</v>
      </c>
      <c r="I231" s="1" t="s">
        <v>27</v>
      </c>
      <c r="J231" s="1">
        <v>1</v>
      </c>
      <c r="K231" s="1">
        <v>2660.56</v>
      </c>
      <c r="L231" s="1">
        <v>10</v>
      </c>
    </row>
    <row r="232" spans="1:12" x14ac:dyDescent="0.3">
      <c r="A232" s="2">
        <v>45125</v>
      </c>
      <c r="B232" s="2">
        <v>45132</v>
      </c>
      <c r="C232" s="1" t="s">
        <v>14</v>
      </c>
      <c r="D232" s="1" t="s">
        <v>40</v>
      </c>
      <c r="E232" s="1" t="s">
        <v>23</v>
      </c>
      <c r="F232" s="1" t="s">
        <v>34</v>
      </c>
      <c r="G232" s="1" t="s">
        <v>48</v>
      </c>
      <c r="H232" s="1" t="s">
        <v>50</v>
      </c>
      <c r="I232" s="1" t="s">
        <v>46</v>
      </c>
      <c r="J232" s="1">
        <v>5</v>
      </c>
      <c r="K232" s="1">
        <v>3156.54</v>
      </c>
      <c r="L232" s="1">
        <v>20</v>
      </c>
    </row>
    <row r="233" spans="1:12" x14ac:dyDescent="0.3">
      <c r="A233" s="2">
        <v>45080</v>
      </c>
      <c r="B233" s="2">
        <v>45086</v>
      </c>
      <c r="C233" s="1" t="s">
        <v>21</v>
      </c>
      <c r="D233" s="1" t="s">
        <v>28</v>
      </c>
      <c r="E233" s="1" t="s">
        <v>23</v>
      </c>
      <c r="F233" s="1" t="s">
        <v>34</v>
      </c>
      <c r="G233" s="1" t="s">
        <v>30</v>
      </c>
      <c r="H233" s="1" t="s">
        <v>64</v>
      </c>
      <c r="I233" s="1" t="s">
        <v>44</v>
      </c>
      <c r="J233" s="1">
        <v>6</v>
      </c>
      <c r="K233" s="1">
        <v>3197.13</v>
      </c>
      <c r="L233" s="1">
        <v>10</v>
      </c>
    </row>
    <row r="234" spans="1:12" x14ac:dyDescent="0.3">
      <c r="A234" s="2">
        <v>45068</v>
      </c>
      <c r="B234" s="2">
        <v>45072</v>
      </c>
      <c r="C234" s="1" t="s">
        <v>39</v>
      </c>
      <c r="D234" s="1" t="s">
        <v>15</v>
      </c>
      <c r="E234" s="1" t="s">
        <v>29</v>
      </c>
      <c r="F234" s="1" t="s">
        <v>24</v>
      </c>
      <c r="G234" s="1" t="s">
        <v>18</v>
      </c>
      <c r="H234" s="1" t="s">
        <v>65</v>
      </c>
      <c r="I234" s="1" t="s">
        <v>46</v>
      </c>
      <c r="J234" s="1">
        <v>3</v>
      </c>
      <c r="K234" s="1">
        <v>2469.5100000000002</v>
      </c>
      <c r="L234" s="1">
        <v>0</v>
      </c>
    </row>
    <row r="235" spans="1:12" x14ac:dyDescent="0.3">
      <c r="A235" s="2">
        <v>45091</v>
      </c>
      <c r="B235" s="2">
        <v>45100</v>
      </c>
      <c r="C235" s="1" t="s">
        <v>45</v>
      </c>
      <c r="D235" s="1" t="s">
        <v>53</v>
      </c>
      <c r="E235" s="1" t="s">
        <v>29</v>
      </c>
      <c r="F235" s="1" t="s">
        <v>17</v>
      </c>
      <c r="G235" s="1" t="s">
        <v>30</v>
      </c>
      <c r="H235" s="1" t="s">
        <v>38</v>
      </c>
      <c r="I235" s="1" t="s">
        <v>44</v>
      </c>
      <c r="J235" s="1">
        <v>6</v>
      </c>
      <c r="K235" s="1">
        <v>384.88</v>
      </c>
      <c r="L235" s="1">
        <v>5</v>
      </c>
    </row>
    <row r="236" spans="1:12" x14ac:dyDescent="0.3">
      <c r="A236" s="2">
        <v>45240</v>
      </c>
      <c r="B236" s="2">
        <v>45241</v>
      </c>
      <c r="C236" s="1" t="s">
        <v>36</v>
      </c>
      <c r="D236" s="1" t="s">
        <v>15</v>
      </c>
      <c r="E236" s="1" t="s">
        <v>23</v>
      </c>
      <c r="F236" s="1" t="s">
        <v>43</v>
      </c>
      <c r="G236" s="1" t="s">
        <v>51</v>
      </c>
      <c r="H236" s="1" t="s">
        <v>59</v>
      </c>
      <c r="I236" s="1" t="s">
        <v>32</v>
      </c>
      <c r="J236" s="1">
        <v>4</v>
      </c>
      <c r="K236" s="1">
        <v>1258.1500000000001</v>
      </c>
      <c r="L236" s="1">
        <v>0</v>
      </c>
    </row>
    <row r="237" spans="1:12" x14ac:dyDescent="0.3">
      <c r="A237" s="2">
        <v>44947</v>
      </c>
      <c r="B237" s="2">
        <v>44951</v>
      </c>
      <c r="C237" s="1" t="s">
        <v>15</v>
      </c>
      <c r="D237" s="1" t="s">
        <v>53</v>
      </c>
      <c r="E237" s="1" t="s">
        <v>23</v>
      </c>
      <c r="F237" s="1" t="s">
        <v>24</v>
      </c>
      <c r="G237" s="1" t="s">
        <v>51</v>
      </c>
      <c r="H237" s="1" t="s">
        <v>63</v>
      </c>
      <c r="I237" s="1" t="s">
        <v>32</v>
      </c>
      <c r="J237" s="1">
        <v>7</v>
      </c>
      <c r="K237" s="1">
        <v>509.1</v>
      </c>
      <c r="L237" s="1">
        <v>15</v>
      </c>
    </row>
    <row r="238" spans="1:12" x14ac:dyDescent="0.3">
      <c r="A238" s="2">
        <v>44995</v>
      </c>
      <c r="B238" s="2">
        <v>45001</v>
      </c>
      <c r="C238" s="1" t="s">
        <v>39</v>
      </c>
      <c r="D238" s="1" t="s">
        <v>40</v>
      </c>
      <c r="E238" s="1" t="s">
        <v>29</v>
      </c>
      <c r="F238" s="1" t="s">
        <v>17</v>
      </c>
      <c r="G238" s="1" t="s">
        <v>25</v>
      </c>
      <c r="H238" s="1" t="s">
        <v>68</v>
      </c>
      <c r="I238" s="1" t="s">
        <v>44</v>
      </c>
      <c r="J238" s="1">
        <v>9</v>
      </c>
      <c r="K238" s="1">
        <v>670.06</v>
      </c>
      <c r="L238" s="1">
        <v>20</v>
      </c>
    </row>
    <row r="239" spans="1:12" x14ac:dyDescent="0.3">
      <c r="A239" s="2">
        <v>45144</v>
      </c>
      <c r="B239" s="2">
        <v>45149</v>
      </c>
      <c r="C239" s="1" t="s">
        <v>45</v>
      </c>
      <c r="D239" s="1" t="s">
        <v>40</v>
      </c>
      <c r="E239" s="1" t="s">
        <v>23</v>
      </c>
      <c r="F239" s="1" t="s">
        <v>17</v>
      </c>
      <c r="G239" s="1" t="s">
        <v>48</v>
      </c>
      <c r="H239" s="1" t="s">
        <v>67</v>
      </c>
      <c r="I239" s="1" t="s">
        <v>32</v>
      </c>
      <c r="J239" s="1">
        <v>8</v>
      </c>
      <c r="K239" s="1">
        <v>3784.12</v>
      </c>
      <c r="L239" s="1">
        <v>15</v>
      </c>
    </row>
    <row r="240" spans="1:12" x14ac:dyDescent="0.3">
      <c r="A240" s="2">
        <v>45231</v>
      </c>
      <c r="B240" s="2">
        <v>45240</v>
      </c>
      <c r="C240" s="1" t="s">
        <v>45</v>
      </c>
      <c r="D240" s="1" t="s">
        <v>53</v>
      </c>
      <c r="E240" s="1" t="s">
        <v>29</v>
      </c>
      <c r="F240" s="1" t="s">
        <v>43</v>
      </c>
      <c r="G240" s="1" t="s">
        <v>25</v>
      </c>
      <c r="H240" s="1" t="s">
        <v>68</v>
      </c>
      <c r="I240" s="1" t="s">
        <v>20</v>
      </c>
      <c r="J240" s="1">
        <v>5</v>
      </c>
      <c r="K240" s="1">
        <v>3098.44</v>
      </c>
      <c r="L240" s="1">
        <v>0</v>
      </c>
    </row>
    <row r="241" spans="1:12" x14ac:dyDescent="0.3">
      <c r="A241" s="2">
        <v>45043</v>
      </c>
      <c r="B241" s="2">
        <v>45050</v>
      </c>
      <c r="C241" s="1" t="s">
        <v>14</v>
      </c>
      <c r="D241" s="1" t="s">
        <v>28</v>
      </c>
      <c r="E241" s="1" t="s">
        <v>16</v>
      </c>
      <c r="F241" s="1" t="s">
        <v>43</v>
      </c>
      <c r="G241" s="1" t="s">
        <v>56</v>
      </c>
      <c r="H241" s="1" t="s">
        <v>57</v>
      </c>
      <c r="I241" s="1" t="s">
        <v>27</v>
      </c>
      <c r="J241" s="1">
        <v>6</v>
      </c>
      <c r="K241" s="1">
        <v>220.79</v>
      </c>
      <c r="L241" s="1">
        <v>5</v>
      </c>
    </row>
    <row r="242" spans="1:12" x14ac:dyDescent="0.3">
      <c r="A242" s="2">
        <v>45122</v>
      </c>
      <c r="B242" s="2">
        <v>45125</v>
      </c>
      <c r="C242" s="1" t="s">
        <v>21</v>
      </c>
      <c r="D242" s="1" t="s">
        <v>37</v>
      </c>
      <c r="E242" s="1" t="s">
        <v>23</v>
      </c>
      <c r="F242" s="1" t="s">
        <v>17</v>
      </c>
      <c r="G242" s="1" t="s">
        <v>56</v>
      </c>
      <c r="H242" s="1" t="s">
        <v>66</v>
      </c>
      <c r="I242" s="1" t="s">
        <v>20</v>
      </c>
      <c r="J242" s="1">
        <v>6</v>
      </c>
      <c r="K242" s="1">
        <v>1936.66</v>
      </c>
      <c r="L242" s="1">
        <v>0</v>
      </c>
    </row>
    <row r="243" spans="1:12" x14ac:dyDescent="0.3">
      <c r="A243" s="2">
        <v>45012</v>
      </c>
      <c r="B243" s="2">
        <v>45014</v>
      </c>
      <c r="C243" s="1" t="s">
        <v>36</v>
      </c>
      <c r="D243" s="1" t="s">
        <v>53</v>
      </c>
      <c r="E243" s="1" t="s">
        <v>16</v>
      </c>
      <c r="F243" s="1" t="s">
        <v>24</v>
      </c>
      <c r="G243" s="1" t="s">
        <v>56</v>
      </c>
      <c r="H243" s="1" t="s">
        <v>57</v>
      </c>
      <c r="I243" s="1" t="s">
        <v>20</v>
      </c>
      <c r="J243" s="1">
        <v>7</v>
      </c>
      <c r="K243" s="1">
        <v>1396.71</v>
      </c>
      <c r="L243" s="1">
        <v>20</v>
      </c>
    </row>
    <row r="244" spans="1:12" x14ac:dyDescent="0.3">
      <c r="A244" s="2">
        <v>45215</v>
      </c>
      <c r="B244" s="2">
        <v>45218</v>
      </c>
      <c r="C244" s="1" t="s">
        <v>36</v>
      </c>
      <c r="D244" s="1" t="s">
        <v>40</v>
      </c>
      <c r="E244" s="1" t="s">
        <v>29</v>
      </c>
      <c r="F244" s="1" t="s">
        <v>17</v>
      </c>
      <c r="G244" s="1" t="s">
        <v>18</v>
      </c>
      <c r="H244" s="1" t="s">
        <v>19</v>
      </c>
      <c r="I244" s="1" t="s">
        <v>27</v>
      </c>
      <c r="J244" s="1">
        <v>8</v>
      </c>
      <c r="K244" s="1">
        <v>2695.39</v>
      </c>
      <c r="L244" s="1">
        <v>10</v>
      </c>
    </row>
    <row r="245" spans="1:12" x14ac:dyDescent="0.3">
      <c r="A245" s="2">
        <v>45007</v>
      </c>
      <c r="B245" s="2">
        <v>45008</v>
      </c>
      <c r="C245" s="1" t="s">
        <v>14</v>
      </c>
      <c r="D245" s="1" t="s">
        <v>53</v>
      </c>
      <c r="E245" s="1" t="s">
        <v>23</v>
      </c>
      <c r="F245" s="1" t="s">
        <v>24</v>
      </c>
      <c r="G245" s="1" t="s">
        <v>51</v>
      </c>
      <c r="H245" s="1" t="s">
        <v>52</v>
      </c>
      <c r="I245" s="1" t="s">
        <v>32</v>
      </c>
      <c r="J245" s="1">
        <v>9</v>
      </c>
      <c r="K245" s="1">
        <v>2661.11</v>
      </c>
      <c r="L245" s="1">
        <v>10</v>
      </c>
    </row>
    <row r="246" spans="1:12" x14ac:dyDescent="0.3">
      <c r="A246" s="2">
        <v>44987</v>
      </c>
      <c r="B246" s="2">
        <v>44994</v>
      </c>
      <c r="C246" s="1" t="s">
        <v>21</v>
      </c>
      <c r="D246" s="1" t="s">
        <v>15</v>
      </c>
      <c r="E246" s="1" t="s">
        <v>23</v>
      </c>
      <c r="F246" s="1" t="s">
        <v>34</v>
      </c>
      <c r="G246" s="1" t="s">
        <v>18</v>
      </c>
      <c r="H246" s="1" t="s">
        <v>42</v>
      </c>
      <c r="I246" s="1" t="s">
        <v>44</v>
      </c>
      <c r="J246" s="1">
        <v>3</v>
      </c>
      <c r="K246" s="1">
        <v>967.49</v>
      </c>
      <c r="L246" s="1">
        <v>0</v>
      </c>
    </row>
    <row r="247" spans="1:12" x14ac:dyDescent="0.3">
      <c r="A247" s="2">
        <v>45280</v>
      </c>
      <c r="B247" s="2">
        <v>45284</v>
      </c>
      <c r="C247" s="1" t="s">
        <v>33</v>
      </c>
      <c r="D247" s="1" t="s">
        <v>22</v>
      </c>
      <c r="E247" s="1" t="s">
        <v>23</v>
      </c>
      <c r="F247" s="1" t="s">
        <v>41</v>
      </c>
      <c r="G247" s="1" t="s">
        <v>30</v>
      </c>
      <c r="H247" s="1" t="s">
        <v>47</v>
      </c>
      <c r="I247" s="1" t="s">
        <v>32</v>
      </c>
      <c r="J247" s="1">
        <v>1</v>
      </c>
      <c r="K247" s="1">
        <v>619.73</v>
      </c>
      <c r="L247" s="1">
        <v>0</v>
      </c>
    </row>
    <row r="248" spans="1:12" x14ac:dyDescent="0.3">
      <c r="A248" s="2">
        <v>44954</v>
      </c>
      <c r="B248" s="2">
        <v>44957</v>
      </c>
      <c r="C248" s="1" t="s">
        <v>15</v>
      </c>
      <c r="D248" s="1" t="s">
        <v>15</v>
      </c>
      <c r="E248" s="1" t="s">
        <v>16</v>
      </c>
      <c r="F248" s="1" t="s">
        <v>34</v>
      </c>
      <c r="G248" s="1" t="s">
        <v>30</v>
      </c>
      <c r="H248" s="1" t="s">
        <v>47</v>
      </c>
      <c r="I248" s="1" t="s">
        <v>46</v>
      </c>
      <c r="J248" s="1">
        <v>5</v>
      </c>
      <c r="K248" s="1">
        <v>2850.33</v>
      </c>
      <c r="L248" s="1">
        <v>5</v>
      </c>
    </row>
    <row r="249" spans="1:12" x14ac:dyDescent="0.3">
      <c r="A249" s="2">
        <v>45024</v>
      </c>
      <c r="B249" s="2">
        <v>45027</v>
      </c>
      <c r="C249" s="1" t="s">
        <v>15</v>
      </c>
      <c r="D249" s="1" t="s">
        <v>28</v>
      </c>
      <c r="E249" s="1" t="s">
        <v>23</v>
      </c>
      <c r="F249" s="1" t="s">
        <v>17</v>
      </c>
      <c r="G249" s="1" t="s">
        <v>30</v>
      </c>
      <c r="H249" s="1" t="s">
        <v>64</v>
      </c>
      <c r="I249" s="1" t="s">
        <v>32</v>
      </c>
      <c r="J249" s="1">
        <v>7</v>
      </c>
      <c r="K249" s="1">
        <v>636.59</v>
      </c>
      <c r="L249" s="1">
        <v>5</v>
      </c>
    </row>
    <row r="250" spans="1:12" x14ac:dyDescent="0.3">
      <c r="A250" s="2">
        <v>45124</v>
      </c>
      <c r="B250" s="2">
        <v>45125</v>
      </c>
      <c r="C250" s="1" t="s">
        <v>36</v>
      </c>
      <c r="D250" s="1" t="s">
        <v>28</v>
      </c>
      <c r="E250" s="1" t="s">
        <v>16</v>
      </c>
      <c r="F250" s="1" t="s">
        <v>24</v>
      </c>
      <c r="G250" s="1" t="s">
        <v>56</v>
      </c>
      <c r="H250" s="1" t="s">
        <v>66</v>
      </c>
      <c r="I250" s="1" t="s">
        <v>20</v>
      </c>
      <c r="J250" s="1">
        <v>6</v>
      </c>
      <c r="K250" s="1">
        <v>257.2</v>
      </c>
      <c r="L250" s="1">
        <v>0</v>
      </c>
    </row>
    <row r="251" spans="1:12" x14ac:dyDescent="0.3">
      <c r="A251" s="2">
        <v>45024</v>
      </c>
      <c r="B251" s="2">
        <v>45027</v>
      </c>
      <c r="C251" s="1" t="s">
        <v>39</v>
      </c>
      <c r="D251" s="1" t="s">
        <v>22</v>
      </c>
      <c r="E251" s="1" t="s">
        <v>23</v>
      </c>
      <c r="F251" s="1" t="s">
        <v>24</v>
      </c>
      <c r="G251" s="1" t="s">
        <v>25</v>
      </c>
      <c r="H251" s="1" t="s">
        <v>60</v>
      </c>
      <c r="I251" s="1" t="s">
        <v>20</v>
      </c>
      <c r="J251" s="1">
        <v>4</v>
      </c>
      <c r="K251" s="1">
        <v>2547.52</v>
      </c>
      <c r="L251" s="1">
        <v>20</v>
      </c>
    </row>
    <row r="252" spans="1:12" x14ac:dyDescent="0.3">
      <c r="A252" s="2">
        <v>44991</v>
      </c>
      <c r="B252" s="2">
        <v>44993</v>
      </c>
      <c r="C252" s="1" t="s">
        <v>45</v>
      </c>
      <c r="D252" s="1" t="s">
        <v>40</v>
      </c>
      <c r="E252" s="1" t="s">
        <v>16</v>
      </c>
      <c r="F252" s="1" t="s">
        <v>34</v>
      </c>
      <c r="G252" s="1" t="s">
        <v>30</v>
      </c>
      <c r="H252" s="1" t="s">
        <v>47</v>
      </c>
      <c r="I252" s="1" t="s">
        <v>20</v>
      </c>
      <c r="J252" s="1">
        <v>2</v>
      </c>
      <c r="K252" s="1">
        <v>3256.02</v>
      </c>
      <c r="L252" s="1">
        <v>20</v>
      </c>
    </row>
    <row r="253" spans="1:12" x14ac:dyDescent="0.3">
      <c r="A253" s="2">
        <v>45256</v>
      </c>
      <c r="B253" s="2">
        <v>45264</v>
      </c>
      <c r="C253" s="1" t="s">
        <v>45</v>
      </c>
      <c r="D253" s="1" t="s">
        <v>28</v>
      </c>
      <c r="E253" s="1" t="s">
        <v>29</v>
      </c>
      <c r="F253" s="1" t="s">
        <v>41</v>
      </c>
      <c r="G253" s="1" t="s">
        <v>56</v>
      </c>
      <c r="H253" s="1" t="s">
        <v>61</v>
      </c>
      <c r="I253" s="1" t="s">
        <v>27</v>
      </c>
      <c r="J253" s="1">
        <v>1</v>
      </c>
      <c r="K253" s="1">
        <v>3391.76</v>
      </c>
      <c r="L253" s="1">
        <v>20</v>
      </c>
    </row>
    <row r="254" spans="1:12" x14ac:dyDescent="0.3">
      <c r="A254" s="2">
        <v>45267</v>
      </c>
      <c r="B254" s="2">
        <v>45273</v>
      </c>
      <c r="C254" s="1" t="s">
        <v>14</v>
      </c>
      <c r="D254" s="1" t="s">
        <v>15</v>
      </c>
      <c r="E254" s="1" t="s">
        <v>23</v>
      </c>
      <c r="F254" s="1" t="s">
        <v>41</v>
      </c>
      <c r="G254" s="1" t="s">
        <v>56</v>
      </c>
      <c r="H254" s="1" t="s">
        <v>57</v>
      </c>
      <c r="I254" s="1" t="s">
        <v>27</v>
      </c>
      <c r="J254" s="1">
        <v>4</v>
      </c>
      <c r="K254" s="1">
        <v>2008.45</v>
      </c>
      <c r="L254" s="1">
        <v>5</v>
      </c>
    </row>
    <row r="255" spans="1:12" x14ac:dyDescent="0.3">
      <c r="A255" s="2">
        <v>44931</v>
      </c>
      <c r="B255" s="2">
        <v>44940</v>
      </c>
      <c r="C255" s="1" t="s">
        <v>36</v>
      </c>
      <c r="D255" s="1" t="s">
        <v>22</v>
      </c>
      <c r="E255" s="1" t="s">
        <v>29</v>
      </c>
      <c r="F255" s="1" t="s">
        <v>24</v>
      </c>
      <c r="G255" s="1" t="s">
        <v>51</v>
      </c>
      <c r="H255" s="1" t="s">
        <v>52</v>
      </c>
      <c r="I255" s="1" t="s">
        <v>44</v>
      </c>
      <c r="J255" s="1">
        <v>4</v>
      </c>
      <c r="K255" s="1">
        <v>3143.2</v>
      </c>
      <c r="L255" s="1">
        <v>0</v>
      </c>
    </row>
    <row r="256" spans="1:12" x14ac:dyDescent="0.3">
      <c r="A256" s="2">
        <v>44928</v>
      </c>
      <c r="B256" s="2">
        <v>44936</v>
      </c>
      <c r="C256" s="1" t="s">
        <v>33</v>
      </c>
      <c r="D256" s="1" t="s">
        <v>28</v>
      </c>
      <c r="E256" s="1" t="s">
        <v>29</v>
      </c>
      <c r="F256" s="1" t="s">
        <v>43</v>
      </c>
      <c r="G256" s="1" t="s">
        <v>48</v>
      </c>
      <c r="H256" s="1" t="s">
        <v>50</v>
      </c>
      <c r="I256" s="1" t="s">
        <v>46</v>
      </c>
      <c r="J256" s="1">
        <v>1</v>
      </c>
      <c r="K256" s="1">
        <v>2740.46</v>
      </c>
      <c r="L256" s="1">
        <v>10</v>
      </c>
    </row>
    <row r="257" spans="1:12" x14ac:dyDescent="0.3">
      <c r="A257" s="2">
        <v>45038</v>
      </c>
      <c r="B257" s="2">
        <v>45043</v>
      </c>
      <c r="C257" s="1" t="s">
        <v>45</v>
      </c>
      <c r="D257" s="1" t="s">
        <v>22</v>
      </c>
      <c r="E257" s="1" t="s">
        <v>23</v>
      </c>
      <c r="F257" s="1" t="s">
        <v>17</v>
      </c>
      <c r="G257" s="1" t="s">
        <v>18</v>
      </c>
      <c r="H257" s="1" t="s">
        <v>42</v>
      </c>
      <c r="I257" s="1" t="s">
        <v>32</v>
      </c>
      <c r="J257" s="1">
        <v>4</v>
      </c>
      <c r="K257" s="1">
        <v>2046.51</v>
      </c>
      <c r="L257" s="1">
        <v>5</v>
      </c>
    </row>
    <row r="258" spans="1:12" x14ac:dyDescent="0.3">
      <c r="A258" s="2">
        <v>44983</v>
      </c>
      <c r="B258" s="2">
        <v>44990</v>
      </c>
      <c r="C258" s="1" t="s">
        <v>45</v>
      </c>
      <c r="D258" s="1" t="s">
        <v>37</v>
      </c>
      <c r="E258" s="1" t="s">
        <v>29</v>
      </c>
      <c r="F258" s="1" t="s">
        <v>17</v>
      </c>
      <c r="G258" s="1" t="s">
        <v>51</v>
      </c>
      <c r="H258" s="1" t="s">
        <v>55</v>
      </c>
      <c r="I258" s="1" t="s">
        <v>32</v>
      </c>
      <c r="J258" s="1">
        <v>1</v>
      </c>
      <c r="K258" s="1">
        <v>2588.64</v>
      </c>
      <c r="L258" s="1">
        <v>0</v>
      </c>
    </row>
    <row r="259" spans="1:12" x14ac:dyDescent="0.3">
      <c r="A259" s="2">
        <v>44992</v>
      </c>
      <c r="B259" s="2">
        <v>44997</v>
      </c>
      <c r="C259" s="1" t="s">
        <v>39</v>
      </c>
      <c r="D259" s="1" t="s">
        <v>40</v>
      </c>
      <c r="E259" s="1" t="s">
        <v>16</v>
      </c>
      <c r="F259" s="1" t="s">
        <v>34</v>
      </c>
      <c r="G259" s="1" t="s">
        <v>56</v>
      </c>
      <c r="H259" s="1" t="s">
        <v>61</v>
      </c>
      <c r="I259" s="1" t="s">
        <v>44</v>
      </c>
      <c r="J259" s="1">
        <v>1</v>
      </c>
      <c r="K259" s="1">
        <v>3251.27</v>
      </c>
      <c r="L259" s="1">
        <v>15</v>
      </c>
    </row>
    <row r="260" spans="1:12" x14ac:dyDescent="0.3">
      <c r="A260" s="2">
        <v>45256</v>
      </c>
      <c r="B260" s="2">
        <v>45264</v>
      </c>
      <c r="C260" s="1" t="s">
        <v>36</v>
      </c>
      <c r="D260" s="1" t="s">
        <v>15</v>
      </c>
      <c r="E260" s="1" t="s">
        <v>23</v>
      </c>
      <c r="F260" s="1" t="s">
        <v>24</v>
      </c>
      <c r="G260" s="1" t="s">
        <v>25</v>
      </c>
      <c r="H260" s="1" t="s">
        <v>68</v>
      </c>
      <c r="I260" s="1" t="s">
        <v>27</v>
      </c>
      <c r="J260" s="1">
        <v>1</v>
      </c>
      <c r="K260" s="1">
        <v>1681.85</v>
      </c>
      <c r="L260" s="1">
        <v>5</v>
      </c>
    </row>
    <row r="261" spans="1:12" x14ac:dyDescent="0.3">
      <c r="A261" s="2">
        <v>45024</v>
      </c>
      <c r="B261" s="2">
        <v>45029</v>
      </c>
      <c r="C261" s="1" t="s">
        <v>36</v>
      </c>
      <c r="D261" s="1" t="s">
        <v>28</v>
      </c>
      <c r="E261" s="1" t="s">
        <v>23</v>
      </c>
      <c r="F261" s="1" t="s">
        <v>17</v>
      </c>
      <c r="G261" s="1" t="s">
        <v>48</v>
      </c>
      <c r="H261" s="1" t="s">
        <v>49</v>
      </c>
      <c r="I261" s="1" t="s">
        <v>44</v>
      </c>
      <c r="J261" s="1">
        <v>8</v>
      </c>
      <c r="K261" s="1">
        <v>3253.02</v>
      </c>
      <c r="L261" s="1">
        <v>15</v>
      </c>
    </row>
    <row r="262" spans="1:12" x14ac:dyDescent="0.3">
      <c r="A262" s="2">
        <v>45070</v>
      </c>
      <c r="B262" s="2">
        <v>45071</v>
      </c>
      <c r="C262" s="1" t="s">
        <v>45</v>
      </c>
      <c r="D262" s="1" t="s">
        <v>37</v>
      </c>
      <c r="E262" s="1" t="s">
        <v>29</v>
      </c>
      <c r="F262" s="1" t="s">
        <v>17</v>
      </c>
      <c r="G262" s="1" t="s">
        <v>56</v>
      </c>
      <c r="H262" s="1" t="s">
        <v>57</v>
      </c>
      <c r="I262" s="1" t="s">
        <v>32</v>
      </c>
      <c r="J262" s="1">
        <v>8</v>
      </c>
      <c r="K262" s="1">
        <v>2429.2600000000002</v>
      </c>
      <c r="L262" s="1">
        <v>15</v>
      </c>
    </row>
    <row r="263" spans="1:12" x14ac:dyDescent="0.3">
      <c r="A263" s="2">
        <v>45051</v>
      </c>
      <c r="B263" s="2">
        <v>45056</v>
      </c>
      <c r="C263" s="1" t="s">
        <v>33</v>
      </c>
      <c r="D263" s="1" t="s">
        <v>37</v>
      </c>
      <c r="E263" s="1" t="s">
        <v>23</v>
      </c>
      <c r="F263" s="1" t="s">
        <v>24</v>
      </c>
      <c r="G263" s="1" t="s">
        <v>48</v>
      </c>
      <c r="H263" s="1" t="s">
        <v>62</v>
      </c>
      <c r="I263" s="1" t="s">
        <v>46</v>
      </c>
      <c r="J263" s="1">
        <v>2</v>
      </c>
      <c r="K263" s="1">
        <v>788.72</v>
      </c>
      <c r="L263" s="1">
        <v>20</v>
      </c>
    </row>
    <row r="264" spans="1:12" x14ac:dyDescent="0.3">
      <c r="A264" s="2">
        <v>45093</v>
      </c>
      <c r="B264" s="2">
        <v>45097</v>
      </c>
      <c r="C264" s="1" t="s">
        <v>14</v>
      </c>
      <c r="D264" s="1" t="s">
        <v>22</v>
      </c>
      <c r="E264" s="1" t="s">
        <v>29</v>
      </c>
      <c r="F264" s="1" t="s">
        <v>34</v>
      </c>
      <c r="G264" s="1" t="s">
        <v>48</v>
      </c>
      <c r="H264" s="1" t="s">
        <v>67</v>
      </c>
      <c r="I264" s="1" t="s">
        <v>20</v>
      </c>
      <c r="J264" s="1">
        <v>7</v>
      </c>
      <c r="K264" s="1">
        <v>245.03</v>
      </c>
      <c r="L264" s="1">
        <v>0</v>
      </c>
    </row>
    <row r="265" spans="1:12" x14ac:dyDescent="0.3">
      <c r="A265" s="2">
        <v>45002</v>
      </c>
      <c r="B265" s="2">
        <v>45005</v>
      </c>
      <c r="C265" s="1" t="s">
        <v>14</v>
      </c>
      <c r="D265" s="1" t="s">
        <v>15</v>
      </c>
      <c r="E265" s="1" t="s">
        <v>16</v>
      </c>
      <c r="F265" s="1" t="s">
        <v>34</v>
      </c>
      <c r="G265" s="1" t="s">
        <v>25</v>
      </c>
      <c r="H265" s="1" t="s">
        <v>35</v>
      </c>
      <c r="I265" s="1" t="s">
        <v>27</v>
      </c>
      <c r="J265" s="1">
        <v>8</v>
      </c>
      <c r="K265" s="1">
        <v>2254.7800000000002</v>
      </c>
      <c r="L265" s="1">
        <v>0</v>
      </c>
    </row>
    <row r="266" spans="1:12" x14ac:dyDescent="0.3">
      <c r="A266" s="2">
        <v>45270</v>
      </c>
      <c r="B266" s="2">
        <v>45275</v>
      </c>
      <c r="C266" s="1" t="s">
        <v>36</v>
      </c>
      <c r="D266" s="1" t="s">
        <v>15</v>
      </c>
      <c r="E266" s="1" t="s">
        <v>29</v>
      </c>
      <c r="F266" s="1" t="s">
        <v>41</v>
      </c>
      <c r="G266" s="1" t="s">
        <v>51</v>
      </c>
      <c r="H266" s="1" t="s">
        <v>59</v>
      </c>
      <c r="I266" s="1" t="s">
        <v>44</v>
      </c>
      <c r="J266" s="1">
        <v>7</v>
      </c>
      <c r="K266" s="1">
        <v>3383.31</v>
      </c>
      <c r="L266" s="1">
        <v>20</v>
      </c>
    </row>
    <row r="267" spans="1:12" x14ac:dyDescent="0.3">
      <c r="A267" s="2">
        <v>45220</v>
      </c>
      <c r="B267" s="2">
        <v>45222</v>
      </c>
      <c r="C267" s="1" t="s">
        <v>14</v>
      </c>
      <c r="D267" s="1" t="s">
        <v>53</v>
      </c>
      <c r="E267" s="1" t="s">
        <v>29</v>
      </c>
      <c r="F267" s="1" t="s">
        <v>34</v>
      </c>
      <c r="G267" s="1" t="s">
        <v>25</v>
      </c>
      <c r="H267" s="1" t="s">
        <v>60</v>
      </c>
      <c r="I267" s="1" t="s">
        <v>27</v>
      </c>
      <c r="J267" s="1">
        <v>5</v>
      </c>
      <c r="K267" s="1">
        <v>640.82000000000005</v>
      </c>
      <c r="L267" s="1">
        <v>0</v>
      </c>
    </row>
    <row r="268" spans="1:12" x14ac:dyDescent="0.3">
      <c r="A268" s="2">
        <v>45064</v>
      </c>
      <c r="B268" s="2">
        <v>45070</v>
      </c>
      <c r="C268" s="1" t="s">
        <v>45</v>
      </c>
      <c r="D268" s="1" t="s">
        <v>40</v>
      </c>
      <c r="E268" s="1" t="s">
        <v>23</v>
      </c>
      <c r="F268" s="1" t="s">
        <v>43</v>
      </c>
      <c r="G268" s="1" t="s">
        <v>56</v>
      </c>
      <c r="H268" s="1" t="s">
        <v>57</v>
      </c>
      <c r="I268" s="1" t="s">
        <v>32</v>
      </c>
      <c r="J268" s="1">
        <v>9</v>
      </c>
      <c r="K268" s="1">
        <v>3472.58</v>
      </c>
      <c r="L268" s="1">
        <v>15</v>
      </c>
    </row>
    <row r="269" spans="1:12" x14ac:dyDescent="0.3">
      <c r="A269" s="2">
        <v>45025</v>
      </c>
      <c r="B269" s="2">
        <v>45030</v>
      </c>
      <c r="C269" s="1" t="s">
        <v>36</v>
      </c>
      <c r="D269" s="1" t="s">
        <v>37</v>
      </c>
      <c r="E269" s="1" t="s">
        <v>29</v>
      </c>
      <c r="F269" s="1" t="s">
        <v>34</v>
      </c>
      <c r="G269" s="1" t="s">
        <v>51</v>
      </c>
      <c r="H269" s="1" t="s">
        <v>63</v>
      </c>
      <c r="I269" s="1" t="s">
        <v>44</v>
      </c>
      <c r="J269" s="1">
        <v>7</v>
      </c>
      <c r="K269" s="1">
        <v>730.15</v>
      </c>
      <c r="L269" s="1">
        <v>0</v>
      </c>
    </row>
    <row r="270" spans="1:12" x14ac:dyDescent="0.3">
      <c r="A270" s="2">
        <v>45118</v>
      </c>
      <c r="B270" s="2">
        <v>45124</v>
      </c>
      <c r="C270" s="1" t="s">
        <v>36</v>
      </c>
      <c r="D270" s="1" t="s">
        <v>15</v>
      </c>
      <c r="E270" s="1" t="s">
        <v>23</v>
      </c>
      <c r="F270" s="1" t="s">
        <v>43</v>
      </c>
      <c r="G270" s="1" t="s">
        <v>51</v>
      </c>
      <c r="H270" s="1" t="s">
        <v>59</v>
      </c>
      <c r="I270" s="1" t="s">
        <v>32</v>
      </c>
      <c r="J270" s="1">
        <v>2</v>
      </c>
      <c r="K270" s="1">
        <v>3428.64</v>
      </c>
      <c r="L270" s="1">
        <v>10</v>
      </c>
    </row>
    <row r="271" spans="1:12" x14ac:dyDescent="0.3">
      <c r="A271" s="2">
        <v>45169</v>
      </c>
      <c r="B271" s="2">
        <v>45176</v>
      </c>
      <c r="C271" s="1" t="s">
        <v>21</v>
      </c>
      <c r="D271" s="1" t="s">
        <v>22</v>
      </c>
      <c r="E271" s="1" t="s">
        <v>16</v>
      </c>
      <c r="F271" s="1" t="s">
        <v>41</v>
      </c>
      <c r="G271" s="1" t="s">
        <v>51</v>
      </c>
      <c r="H271" s="1" t="s">
        <v>59</v>
      </c>
      <c r="I271" s="1" t="s">
        <v>46</v>
      </c>
      <c r="J271" s="1">
        <v>6</v>
      </c>
      <c r="K271" s="1">
        <v>3967.1</v>
      </c>
      <c r="L271" s="1">
        <v>0</v>
      </c>
    </row>
    <row r="272" spans="1:12" x14ac:dyDescent="0.3">
      <c r="A272" s="2">
        <v>45245</v>
      </c>
      <c r="B272" s="2">
        <v>45250</v>
      </c>
      <c r="C272" s="1" t="s">
        <v>21</v>
      </c>
      <c r="D272" s="1" t="s">
        <v>53</v>
      </c>
      <c r="E272" s="1" t="s">
        <v>23</v>
      </c>
      <c r="F272" s="1" t="s">
        <v>24</v>
      </c>
      <c r="G272" s="1" t="s">
        <v>51</v>
      </c>
      <c r="H272" s="1" t="s">
        <v>52</v>
      </c>
      <c r="I272" s="1" t="s">
        <v>44</v>
      </c>
      <c r="J272" s="1">
        <v>2</v>
      </c>
      <c r="K272" s="1">
        <v>2948.33</v>
      </c>
      <c r="L272" s="1">
        <v>15</v>
      </c>
    </row>
    <row r="273" spans="1:12" x14ac:dyDescent="0.3">
      <c r="A273" s="2">
        <v>44975</v>
      </c>
      <c r="B273" s="2">
        <v>44976</v>
      </c>
      <c r="C273" s="1" t="s">
        <v>39</v>
      </c>
      <c r="D273" s="1" t="s">
        <v>37</v>
      </c>
      <c r="E273" s="1" t="s">
        <v>16</v>
      </c>
      <c r="F273" s="1" t="s">
        <v>43</v>
      </c>
      <c r="G273" s="1" t="s">
        <v>25</v>
      </c>
      <c r="H273" s="1" t="s">
        <v>26</v>
      </c>
      <c r="I273" s="1" t="s">
        <v>46</v>
      </c>
      <c r="J273" s="1">
        <v>1</v>
      </c>
      <c r="K273" s="1">
        <v>3171.36</v>
      </c>
      <c r="L273" s="1">
        <v>20</v>
      </c>
    </row>
    <row r="274" spans="1:12" x14ac:dyDescent="0.3">
      <c r="A274" s="2">
        <v>44958</v>
      </c>
      <c r="B274" s="2">
        <v>44966</v>
      </c>
      <c r="C274" s="1" t="s">
        <v>36</v>
      </c>
      <c r="D274" s="1" t="s">
        <v>53</v>
      </c>
      <c r="E274" s="1" t="s">
        <v>16</v>
      </c>
      <c r="F274" s="1" t="s">
        <v>43</v>
      </c>
      <c r="G274" s="1" t="s">
        <v>51</v>
      </c>
      <c r="H274" s="1" t="s">
        <v>63</v>
      </c>
      <c r="I274" s="1" t="s">
        <v>20</v>
      </c>
      <c r="J274" s="1">
        <v>7</v>
      </c>
      <c r="K274" s="1">
        <v>3978.5</v>
      </c>
      <c r="L274" s="1">
        <v>20</v>
      </c>
    </row>
    <row r="275" spans="1:12" x14ac:dyDescent="0.3">
      <c r="A275" s="2">
        <v>44946</v>
      </c>
      <c r="B275" s="2">
        <v>44955</v>
      </c>
      <c r="C275" s="1" t="s">
        <v>14</v>
      </c>
      <c r="D275" s="1" t="s">
        <v>22</v>
      </c>
      <c r="E275" s="1" t="s">
        <v>16</v>
      </c>
      <c r="F275" s="1" t="s">
        <v>41</v>
      </c>
      <c r="G275" s="1" t="s">
        <v>56</v>
      </c>
      <c r="H275" s="1" t="s">
        <v>66</v>
      </c>
      <c r="I275" s="1" t="s">
        <v>20</v>
      </c>
      <c r="J275" s="1">
        <v>2</v>
      </c>
      <c r="K275" s="1">
        <v>1335.36</v>
      </c>
      <c r="L275" s="1">
        <v>5</v>
      </c>
    </row>
    <row r="276" spans="1:12" x14ac:dyDescent="0.3">
      <c r="A276" s="2">
        <v>45069</v>
      </c>
      <c r="B276" s="2">
        <v>45072</v>
      </c>
      <c r="C276" s="1" t="s">
        <v>15</v>
      </c>
      <c r="D276" s="1" t="s">
        <v>40</v>
      </c>
      <c r="E276" s="1" t="s">
        <v>23</v>
      </c>
      <c r="F276" s="1" t="s">
        <v>41</v>
      </c>
      <c r="G276" s="1" t="s">
        <v>18</v>
      </c>
      <c r="H276" s="1" t="s">
        <v>65</v>
      </c>
      <c r="I276" s="1" t="s">
        <v>32</v>
      </c>
      <c r="J276" s="1">
        <v>1</v>
      </c>
      <c r="K276" s="1">
        <v>1126.5</v>
      </c>
      <c r="L276" s="1">
        <v>15</v>
      </c>
    </row>
    <row r="277" spans="1:12" x14ac:dyDescent="0.3">
      <c r="A277" s="2">
        <v>45139</v>
      </c>
      <c r="B277" s="2">
        <v>45145</v>
      </c>
      <c r="C277" s="1" t="s">
        <v>21</v>
      </c>
      <c r="D277" s="1" t="s">
        <v>28</v>
      </c>
      <c r="E277" s="1" t="s">
        <v>29</v>
      </c>
      <c r="F277" s="1" t="s">
        <v>41</v>
      </c>
      <c r="G277" s="1" t="s">
        <v>48</v>
      </c>
      <c r="H277" s="1" t="s">
        <v>49</v>
      </c>
      <c r="I277" s="1" t="s">
        <v>20</v>
      </c>
      <c r="J277" s="1">
        <v>3</v>
      </c>
      <c r="K277" s="1">
        <v>464.42</v>
      </c>
      <c r="L277" s="1">
        <v>20</v>
      </c>
    </row>
    <row r="278" spans="1:12" x14ac:dyDescent="0.3">
      <c r="A278" s="2">
        <v>45005</v>
      </c>
      <c r="B278" s="2">
        <v>45012</v>
      </c>
      <c r="C278" s="1" t="s">
        <v>14</v>
      </c>
      <c r="D278" s="1" t="s">
        <v>53</v>
      </c>
      <c r="E278" s="1" t="s">
        <v>16</v>
      </c>
      <c r="F278" s="1" t="s">
        <v>24</v>
      </c>
      <c r="G278" s="1" t="s">
        <v>30</v>
      </c>
      <c r="H278" s="1" t="s">
        <v>31</v>
      </c>
      <c r="I278" s="1" t="s">
        <v>20</v>
      </c>
      <c r="J278" s="1">
        <v>4</v>
      </c>
      <c r="K278" s="1">
        <v>3708.51</v>
      </c>
      <c r="L278" s="1">
        <v>5</v>
      </c>
    </row>
    <row r="279" spans="1:12" x14ac:dyDescent="0.3">
      <c r="A279" s="2">
        <v>45042</v>
      </c>
      <c r="B279" s="2">
        <v>45048</v>
      </c>
      <c r="C279" s="1" t="s">
        <v>15</v>
      </c>
      <c r="D279" s="1" t="s">
        <v>28</v>
      </c>
      <c r="E279" s="1" t="s">
        <v>16</v>
      </c>
      <c r="F279" s="1" t="s">
        <v>34</v>
      </c>
      <c r="G279" s="1" t="s">
        <v>48</v>
      </c>
      <c r="H279" s="1" t="s">
        <v>50</v>
      </c>
      <c r="I279" s="1" t="s">
        <v>27</v>
      </c>
      <c r="J279" s="1">
        <v>4</v>
      </c>
      <c r="K279" s="1">
        <v>641.92999999999995</v>
      </c>
      <c r="L279" s="1">
        <v>0</v>
      </c>
    </row>
    <row r="280" spans="1:12" x14ac:dyDescent="0.3">
      <c r="A280" s="2">
        <v>45018</v>
      </c>
      <c r="B280" s="2">
        <v>45019</v>
      </c>
      <c r="C280" s="1" t="s">
        <v>14</v>
      </c>
      <c r="D280" s="1" t="s">
        <v>53</v>
      </c>
      <c r="E280" s="1" t="s">
        <v>16</v>
      </c>
      <c r="F280" s="1" t="s">
        <v>34</v>
      </c>
      <c r="G280" s="1" t="s">
        <v>25</v>
      </c>
      <c r="H280" s="1" t="s">
        <v>26</v>
      </c>
      <c r="I280" s="1" t="s">
        <v>46</v>
      </c>
      <c r="J280" s="1">
        <v>5</v>
      </c>
      <c r="K280" s="1">
        <v>1853.11</v>
      </c>
      <c r="L280" s="1">
        <v>10</v>
      </c>
    </row>
    <row r="281" spans="1:12" x14ac:dyDescent="0.3">
      <c r="A281" s="2">
        <v>45196</v>
      </c>
      <c r="B281" s="2">
        <v>45204</v>
      </c>
      <c r="C281" s="1" t="s">
        <v>45</v>
      </c>
      <c r="D281" s="1" t="s">
        <v>22</v>
      </c>
      <c r="E281" s="1" t="s">
        <v>16</v>
      </c>
      <c r="F281" s="1" t="s">
        <v>17</v>
      </c>
      <c r="G281" s="1" t="s">
        <v>48</v>
      </c>
      <c r="H281" s="1" t="s">
        <v>50</v>
      </c>
      <c r="I281" s="1" t="s">
        <v>20</v>
      </c>
      <c r="J281" s="1">
        <v>7</v>
      </c>
      <c r="K281" s="1">
        <v>313.51</v>
      </c>
      <c r="L281" s="1">
        <v>0</v>
      </c>
    </row>
    <row r="282" spans="1:12" x14ac:dyDescent="0.3">
      <c r="A282" s="2">
        <v>45094</v>
      </c>
      <c r="B282" s="2">
        <v>45101</v>
      </c>
      <c r="C282" s="1" t="s">
        <v>21</v>
      </c>
      <c r="D282" s="1" t="s">
        <v>28</v>
      </c>
      <c r="E282" s="1" t="s">
        <v>29</v>
      </c>
      <c r="F282" s="1" t="s">
        <v>43</v>
      </c>
      <c r="G282" s="1" t="s">
        <v>51</v>
      </c>
      <c r="H282" s="1" t="s">
        <v>55</v>
      </c>
      <c r="I282" s="1" t="s">
        <v>32</v>
      </c>
      <c r="J282" s="1">
        <v>4</v>
      </c>
      <c r="K282" s="1">
        <v>2785.81</v>
      </c>
      <c r="L282" s="1">
        <v>20</v>
      </c>
    </row>
    <row r="283" spans="1:12" x14ac:dyDescent="0.3">
      <c r="A283" s="2">
        <v>44984</v>
      </c>
      <c r="B283" s="2">
        <v>44993</v>
      </c>
      <c r="C283" s="1" t="s">
        <v>33</v>
      </c>
      <c r="D283" s="1" t="s">
        <v>28</v>
      </c>
      <c r="E283" s="1" t="s">
        <v>29</v>
      </c>
      <c r="F283" s="1" t="s">
        <v>41</v>
      </c>
      <c r="G283" s="1" t="s">
        <v>25</v>
      </c>
      <c r="H283" s="1" t="s">
        <v>35</v>
      </c>
      <c r="I283" s="1" t="s">
        <v>44</v>
      </c>
      <c r="J283" s="1">
        <v>1</v>
      </c>
      <c r="K283" s="1">
        <v>3625.42</v>
      </c>
      <c r="L283" s="1">
        <v>10</v>
      </c>
    </row>
    <row r="284" spans="1:12" x14ac:dyDescent="0.3">
      <c r="A284" s="2">
        <v>44952</v>
      </c>
      <c r="B284" s="2">
        <v>44954</v>
      </c>
      <c r="C284" s="1" t="s">
        <v>14</v>
      </c>
      <c r="D284" s="1" t="s">
        <v>28</v>
      </c>
      <c r="E284" s="1" t="s">
        <v>23</v>
      </c>
      <c r="F284" s="1" t="s">
        <v>43</v>
      </c>
      <c r="G284" s="1" t="s">
        <v>18</v>
      </c>
      <c r="H284" s="1" t="s">
        <v>19</v>
      </c>
      <c r="I284" s="1" t="s">
        <v>44</v>
      </c>
      <c r="J284" s="1">
        <v>4</v>
      </c>
      <c r="K284" s="1">
        <v>640.37</v>
      </c>
      <c r="L284" s="1">
        <v>20</v>
      </c>
    </row>
    <row r="285" spans="1:12" x14ac:dyDescent="0.3">
      <c r="A285" s="2">
        <v>45180</v>
      </c>
      <c r="B285" s="2">
        <v>45185</v>
      </c>
      <c r="C285" s="1" t="s">
        <v>14</v>
      </c>
      <c r="D285" s="1" t="s">
        <v>40</v>
      </c>
      <c r="E285" s="1" t="s">
        <v>16</v>
      </c>
      <c r="F285" s="1" t="s">
        <v>43</v>
      </c>
      <c r="G285" s="1" t="s">
        <v>56</v>
      </c>
      <c r="H285" s="1" t="s">
        <v>61</v>
      </c>
      <c r="I285" s="1" t="s">
        <v>20</v>
      </c>
      <c r="J285" s="1">
        <v>1</v>
      </c>
      <c r="K285" s="1">
        <v>3708.38</v>
      </c>
      <c r="L285" s="1">
        <v>20</v>
      </c>
    </row>
    <row r="286" spans="1:12" x14ac:dyDescent="0.3">
      <c r="A286" s="2">
        <v>44970</v>
      </c>
      <c r="B286" s="2">
        <v>44972</v>
      </c>
      <c r="C286" s="1" t="s">
        <v>45</v>
      </c>
      <c r="D286" s="1" t="s">
        <v>15</v>
      </c>
      <c r="E286" s="1" t="s">
        <v>29</v>
      </c>
      <c r="F286" s="1" t="s">
        <v>34</v>
      </c>
      <c r="G286" s="1" t="s">
        <v>30</v>
      </c>
      <c r="H286" s="1" t="s">
        <v>31</v>
      </c>
      <c r="I286" s="1" t="s">
        <v>44</v>
      </c>
      <c r="J286" s="1">
        <v>3</v>
      </c>
      <c r="K286" s="1">
        <v>1923.58</v>
      </c>
      <c r="L286" s="1">
        <v>15</v>
      </c>
    </row>
    <row r="287" spans="1:12" x14ac:dyDescent="0.3">
      <c r="A287" s="2">
        <v>45023</v>
      </c>
      <c r="B287" s="2">
        <v>45026</v>
      </c>
      <c r="C287" s="1" t="s">
        <v>45</v>
      </c>
      <c r="D287" s="1" t="s">
        <v>22</v>
      </c>
      <c r="E287" s="1" t="s">
        <v>29</v>
      </c>
      <c r="F287" s="1" t="s">
        <v>17</v>
      </c>
      <c r="G287" s="1" t="s">
        <v>25</v>
      </c>
      <c r="H287" s="1" t="s">
        <v>35</v>
      </c>
      <c r="I287" s="1" t="s">
        <v>44</v>
      </c>
      <c r="J287" s="1">
        <v>2</v>
      </c>
      <c r="K287" s="1">
        <v>2071.04</v>
      </c>
      <c r="L287" s="1">
        <v>20</v>
      </c>
    </row>
    <row r="288" spans="1:12" x14ac:dyDescent="0.3">
      <c r="A288" s="2">
        <v>45188</v>
      </c>
      <c r="B288" s="2">
        <v>45191</v>
      </c>
      <c r="C288" s="1" t="s">
        <v>36</v>
      </c>
      <c r="D288" s="1" t="s">
        <v>22</v>
      </c>
      <c r="E288" s="1" t="s">
        <v>29</v>
      </c>
      <c r="F288" s="1" t="s">
        <v>34</v>
      </c>
      <c r="G288" s="1" t="s">
        <v>51</v>
      </c>
      <c r="H288" s="1" t="s">
        <v>52</v>
      </c>
      <c r="I288" s="1" t="s">
        <v>20</v>
      </c>
      <c r="J288" s="1">
        <v>9</v>
      </c>
      <c r="K288" s="1">
        <v>2632.88</v>
      </c>
      <c r="L288" s="1">
        <v>5</v>
      </c>
    </row>
    <row r="289" spans="1:12" x14ac:dyDescent="0.3">
      <c r="A289" s="2">
        <v>45093</v>
      </c>
      <c r="B289" s="2">
        <v>45102</v>
      </c>
      <c r="C289" s="1" t="s">
        <v>15</v>
      </c>
      <c r="D289" s="1" t="s">
        <v>37</v>
      </c>
      <c r="E289" s="1" t="s">
        <v>29</v>
      </c>
      <c r="F289" s="1" t="s">
        <v>41</v>
      </c>
      <c r="G289" s="1" t="s">
        <v>30</v>
      </c>
      <c r="H289" s="1" t="s">
        <v>47</v>
      </c>
      <c r="I289" s="1" t="s">
        <v>20</v>
      </c>
      <c r="J289" s="1">
        <v>9</v>
      </c>
      <c r="K289" s="1">
        <v>1259.77</v>
      </c>
      <c r="L289" s="1">
        <v>15</v>
      </c>
    </row>
    <row r="290" spans="1:12" x14ac:dyDescent="0.3">
      <c r="A290" s="2">
        <v>45205</v>
      </c>
      <c r="B290" s="2">
        <v>45213</v>
      </c>
      <c r="C290" s="1" t="s">
        <v>36</v>
      </c>
      <c r="D290" s="1" t="s">
        <v>37</v>
      </c>
      <c r="E290" s="1" t="s">
        <v>16</v>
      </c>
      <c r="F290" s="1" t="s">
        <v>24</v>
      </c>
      <c r="G290" s="1" t="s">
        <v>56</v>
      </c>
      <c r="H290" s="1" t="s">
        <v>57</v>
      </c>
      <c r="I290" s="1" t="s">
        <v>27</v>
      </c>
      <c r="J290" s="1">
        <v>8</v>
      </c>
      <c r="K290" s="1">
        <v>1300.31</v>
      </c>
      <c r="L290" s="1">
        <v>0</v>
      </c>
    </row>
    <row r="291" spans="1:12" x14ac:dyDescent="0.3">
      <c r="A291" s="2">
        <v>45015</v>
      </c>
      <c r="B291" s="2">
        <v>45019</v>
      </c>
      <c r="C291" s="1" t="s">
        <v>14</v>
      </c>
      <c r="D291" s="1" t="s">
        <v>28</v>
      </c>
      <c r="E291" s="1" t="s">
        <v>29</v>
      </c>
      <c r="F291" s="1" t="s">
        <v>34</v>
      </c>
      <c r="G291" s="1" t="s">
        <v>56</v>
      </c>
      <c r="H291" s="1" t="s">
        <v>57</v>
      </c>
      <c r="I291" s="1" t="s">
        <v>32</v>
      </c>
      <c r="J291" s="1">
        <v>8</v>
      </c>
      <c r="K291" s="1">
        <v>3581.12</v>
      </c>
      <c r="L291" s="1">
        <v>15</v>
      </c>
    </row>
    <row r="292" spans="1:12" x14ac:dyDescent="0.3">
      <c r="A292" s="2">
        <v>45104</v>
      </c>
      <c r="B292" s="2">
        <v>45105</v>
      </c>
      <c r="C292" s="1" t="s">
        <v>15</v>
      </c>
      <c r="D292" s="1" t="s">
        <v>40</v>
      </c>
      <c r="E292" s="1" t="s">
        <v>16</v>
      </c>
      <c r="F292" s="1" t="s">
        <v>24</v>
      </c>
      <c r="G292" s="1" t="s">
        <v>30</v>
      </c>
      <c r="H292" s="1" t="s">
        <v>47</v>
      </c>
      <c r="I292" s="1" t="s">
        <v>46</v>
      </c>
      <c r="J292" s="1">
        <v>1</v>
      </c>
      <c r="K292" s="1">
        <v>202.49</v>
      </c>
      <c r="L292" s="1">
        <v>5</v>
      </c>
    </row>
    <row r="293" spans="1:12" x14ac:dyDescent="0.3">
      <c r="A293" s="2">
        <v>45123</v>
      </c>
      <c r="B293" s="2">
        <v>45124</v>
      </c>
      <c r="C293" s="1" t="s">
        <v>33</v>
      </c>
      <c r="D293" s="1" t="s">
        <v>40</v>
      </c>
      <c r="E293" s="1" t="s">
        <v>29</v>
      </c>
      <c r="F293" s="1" t="s">
        <v>41</v>
      </c>
      <c r="G293" s="1" t="s">
        <v>30</v>
      </c>
      <c r="H293" s="1" t="s">
        <v>31</v>
      </c>
      <c r="I293" s="1" t="s">
        <v>44</v>
      </c>
      <c r="J293" s="1">
        <v>8</v>
      </c>
      <c r="K293" s="1">
        <v>1392.5</v>
      </c>
      <c r="L293" s="1">
        <v>15</v>
      </c>
    </row>
    <row r="294" spans="1:12" x14ac:dyDescent="0.3">
      <c r="A294" s="2">
        <v>45233</v>
      </c>
      <c r="B294" s="2">
        <v>45234</v>
      </c>
      <c r="C294" s="1" t="s">
        <v>33</v>
      </c>
      <c r="D294" s="1" t="s">
        <v>22</v>
      </c>
      <c r="E294" s="1" t="s">
        <v>23</v>
      </c>
      <c r="F294" s="1" t="s">
        <v>43</v>
      </c>
      <c r="G294" s="1" t="s">
        <v>56</v>
      </c>
      <c r="H294" s="1" t="s">
        <v>58</v>
      </c>
      <c r="I294" s="1" t="s">
        <v>20</v>
      </c>
      <c r="J294" s="1">
        <v>3</v>
      </c>
      <c r="K294" s="1">
        <v>2284.27</v>
      </c>
      <c r="L294" s="1">
        <v>20</v>
      </c>
    </row>
    <row r="295" spans="1:12" x14ac:dyDescent="0.3">
      <c r="A295" s="2">
        <v>44934</v>
      </c>
      <c r="B295" s="2">
        <v>44940</v>
      </c>
      <c r="C295" s="1" t="s">
        <v>15</v>
      </c>
      <c r="D295" s="1" t="s">
        <v>40</v>
      </c>
      <c r="E295" s="1" t="s">
        <v>16</v>
      </c>
      <c r="F295" s="1" t="s">
        <v>34</v>
      </c>
      <c r="G295" s="1" t="s">
        <v>51</v>
      </c>
      <c r="H295" s="1" t="s">
        <v>52</v>
      </c>
      <c r="I295" s="1" t="s">
        <v>32</v>
      </c>
      <c r="J295" s="1">
        <v>5</v>
      </c>
      <c r="K295" s="1">
        <v>3593.46</v>
      </c>
      <c r="L295" s="1">
        <v>20</v>
      </c>
    </row>
    <row r="296" spans="1:12" x14ac:dyDescent="0.3">
      <c r="A296" s="2">
        <v>45223</v>
      </c>
      <c r="B296" s="2">
        <v>45226</v>
      </c>
      <c r="C296" s="1" t="s">
        <v>14</v>
      </c>
      <c r="D296" s="1" t="s">
        <v>15</v>
      </c>
      <c r="E296" s="1" t="s">
        <v>23</v>
      </c>
      <c r="F296" s="1" t="s">
        <v>41</v>
      </c>
      <c r="G296" s="1" t="s">
        <v>48</v>
      </c>
      <c r="H296" s="1" t="s">
        <v>62</v>
      </c>
      <c r="I296" s="1" t="s">
        <v>20</v>
      </c>
      <c r="J296" s="1">
        <v>5</v>
      </c>
      <c r="K296" s="1">
        <v>3320.88</v>
      </c>
      <c r="L296" s="1">
        <v>0</v>
      </c>
    </row>
    <row r="297" spans="1:12" x14ac:dyDescent="0.3">
      <c r="A297" s="2">
        <v>45090</v>
      </c>
      <c r="B297" s="2">
        <v>45095</v>
      </c>
      <c r="C297" s="1" t="s">
        <v>45</v>
      </c>
      <c r="D297" s="1" t="s">
        <v>40</v>
      </c>
      <c r="E297" s="1" t="s">
        <v>29</v>
      </c>
      <c r="F297" s="1" t="s">
        <v>34</v>
      </c>
      <c r="G297" s="1" t="s">
        <v>56</v>
      </c>
      <c r="H297" s="1" t="s">
        <v>61</v>
      </c>
      <c r="I297" s="1" t="s">
        <v>44</v>
      </c>
      <c r="J297" s="1">
        <v>8</v>
      </c>
      <c r="K297" s="1">
        <v>3610.33</v>
      </c>
      <c r="L297" s="1">
        <v>5</v>
      </c>
    </row>
    <row r="298" spans="1:12" x14ac:dyDescent="0.3">
      <c r="A298" s="2">
        <v>44998</v>
      </c>
      <c r="B298" s="2">
        <v>45000</v>
      </c>
      <c r="C298" s="1" t="s">
        <v>21</v>
      </c>
      <c r="D298" s="1" t="s">
        <v>22</v>
      </c>
      <c r="E298" s="1" t="s">
        <v>16</v>
      </c>
      <c r="F298" s="1" t="s">
        <v>34</v>
      </c>
      <c r="G298" s="1" t="s">
        <v>25</v>
      </c>
      <c r="H298" s="1" t="s">
        <v>35</v>
      </c>
      <c r="I298" s="1" t="s">
        <v>46</v>
      </c>
      <c r="J298" s="1">
        <v>8</v>
      </c>
      <c r="K298" s="1">
        <v>3277.19</v>
      </c>
      <c r="L298" s="1">
        <v>15</v>
      </c>
    </row>
    <row r="299" spans="1:12" x14ac:dyDescent="0.3">
      <c r="A299" s="2">
        <v>44981</v>
      </c>
      <c r="B299" s="2">
        <v>44987</v>
      </c>
      <c r="C299" s="1" t="s">
        <v>21</v>
      </c>
      <c r="D299" s="1" t="s">
        <v>40</v>
      </c>
      <c r="E299" s="1" t="s">
        <v>29</v>
      </c>
      <c r="F299" s="1" t="s">
        <v>17</v>
      </c>
      <c r="G299" s="1" t="s">
        <v>48</v>
      </c>
      <c r="H299" s="1" t="s">
        <v>62</v>
      </c>
      <c r="I299" s="1" t="s">
        <v>27</v>
      </c>
      <c r="J299" s="1">
        <v>6</v>
      </c>
      <c r="K299" s="1">
        <v>1628.56</v>
      </c>
      <c r="L299" s="1">
        <v>0</v>
      </c>
    </row>
    <row r="300" spans="1:12" x14ac:dyDescent="0.3">
      <c r="A300" s="2">
        <v>44973</v>
      </c>
      <c r="B300" s="2">
        <v>44979</v>
      </c>
      <c r="C300" s="1" t="s">
        <v>33</v>
      </c>
      <c r="D300" s="1" t="s">
        <v>40</v>
      </c>
      <c r="E300" s="1" t="s">
        <v>16</v>
      </c>
      <c r="F300" s="1" t="s">
        <v>17</v>
      </c>
      <c r="G300" s="1" t="s">
        <v>48</v>
      </c>
      <c r="H300" s="1" t="s">
        <v>67</v>
      </c>
      <c r="I300" s="1" t="s">
        <v>46</v>
      </c>
      <c r="J300" s="1">
        <v>6</v>
      </c>
      <c r="K300" s="1">
        <v>2715.13</v>
      </c>
      <c r="L300" s="1">
        <v>20</v>
      </c>
    </row>
    <row r="301" spans="1:12" x14ac:dyDescent="0.3">
      <c r="A301" s="2">
        <v>45164</v>
      </c>
      <c r="B301" s="2">
        <v>45167</v>
      </c>
      <c r="C301" s="1" t="s">
        <v>15</v>
      </c>
      <c r="D301" s="1" t="s">
        <v>22</v>
      </c>
      <c r="E301" s="1" t="s">
        <v>23</v>
      </c>
      <c r="F301" s="1" t="s">
        <v>34</v>
      </c>
      <c r="G301" s="1" t="s">
        <v>48</v>
      </c>
      <c r="H301" s="1" t="s">
        <v>62</v>
      </c>
      <c r="I301" s="1" t="s">
        <v>20</v>
      </c>
      <c r="J301" s="1">
        <v>2</v>
      </c>
      <c r="K301" s="1">
        <v>3957.02</v>
      </c>
      <c r="L301" s="1">
        <v>5</v>
      </c>
    </row>
    <row r="302" spans="1:12" x14ac:dyDescent="0.3">
      <c r="A302" s="2">
        <v>45030</v>
      </c>
      <c r="B302" s="2">
        <v>45036</v>
      </c>
      <c r="C302" s="1" t="s">
        <v>21</v>
      </c>
      <c r="D302" s="1" t="s">
        <v>15</v>
      </c>
      <c r="E302" s="1" t="s">
        <v>23</v>
      </c>
      <c r="F302" s="1" t="s">
        <v>17</v>
      </c>
      <c r="G302" s="1" t="s">
        <v>51</v>
      </c>
      <c r="H302" s="1" t="s">
        <v>52</v>
      </c>
      <c r="I302" s="1" t="s">
        <v>20</v>
      </c>
      <c r="J302" s="1">
        <v>6</v>
      </c>
      <c r="K302" s="1">
        <v>1019.05</v>
      </c>
      <c r="L302" s="1">
        <v>0</v>
      </c>
    </row>
    <row r="303" spans="1:12" x14ac:dyDescent="0.3">
      <c r="A303" s="2">
        <v>45136</v>
      </c>
      <c r="B303" s="2">
        <v>45141</v>
      </c>
      <c r="C303" s="1" t="s">
        <v>36</v>
      </c>
      <c r="D303" s="1" t="s">
        <v>15</v>
      </c>
      <c r="E303" s="1" t="s">
        <v>16</v>
      </c>
      <c r="F303" s="1" t="s">
        <v>41</v>
      </c>
      <c r="G303" s="1" t="s">
        <v>56</v>
      </c>
      <c r="H303" s="1" t="s">
        <v>57</v>
      </c>
      <c r="I303" s="1" t="s">
        <v>32</v>
      </c>
      <c r="J303" s="1">
        <v>5</v>
      </c>
      <c r="K303" s="1">
        <v>1651.11</v>
      </c>
      <c r="L303" s="1">
        <v>20</v>
      </c>
    </row>
    <row r="304" spans="1:12" x14ac:dyDescent="0.3">
      <c r="A304" s="2">
        <v>45242</v>
      </c>
      <c r="B304" s="2">
        <v>45251</v>
      </c>
      <c r="C304" s="1" t="s">
        <v>36</v>
      </c>
      <c r="D304" s="1" t="s">
        <v>53</v>
      </c>
      <c r="E304" s="1" t="s">
        <v>29</v>
      </c>
      <c r="F304" s="1" t="s">
        <v>17</v>
      </c>
      <c r="G304" s="1" t="s">
        <v>56</v>
      </c>
      <c r="H304" s="1" t="s">
        <v>58</v>
      </c>
      <c r="I304" s="1" t="s">
        <v>44</v>
      </c>
      <c r="J304" s="1">
        <v>6</v>
      </c>
      <c r="K304" s="1">
        <v>681.36</v>
      </c>
      <c r="L304" s="1">
        <v>15</v>
      </c>
    </row>
    <row r="305" spans="1:12" x14ac:dyDescent="0.3">
      <c r="A305" s="2">
        <v>45262</v>
      </c>
      <c r="B305" s="2">
        <v>45270</v>
      </c>
      <c r="C305" s="1" t="s">
        <v>14</v>
      </c>
      <c r="D305" s="1" t="s">
        <v>15</v>
      </c>
      <c r="E305" s="1" t="s">
        <v>23</v>
      </c>
      <c r="F305" s="1" t="s">
        <v>34</v>
      </c>
      <c r="G305" s="1" t="s">
        <v>25</v>
      </c>
      <c r="H305" s="1" t="s">
        <v>68</v>
      </c>
      <c r="I305" s="1" t="s">
        <v>44</v>
      </c>
      <c r="J305" s="1">
        <v>1</v>
      </c>
      <c r="K305" s="1">
        <v>3910.66</v>
      </c>
      <c r="L305" s="1">
        <v>5</v>
      </c>
    </row>
    <row r="306" spans="1:12" x14ac:dyDescent="0.3">
      <c r="A306" s="2">
        <v>45185</v>
      </c>
      <c r="B306" s="2">
        <v>45188</v>
      </c>
      <c r="C306" s="1" t="s">
        <v>15</v>
      </c>
      <c r="D306" s="1" t="s">
        <v>22</v>
      </c>
      <c r="E306" s="1" t="s">
        <v>23</v>
      </c>
      <c r="F306" s="1" t="s">
        <v>43</v>
      </c>
      <c r="G306" s="1" t="s">
        <v>51</v>
      </c>
      <c r="H306" s="1" t="s">
        <v>55</v>
      </c>
      <c r="I306" s="1" t="s">
        <v>46</v>
      </c>
      <c r="J306" s="1">
        <v>3</v>
      </c>
      <c r="K306" s="1">
        <v>487.45</v>
      </c>
      <c r="L306" s="1">
        <v>5</v>
      </c>
    </row>
    <row r="307" spans="1:12" x14ac:dyDescent="0.3">
      <c r="A307" s="2">
        <v>45040</v>
      </c>
      <c r="B307" s="2">
        <v>45042</v>
      </c>
      <c r="C307" s="1" t="s">
        <v>36</v>
      </c>
      <c r="D307" s="1" t="s">
        <v>22</v>
      </c>
      <c r="E307" s="1" t="s">
        <v>23</v>
      </c>
      <c r="F307" s="1" t="s">
        <v>41</v>
      </c>
      <c r="G307" s="1" t="s">
        <v>30</v>
      </c>
      <c r="H307" s="1" t="s">
        <v>47</v>
      </c>
      <c r="I307" s="1" t="s">
        <v>32</v>
      </c>
      <c r="J307" s="1">
        <v>1</v>
      </c>
      <c r="K307" s="1">
        <v>3581.58</v>
      </c>
      <c r="L307" s="1">
        <v>15</v>
      </c>
    </row>
    <row r="308" spans="1:12" x14ac:dyDescent="0.3">
      <c r="A308" s="2">
        <v>45289</v>
      </c>
      <c r="B308" s="2">
        <v>45297</v>
      </c>
      <c r="C308" s="1" t="s">
        <v>21</v>
      </c>
      <c r="D308" s="1" t="s">
        <v>15</v>
      </c>
      <c r="E308" s="1" t="s">
        <v>23</v>
      </c>
      <c r="F308" s="1" t="s">
        <v>41</v>
      </c>
      <c r="G308" s="1" t="s">
        <v>18</v>
      </c>
      <c r="H308" s="1" t="s">
        <v>54</v>
      </c>
      <c r="I308" s="1" t="s">
        <v>27</v>
      </c>
      <c r="J308" s="1">
        <v>5</v>
      </c>
      <c r="K308" s="1">
        <v>1935.68</v>
      </c>
      <c r="L308" s="1">
        <v>20</v>
      </c>
    </row>
    <row r="309" spans="1:12" x14ac:dyDescent="0.3">
      <c r="A309" s="2">
        <v>44966</v>
      </c>
      <c r="B309" s="2">
        <v>44967</v>
      </c>
      <c r="C309" s="1" t="s">
        <v>15</v>
      </c>
      <c r="D309" s="1" t="s">
        <v>22</v>
      </c>
      <c r="E309" s="1" t="s">
        <v>23</v>
      </c>
      <c r="F309" s="1" t="s">
        <v>41</v>
      </c>
      <c r="G309" s="1" t="s">
        <v>51</v>
      </c>
      <c r="H309" s="1" t="s">
        <v>63</v>
      </c>
      <c r="I309" s="1" t="s">
        <v>32</v>
      </c>
      <c r="J309" s="1">
        <v>3</v>
      </c>
      <c r="K309" s="1">
        <v>1382.11</v>
      </c>
      <c r="L309" s="1">
        <v>10</v>
      </c>
    </row>
    <row r="310" spans="1:12" x14ac:dyDescent="0.3">
      <c r="A310" s="2">
        <v>45146</v>
      </c>
      <c r="B310" s="2">
        <v>45154</v>
      </c>
      <c r="C310" s="1" t="s">
        <v>14</v>
      </c>
      <c r="D310" s="1" t="s">
        <v>22</v>
      </c>
      <c r="E310" s="1" t="s">
        <v>23</v>
      </c>
      <c r="F310" s="1" t="s">
        <v>43</v>
      </c>
      <c r="G310" s="1" t="s">
        <v>48</v>
      </c>
      <c r="H310" s="1" t="s">
        <v>67</v>
      </c>
      <c r="I310" s="1" t="s">
        <v>27</v>
      </c>
      <c r="J310" s="1">
        <v>2</v>
      </c>
      <c r="K310" s="1">
        <v>1984.38</v>
      </c>
      <c r="L310" s="1">
        <v>10</v>
      </c>
    </row>
    <row r="311" spans="1:12" x14ac:dyDescent="0.3">
      <c r="A311" s="2">
        <v>45055</v>
      </c>
      <c r="B311" s="2">
        <v>45062</v>
      </c>
      <c r="C311" s="1" t="s">
        <v>45</v>
      </c>
      <c r="D311" s="1" t="s">
        <v>28</v>
      </c>
      <c r="E311" s="1" t="s">
        <v>23</v>
      </c>
      <c r="F311" s="1" t="s">
        <v>41</v>
      </c>
      <c r="G311" s="1" t="s">
        <v>30</v>
      </c>
      <c r="H311" s="1" t="s">
        <v>31</v>
      </c>
      <c r="I311" s="1" t="s">
        <v>32</v>
      </c>
      <c r="J311" s="1">
        <v>8</v>
      </c>
      <c r="K311" s="1">
        <v>1375.47</v>
      </c>
      <c r="L311" s="1">
        <v>15</v>
      </c>
    </row>
    <row r="312" spans="1:12" x14ac:dyDescent="0.3">
      <c r="A312" s="2">
        <v>44934</v>
      </c>
      <c r="B312" s="2">
        <v>44941</v>
      </c>
      <c r="C312" s="1" t="s">
        <v>21</v>
      </c>
      <c r="D312" s="1" t="s">
        <v>53</v>
      </c>
      <c r="E312" s="1" t="s">
        <v>29</v>
      </c>
      <c r="F312" s="1" t="s">
        <v>17</v>
      </c>
      <c r="G312" s="1" t="s">
        <v>30</v>
      </c>
      <c r="H312" s="1" t="s">
        <v>38</v>
      </c>
      <c r="I312" s="1" t="s">
        <v>32</v>
      </c>
      <c r="J312" s="1">
        <v>3</v>
      </c>
      <c r="K312" s="1">
        <v>2032.79</v>
      </c>
      <c r="L312" s="1">
        <v>10</v>
      </c>
    </row>
    <row r="313" spans="1:12" x14ac:dyDescent="0.3">
      <c r="A313" s="2">
        <v>45102</v>
      </c>
      <c r="B313" s="2">
        <v>45103</v>
      </c>
      <c r="C313" s="1" t="s">
        <v>39</v>
      </c>
      <c r="D313" s="1" t="s">
        <v>53</v>
      </c>
      <c r="E313" s="1" t="s">
        <v>23</v>
      </c>
      <c r="F313" s="1" t="s">
        <v>34</v>
      </c>
      <c r="G313" s="1" t="s">
        <v>30</v>
      </c>
      <c r="H313" s="1" t="s">
        <v>47</v>
      </c>
      <c r="I313" s="1" t="s">
        <v>46</v>
      </c>
      <c r="J313" s="1">
        <v>1</v>
      </c>
      <c r="K313" s="1">
        <v>2430.36</v>
      </c>
      <c r="L313" s="1">
        <v>15</v>
      </c>
    </row>
    <row r="314" spans="1:12" x14ac:dyDescent="0.3">
      <c r="A314" s="2">
        <v>45027</v>
      </c>
      <c r="B314" s="2">
        <v>45036</v>
      </c>
      <c r="C314" s="1" t="s">
        <v>21</v>
      </c>
      <c r="D314" s="1" t="s">
        <v>37</v>
      </c>
      <c r="E314" s="1" t="s">
        <v>23</v>
      </c>
      <c r="F314" s="1" t="s">
        <v>24</v>
      </c>
      <c r="G314" s="1" t="s">
        <v>51</v>
      </c>
      <c r="H314" s="1" t="s">
        <v>59</v>
      </c>
      <c r="I314" s="1" t="s">
        <v>32</v>
      </c>
      <c r="J314" s="1">
        <v>3</v>
      </c>
      <c r="K314" s="1">
        <v>1553.98</v>
      </c>
      <c r="L314" s="1">
        <v>15</v>
      </c>
    </row>
    <row r="315" spans="1:12" x14ac:dyDescent="0.3">
      <c r="A315" s="2">
        <v>45186</v>
      </c>
      <c r="B315" s="2">
        <v>45191</v>
      </c>
      <c r="C315" s="1" t="s">
        <v>39</v>
      </c>
      <c r="D315" s="1" t="s">
        <v>22</v>
      </c>
      <c r="E315" s="1" t="s">
        <v>23</v>
      </c>
      <c r="F315" s="1" t="s">
        <v>34</v>
      </c>
      <c r="G315" s="1" t="s">
        <v>51</v>
      </c>
      <c r="H315" s="1" t="s">
        <v>59</v>
      </c>
      <c r="I315" s="1" t="s">
        <v>44</v>
      </c>
      <c r="J315" s="1">
        <v>8</v>
      </c>
      <c r="K315" s="1">
        <v>2993.25</v>
      </c>
      <c r="L315" s="1">
        <v>10</v>
      </c>
    </row>
    <row r="316" spans="1:12" x14ac:dyDescent="0.3">
      <c r="A316" s="2">
        <v>45172</v>
      </c>
      <c r="B316" s="2">
        <v>45173</v>
      </c>
      <c r="C316" s="1" t="s">
        <v>21</v>
      </c>
      <c r="D316" s="1" t="s">
        <v>28</v>
      </c>
      <c r="E316" s="1" t="s">
        <v>16</v>
      </c>
      <c r="F316" s="1" t="s">
        <v>17</v>
      </c>
      <c r="G316" s="1" t="s">
        <v>48</v>
      </c>
      <c r="H316" s="1" t="s">
        <v>49</v>
      </c>
      <c r="I316" s="1" t="s">
        <v>46</v>
      </c>
      <c r="J316" s="1">
        <v>6</v>
      </c>
      <c r="K316" s="1">
        <v>2716.48</v>
      </c>
      <c r="L316" s="1">
        <v>0</v>
      </c>
    </row>
    <row r="317" spans="1:12" x14ac:dyDescent="0.3">
      <c r="A317" s="2">
        <v>45201</v>
      </c>
      <c r="B317" s="2">
        <v>45206</v>
      </c>
      <c r="C317" s="1" t="s">
        <v>15</v>
      </c>
      <c r="D317" s="1" t="s">
        <v>22</v>
      </c>
      <c r="E317" s="1" t="s">
        <v>23</v>
      </c>
      <c r="F317" s="1" t="s">
        <v>43</v>
      </c>
      <c r="G317" s="1" t="s">
        <v>25</v>
      </c>
      <c r="H317" s="1" t="s">
        <v>35</v>
      </c>
      <c r="I317" s="1" t="s">
        <v>44</v>
      </c>
      <c r="J317" s="1">
        <v>2</v>
      </c>
      <c r="K317" s="1">
        <v>610.30999999999995</v>
      </c>
      <c r="L317" s="1">
        <v>10</v>
      </c>
    </row>
    <row r="318" spans="1:12" x14ac:dyDescent="0.3">
      <c r="A318" s="2">
        <v>44958</v>
      </c>
      <c r="B318" s="2">
        <v>44966</v>
      </c>
      <c r="C318" s="1" t="s">
        <v>45</v>
      </c>
      <c r="D318" s="1" t="s">
        <v>15</v>
      </c>
      <c r="E318" s="1" t="s">
        <v>29</v>
      </c>
      <c r="F318" s="1" t="s">
        <v>43</v>
      </c>
      <c r="G318" s="1" t="s">
        <v>48</v>
      </c>
      <c r="H318" s="1" t="s">
        <v>50</v>
      </c>
      <c r="I318" s="1" t="s">
        <v>46</v>
      </c>
      <c r="J318" s="1">
        <v>6</v>
      </c>
      <c r="K318" s="1">
        <v>2354.67</v>
      </c>
      <c r="L318" s="1">
        <v>15</v>
      </c>
    </row>
    <row r="319" spans="1:12" x14ac:dyDescent="0.3">
      <c r="A319" s="2">
        <v>44938</v>
      </c>
      <c r="B319" s="2">
        <v>44943</v>
      </c>
      <c r="C319" s="1" t="s">
        <v>21</v>
      </c>
      <c r="D319" s="1" t="s">
        <v>28</v>
      </c>
      <c r="E319" s="1" t="s">
        <v>16</v>
      </c>
      <c r="F319" s="1" t="s">
        <v>43</v>
      </c>
      <c r="G319" s="1" t="s">
        <v>48</v>
      </c>
      <c r="H319" s="1" t="s">
        <v>62</v>
      </c>
      <c r="I319" s="1" t="s">
        <v>32</v>
      </c>
      <c r="J319" s="1">
        <v>5</v>
      </c>
      <c r="K319" s="1">
        <v>3245.77</v>
      </c>
      <c r="L319" s="1">
        <v>0</v>
      </c>
    </row>
    <row r="320" spans="1:12" x14ac:dyDescent="0.3">
      <c r="A320" s="2">
        <v>45228</v>
      </c>
      <c r="B320" s="2">
        <v>45237</v>
      </c>
      <c r="C320" s="1" t="s">
        <v>15</v>
      </c>
      <c r="D320" s="1" t="s">
        <v>15</v>
      </c>
      <c r="E320" s="1" t="s">
        <v>23</v>
      </c>
      <c r="F320" s="1" t="s">
        <v>41</v>
      </c>
      <c r="G320" s="1" t="s">
        <v>18</v>
      </c>
      <c r="H320" s="1" t="s">
        <v>42</v>
      </c>
      <c r="I320" s="1" t="s">
        <v>32</v>
      </c>
      <c r="J320" s="1">
        <v>3</v>
      </c>
      <c r="K320" s="1">
        <v>1789.86</v>
      </c>
      <c r="L320" s="1">
        <v>0</v>
      </c>
    </row>
    <row r="321" spans="1:12" x14ac:dyDescent="0.3">
      <c r="A321" s="2">
        <v>45035</v>
      </c>
      <c r="B321" s="2">
        <v>45037</v>
      </c>
      <c r="C321" s="1" t="s">
        <v>15</v>
      </c>
      <c r="D321" s="1" t="s">
        <v>37</v>
      </c>
      <c r="E321" s="1" t="s">
        <v>23</v>
      </c>
      <c r="F321" s="1" t="s">
        <v>43</v>
      </c>
      <c r="G321" s="1" t="s">
        <v>25</v>
      </c>
      <c r="H321" s="1" t="s">
        <v>35</v>
      </c>
      <c r="I321" s="1" t="s">
        <v>20</v>
      </c>
      <c r="J321" s="1">
        <v>1</v>
      </c>
      <c r="K321" s="1">
        <v>2743.75</v>
      </c>
      <c r="L321" s="1">
        <v>15</v>
      </c>
    </row>
    <row r="322" spans="1:12" x14ac:dyDescent="0.3">
      <c r="A322" s="2">
        <v>45084</v>
      </c>
      <c r="B322" s="2">
        <v>45091</v>
      </c>
      <c r="C322" s="1" t="s">
        <v>45</v>
      </c>
      <c r="D322" s="1" t="s">
        <v>22</v>
      </c>
      <c r="E322" s="1" t="s">
        <v>23</v>
      </c>
      <c r="F322" s="1" t="s">
        <v>24</v>
      </c>
      <c r="G322" s="1" t="s">
        <v>18</v>
      </c>
      <c r="H322" s="1" t="s">
        <v>65</v>
      </c>
      <c r="I322" s="1" t="s">
        <v>44</v>
      </c>
      <c r="J322" s="1">
        <v>4</v>
      </c>
      <c r="K322" s="1">
        <v>1333.99</v>
      </c>
      <c r="L322" s="1">
        <v>5</v>
      </c>
    </row>
    <row r="323" spans="1:12" x14ac:dyDescent="0.3">
      <c r="A323" s="2">
        <v>45195</v>
      </c>
      <c r="B323" s="2">
        <v>45204</v>
      </c>
      <c r="C323" s="1" t="s">
        <v>15</v>
      </c>
      <c r="D323" s="1" t="s">
        <v>28</v>
      </c>
      <c r="E323" s="1" t="s">
        <v>29</v>
      </c>
      <c r="F323" s="1" t="s">
        <v>43</v>
      </c>
      <c r="G323" s="1" t="s">
        <v>48</v>
      </c>
      <c r="H323" s="1" t="s">
        <v>50</v>
      </c>
      <c r="I323" s="1" t="s">
        <v>20</v>
      </c>
      <c r="J323" s="1">
        <v>1</v>
      </c>
      <c r="K323" s="1">
        <v>2044.41</v>
      </c>
      <c r="L323" s="1">
        <v>0</v>
      </c>
    </row>
    <row r="324" spans="1:12" x14ac:dyDescent="0.3">
      <c r="A324" s="2">
        <v>45088</v>
      </c>
      <c r="B324" s="2">
        <v>45090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51</v>
      </c>
      <c r="H324" s="1" t="s">
        <v>52</v>
      </c>
      <c r="I324" s="1" t="s">
        <v>32</v>
      </c>
      <c r="J324" s="1">
        <v>9</v>
      </c>
      <c r="K324" s="1">
        <v>3216.56</v>
      </c>
      <c r="L324" s="1">
        <v>20</v>
      </c>
    </row>
    <row r="325" spans="1:12" x14ac:dyDescent="0.3">
      <c r="A325" s="2">
        <v>45028</v>
      </c>
      <c r="B325" s="2">
        <v>45034</v>
      </c>
      <c r="C325" s="1" t="s">
        <v>36</v>
      </c>
      <c r="D325" s="1" t="s">
        <v>15</v>
      </c>
      <c r="E325" s="1" t="s">
        <v>23</v>
      </c>
      <c r="F325" s="1" t="s">
        <v>17</v>
      </c>
      <c r="G325" s="1" t="s">
        <v>30</v>
      </c>
      <c r="H325" s="1" t="s">
        <v>38</v>
      </c>
      <c r="I325" s="1" t="s">
        <v>32</v>
      </c>
      <c r="J325" s="1">
        <v>7</v>
      </c>
      <c r="K325" s="1">
        <v>1020.23</v>
      </c>
      <c r="L325" s="1">
        <v>10</v>
      </c>
    </row>
    <row r="326" spans="1:12" x14ac:dyDescent="0.3">
      <c r="A326" s="2">
        <v>44985</v>
      </c>
      <c r="B326" s="2">
        <v>44993</v>
      </c>
      <c r="C326" s="1" t="s">
        <v>45</v>
      </c>
      <c r="D326" s="1" t="s">
        <v>15</v>
      </c>
      <c r="E326" s="1" t="s">
        <v>29</v>
      </c>
      <c r="F326" s="1" t="s">
        <v>24</v>
      </c>
      <c r="G326" s="1" t="s">
        <v>18</v>
      </c>
      <c r="H326" s="1" t="s">
        <v>42</v>
      </c>
      <c r="I326" s="1" t="s">
        <v>32</v>
      </c>
      <c r="J326" s="1">
        <v>3</v>
      </c>
      <c r="K326" s="1">
        <v>2165.7199999999998</v>
      </c>
      <c r="L326" s="1">
        <v>5</v>
      </c>
    </row>
    <row r="327" spans="1:12" x14ac:dyDescent="0.3">
      <c r="A327" s="2">
        <v>45054</v>
      </c>
      <c r="B327" s="2">
        <v>45056</v>
      </c>
      <c r="C327" s="1" t="s">
        <v>36</v>
      </c>
      <c r="D327" s="1" t="s">
        <v>53</v>
      </c>
      <c r="E327" s="1" t="s">
        <v>23</v>
      </c>
      <c r="F327" s="1" t="s">
        <v>17</v>
      </c>
      <c r="G327" s="1" t="s">
        <v>51</v>
      </c>
      <c r="H327" s="1" t="s">
        <v>52</v>
      </c>
      <c r="I327" s="1" t="s">
        <v>27</v>
      </c>
      <c r="J327" s="1">
        <v>8</v>
      </c>
      <c r="K327" s="1">
        <v>1297.5899999999999</v>
      </c>
      <c r="L327" s="1">
        <v>0</v>
      </c>
    </row>
    <row r="328" spans="1:12" x14ac:dyDescent="0.3">
      <c r="A328" s="2">
        <v>45209</v>
      </c>
      <c r="B328" s="2">
        <v>45212</v>
      </c>
      <c r="C328" s="1" t="s">
        <v>45</v>
      </c>
      <c r="D328" s="1" t="s">
        <v>53</v>
      </c>
      <c r="E328" s="1" t="s">
        <v>29</v>
      </c>
      <c r="F328" s="1" t="s">
        <v>41</v>
      </c>
      <c r="G328" s="1" t="s">
        <v>25</v>
      </c>
      <c r="H328" s="1" t="s">
        <v>35</v>
      </c>
      <c r="I328" s="1" t="s">
        <v>44</v>
      </c>
      <c r="J328" s="1">
        <v>1</v>
      </c>
      <c r="K328" s="1">
        <v>1219.7</v>
      </c>
      <c r="L328" s="1">
        <v>5</v>
      </c>
    </row>
    <row r="329" spans="1:12" x14ac:dyDescent="0.3">
      <c r="A329" s="2">
        <v>45057</v>
      </c>
      <c r="B329" s="2">
        <v>45065</v>
      </c>
      <c r="C329" s="1" t="s">
        <v>21</v>
      </c>
      <c r="D329" s="1" t="s">
        <v>53</v>
      </c>
      <c r="E329" s="1" t="s">
        <v>16</v>
      </c>
      <c r="F329" s="1" t="s">
        <v>43</v>
      </c>
      <c r="G329" s="1" t="s">
        <v>51</v>
      </c>
      <c r="H329" s="1" t="s">
        <v>63</v>
      </c>
      <c r="I329" s="1" t="s">
        <v>44</v>
      </c>
      <c r="J329" s="1">
        <v>1</v>
      </c>
      <c r="K329" s="1">
        <v>3354.81</v>
      </c>
      <c r="L329" s="1">
        <v>0</v>
      </c>
    </row>
    <row r="330" spans="1:12" x14ac:dyDescent="0.3">
      <c r="A330" s="2">
        <v>45279</v>
      </c>
      <c r="B330" s="2">
        <v>45280</v>
      </c>
      <c r="C330" s="1" t="s">
        <v>39</v>
      </c>
      <c r="D330" s="1" t="s">
        <v>53</v>
      </c>
      <c r="E330" s="1" t="s">
        <v>23</v>
      </c>
      <c r="F330" s="1" t="s">
        <v>34</v>
      </c>
      <c r="G330" s="1" t="s">
        <v>51</v>
      </c>
      <c r="H330" s="1" t="s">
        <v>55</v>
      </c>
      <c r="I330" s="1" t="s">
        <v>32</v>
      </c>
      <c r="J330" s="1">
        <v>8</v>
      </c>
      <c r="K330" s="1">
        <v>3905.57</v>
      </c>
      <c r="L330" s="1">
        <v>10</v>
      </c>
    </row>
    <row r="331" spans="1:12" x14ac:dyDescent="0.3">
      <c r="A331" s="2">
        <v>45059</v>
      </c>
      <c r="B331" s="2">
        <v>45061</v>
      </c>
      <c r="C331" s="1" t="s">
        <v>15</v>
      </c>
      <c r="D331" s="1" t="s">
        <v>53</v>
      </c>
      <c r="E331" s="1" t="s">
        <v>16</v>
      </c>
      <c r="F331" s="1" t="s">
        <v>17</v>
      </c>
      <c r="G331" s="1" t="s">
        <v>51</v>
      </c>
      <c r="H331" s="1" t="s">
        <v>63</v>
      </c>
      <c r="I331" s="1" t="s">
        <v>46</v>
      </c>
      <c r="J331" s="1">
        <v>6</v>
      </c>
      <c r="K331" s="1">
        <v>1288.31</v>
      </c>
      <c r="L331" s="1">
        <v>15</v>
      </c>
    </row>
    <row r="332" spans="1:12" x14ac:dyDescent="0.3">
      <c r="A332" s="2">
        <v>45153</v>
      </c>
      <c r="B332" s="2">
        <v>45155</v>
      </c>
      <c r="C332" s="1" t="s">
        <v>39</v>
      </c>
      <c r="D332" s="1" t="s">
        <v>15</v>
      </c>
      <c r="E332" s="1" t="s">
        <v>23</v>
      </c>
      <c r="F332" s="1" t="s">
        <v>43</v>
      </c>
      <c r="G332" s="1" t="s">
        <v>51</v>
      </c>
      <c r="H332" s="1" t="s">
        <v>59</v>
      </c>
      <c r="I332" s="1" t="s">
        <v>46</v>
      </c>
      <c r="J332" s="1">
        <v>9</v>
      </c>
      <c r="K332" s="1">
        <v>3740.3</v>
      </c>
      <c r="L332" s="1">
        <v>10</v>
      </c>
    </row>
    <row r="333" spans="1:12" x14ac:dyDescent="0.3">
      <c r="A333" s="2">
        <v>45137</v>
      </c>
      <c r="B333" s="2">
        <v>45140</v>
      </c>
      <c r="C333" s="1" t="s">
        <v>39</v>
      </c>
      <c r="D333" s="1" t="s">
        <v>22</v>
      </c>
      <c r="E333" s="1" t="s">
        <v>23</v>
      </c>
      <c r="F333" s="1" t="s">
        <v>24</v>
      </c>
      <c r="G333" s="1" t="s">
        <v>18</v>
      </c>
      <c r="H333" s="1" t="s">
        <v>54</v>
      </c>
      <c r="I333" s="1" t="s">
        <v>27</v>
      </c>
      <c r="J333" s="1">
        <v>9</v>
      </c>
      <c r="K333" s="1">
        <v>2454.59</v>
      </c>
      <c r="L333" s="1">
        <v>5</v>
      </c>
    </row>
    <row r="334" spans="1:12" x14ac:dyDescent="0.3">
      <c r="A334" s="2">
        <v>45139</v>
      </c>
      <c r="B334" s="2">
        <v>45146</v>
      </c>
      <c r="C334" s="1" t="s">
        <v>45</v>
      </c>
      <c r="D334" s="1" t="s">
        <v>37</v>
      </c>
      <c r="E334" s="1" t="s">
        <v>29</v>
      </c>
      <c r="F334" s="1" t="s">
        <v>34</v>
      </c>
      <c r="G334" s="1" t="s">
        <v>48</v>
      </c>
      <c r="H334" s="1" t="s">
        <v>50</v>
      </c>
      <c r="I334" s="1" t="s">
        <v>27</v>
      </c>
      <c r="J334" s="1">
        <v>6</v>
      </c>
      <c r="K334" s="1">
        <v>2247.37</v>
      </c>
      <c r="L334" s="1">
        <v>15</v>
      </c>
    </row>
    <row r="335" spans="1:12" x14ac:dyDescent="0.3">
      <c r="A335" s="2">
        <v>45057</v>
      </c>
      <c r="B335" s="2">
        <v>45062</v>
      </c>
      <c r="C335" s="1" t="s">
        <v>45</v>
      </c>
      <c r="D335" s="1" t="s">
        <v>53</v>
      </c>
      <c r="E335" s="1" t="s">
        <v>23</v>
      </c>
      <c r="F335" s="1" t="s">
        <v>24</v>
      </c>
      <c r="G335" s="1" t="s">
        <v>18</v>
      </c>
      <c r="H335" s="1" t="s">
        <v>19</v>
      </c>
      <c r="I335" s="1" t="s">
        <v>44</v>
      </c>
      <c r="J335" s="1">
        <v>8</v>
      </c>
      <c r="K335" s="1">
        <v>437.36</v>
      </c>
      <c r="L335" s="1">
        <v>20</v>
      </c>
    </row>
    <row r="336" spans="1:12" x14ac:dyDescent="0.3">
      <c r="A336" s="2">
        <v>45002</v>
      </c>
      <c r="B336" s="2">
        <v>45009</v>
      </c>
      <c r="C336" s="1" t="s">
        <v>14</v>
      </c>
      <c r="D336" s="1" t="s">
        <v>28</v>
      </c>
      <c r="E336" s="1" t="s">
        <v>23</v>
      </c>
      <c r="F336" s="1" t="s">
        <v>43</v>
      </c>
      <c r="G336" s="1" t="s">
        <v>51</v>
      </c>
      <c r="H336" s="1" t="s">
        <v>55</v>
      </c>
      <c r="I336" s="1" t="s">
        <v>20</v>
      </c>
      <c r="J336" s="1">
        <v>3</v>
      </c>
      <c r="K336" s="1">
        <v>3644.78</v>
      </c>
      <c r="L336" s="1">
        <v>0</v>
      </c>
    </row>
    <row r="337" spans="1:12" x14ac:dyDescent="0.3">
      <c r="A337" s="2">
        <v>45212</v>
      </c>
      <c r="B337" s="2">
        <v>45213</v>
      </c>
      <c r="C337" s="1" t="s">
        <v>14</v>
      </c>
      <c r="D337" s="1" t="s">
        <v>22</v>
      </c>
      <c r="E337" s="1" t="s">
        <v>29</v>
      </c>
      <c r="F337" s="1" t="s">
        <v>17</v>
      </c>
      <c r="G337" s="1" t="s">
        <v>51</v>
      </c>
      <c r="H337" s="1" t="s">
        <v>59</v>
      </c>
      <c r="I337" s="1" t="s">
        <v>20</v>
      </c>
      <c r="J337" s="1">
        <v>3</v>
      </c>
      <c r="K337" s="1">
        <v>3986.78</v>
      </c>
      <c r="L337" s="1">
        <v>20</v>
      </c>
    </row>
    <row r="338" spans="1:12" x14ac:dyDescent="0.3">
      <c r="A338" s="2">
        <v>45082</v>
      </c>
      <c r="B338" s="2">
        <v>45091</v>
      </c>
      <c r="C338" s="1" t="s">
        <v>45</v>
      </c>
      <c r="D338" s="1" t="s">
        <v>22</v>
      </c>
      <c r="E338" s="1" t="s">
        <v>29</v>
      </c>
      <c r="F338" s="1" t="s">
        <v>17</v>
      </c>
      <c r="G338" s="1" t="s">
        <v>25</v>
      </c>
      <c r="H338" s="1" t="s">
        <v>60</v>
      </c>
      <c r="I338" s="1" t="s">
        <v>46</v>
      </c>
      <c r="J338" s="1">
        <v>5</v>
      </c>
      <c r="K338" s="1">
        <v>3116.22</v>
      </c>
      <c r="L338" s="1">
        <v>10</v>
      </c>
    </row>
    <row r="339" spans="1:12" x14ac:dyDescent="0.3">
      <c r="A339" s="2">
        <v>45174</v>
      </c>
      <c r="B339" s="2">
        <v>45179</v>
      </c>
      <c r="C339" s="1" t="s">
        <v>33</v>
      </c>
      <c r="D339" s="1" t="s">
        <v>28</v>
      </c>
      <c r="E339" s="1" t="s">
        <v>23</v>
      </c>
      <c r="F339" s="1" t="s">
        <v>34</v>
      </c>
      <c r="G339" s="1" t="s">
        <v>48</v>
      </c>
      <c r="H339" s="1" t="s">
        <v>50</v>
      </c>
      <c r="I339" s="1" t="s">
        <v>27</v>
      </c>
      <c r="J339" s="1">
        <v>3</v>
      </c>
      <c r="K339" s="1">
        <v>1448.62</v>
      </c>
      <c r="L339" s="1">
        <v>10</v>
      </c>
    </row>
    <row r="340" spans="1:12" x14ac:dyDescent="0.3">
      <c r="A340" s="2">
        <v>45144</v>
      </c>
      <c r="B340" s="2">
        <v>45149</v>
      </c>
      <c r="C340" s="1" t="s">
        <v>36</v>
      </c>
      <c r="D340" s="1" t="s">
        <v>53</v>
      </c>
      <c r="E340" s="1" t="s">
        <v>16</v>
      </c>
      <c r="F340" s="1" t="s">
        <v>41</v>
      </c>
      <c r="G340" s="1" t="s">
        <v>48</v>
      </c>
      <c r="H340" s="1" t="s">
        <v>49</v>
      </c>
      <c r="I340" s="1" t="s">
        <v>32</v>
      </c>
      <c r="J340" s="1">
        <v>1</v>
      </c>
      <c r="K340" s="1">
        <v>3775.07</v>
      </c>
      <c r="L340" s="1">
        <v>10</v>
      </c>
    </row>
    <row r="341" spans="1:12" x14ac:dyDescent="0.3">
      <c r="A341" s="2">
        <v>45116</v>
      </c>
      <c r="B341" s="2">
        <v>45119</v>
      </c>
      <c r="C341" s="1" t="s">
        <v>15</v>
      </c>
      <c r="D341" s="1" t="s">
        <v>22</v>
      </c>
      <c r="E341" s="1" t="s">
        <v>16</v>
      </c>
      <c r="F341" s="1" t="s">
        <v>41</v>
      </c>
      <c r="G341" s="1" t="s">
        <v>30</v>
      </c>
      <c r="H341" s="1" t="s">
        <v>64</v>
      </c>
      <c r="I341" s="1" t="s">
        <v>44</v>
      </c>
      <c r="J341" s="1">
        <v>3</v>
      </c>
      <c r="K341" s="1">
        <v>2189.4</v>
      </c>
      <c r="L341" s="1">
        <v>20</v>
      </c>
    </row>
    <row r="342" spans="1:12" x14ac:dyDescent="0.3">
      <c r="A342" s="2">
        <v>45089</v>
      </c>
      <c r="B342" s="2">
        <v>45094</v>
      </c>
      <c r="C342" s="1" t="s">
        <v>14</v>
      </c>
      <c r="D342" s="1" t="s">
        <v>22</v>
      </c>
      <c r="E342" s="1" t="s">
        <v>23</v>
      </c>
      <c r="F342" s="1" t="s">
        <v>34</v>
      </c>
      <c r="G342" s="1" t="s">
        <v>56</v>
      </c>
      <c r="H342" s="1" t="s">
        <v>57</v>
      </c>
      <c r="I342" s="1" t="s">
        <v>44</v>
      </c>
      <c r="J342" s="1">
        <v>9</v>
      </c>
      <c r="K342" s="1">
        <v>2969.7</v>
      </c>
      <c r="L342" s="1">
        <v>10</v>
      </c>
    </row>
    <row r="343" spans="1:12" x14ac:dyDescent="0.3">
      <c r="A343" s="2">
        <v>44960</v>
      </c>
      <c r="B343" s="2">
        <v>44969</v>
      </c>
      <c r="C343" s="1" t="s">
        <v>39</v>
      </c>
      <c r="D343" s="1" t="s">
        <v>37</v>
      </c>
      <c r="E343" s="1" t="s">
        <v>29</v>
      </c>
      <c r="F343" s="1" t="s">
        <v>17</v>
      </c>
      <c r="G343" s="1" t="s">
        <v>30</v>
      </c>
      <c r="H343" s="1" t="s">
        <v>31</v>
      </c>
      <c r="I343" s="1" t="s">
        <v>20</v>
      </c>
      <c r="J343" s="1">
        <v>2</v>
      </c>
      <c r="K343" s="1">
        <v>3904.44</v>
      </c>
      <c r="L343" s="1">
        <v>10</v>
      </c>
    </row>
    <row r="344" spans="1:12" x14ac:dyDescent="0.3">
      <c r="A344" s="2">
        <v>45264</v>
      </c>
      <c r="B344" s="2">
        <v>45265</v>
      </c>
      <c r="C344" s="1" t="s">
        <v>33</v>
      </c>
      <c r="D344" s="1" t="s">
        <v>37</v>
      </c>
      <c r="E344" s="1" t="s">
        <v>16</v>
      </c>
      <c r="F344" s="1" t="s">
        <v>34</v>
      </c>
      <c r="G344" s="1" t="s">
        <v>25</v>
      </c>
      <c r="H344" s="1" t="s">
        <v>68</v>
      </c>
      <c r="I344" s="1" t="s">
        <v>27</v>
      </c>
      <c r="J344" s="1">
        <v>4</v>
      </c>
      <c r="K344" s="1">
        <v>3871.21</v>
      </c>
      <c r="L344" s="1">
        <v>10</v>
      </c>
    </row>
    <row r="345" spans="1:12" x14ac:dyDescent="0.3">
      <c r="A345" s="2">
        <v>45240</v>
      </c>
      <c r="B345" s="2">
        <v>45247</v>
      </c>
      <c r="C345" s="1" t="s">
        <v>39</v>
      </c>
      <c r="D345" s="1" t="s">
        <v>37</v>
      </c>
      <c r="E345" s="1" t="s">
        <v>29</v>
      </c>
      <c r="F345" s="1" t="s">
        <v>17</v>
      </c>
      <c r="G345" s="1" t="s">
        <v>18</v>
      </c>
      <c r="H345" s="1" t="s">
        <v>19</v>
      </c>
      <c r="I345" s="1" t="s">
        <v>32</v>
      </c>
      <c r="J345" s="1">
        <v>7</v>
      </c>
      <c r="K345" s="1">
        <v>2568.2600000000002</v>
      </c>
      <c r="L345" s="1">
        <v>10</v>
      </c>
    </row>
    <row r="346" spans="1:12" x14ac:dyDescent="0.3">
      <c r="A346" s="2">
        <v>45076</v>
      </c>
      <c r="B346" s="2">
        <v>45082</v>
      </c>
      <c r="C346" s="1" t="s">
        <v>45</v>
      </c>
      <c r="D346" s="1" t="s">
        <v>22</v>
      </c>
      <c r="E346" s="1" t="s">
        <v>23</v>
      </c>
      <c r="F346" s="1" t="s">
        <v>41</v>
      </c>
      <c r="G346" s="1" t="s">
        <v>48</v>
      </c>
      <c r="H346" s="1" t="s">
        <v>67</v>
      </c>
      <c r="I346" s="1" t="s">
        <v>27</v>
      </c>
      <c r="J346" s="1">
        <v>1</v>
      </c>
      <c r="K346" s="1">
        <v>1574.59</v>
      </c>
      <c r="L346" s="1">
        <v>5</v>
      </c>
    </row>
    <row r="347" spans="1:12" x14ac:dyDescent="0.3">
      <c r="A347" s="2">
        <v>45251</v>
      </c>
      <c r="B347" s="2">
        <v>45255</v>
      </c>
      <c r="C347" s="1" t="s">
        <v>33</v>
      </c>
      <c r="D347" s="1" t="s">
        <v>40</v>
      </c>
      <c r="E347" s="1" t="s">
        <v>16</v>
      </c>
      <c r="F347" s="1" t="s">
        <v>24</v>
      </c>
      <c r="G347" s="1" t="s">
        <v>56</v>
      </c>
      <c r="H347" s="1" t="s">
        <v>57</v>
      </c>
      <c r="I347" s="1" t="s">
        <v>27</v>
      </c>
      <c r="J347" s="1">
        <v>9</v>
      </c>
      <c r="K347" s="1">
        <v>3191.56</v>
      </c>
      <c r="L347" s="1">
        <v>20</v>
      </c>
    </row>
    <row r="348" spans="1:12" x14ac:dyDescent="0.3">
      <c r="A348" s="2">
        <v>45034</v>
      </c>
      <c r="B348" s="2">
        <v>45036</v>
      </c>
      <c r="C348" s="1" t="s">
        <v>14</v>
      </c>
      <c r="D348" s="1" t="s">
        <v>28</v>
      </c>
      <c r="E348" s="1" t="s">
        <v>16</v>
      </c>
      <c r="F348" s="1" t="s">
        <v>17</v>
      </c>
      <c r="G348" s="1" t="s">
        <v>51</v>
      </c>
      <c r="H348" s="1" t="s">
        <v>63</v>
      </c>
      <c r="I348" s="1" t="s">
        <v>44</v>
      </c>
      <c r="J348" s="1">
        <v>2</v>
      </c>
      <c r="K348" s="1">
        <v>1374.23</v>
      </c>
      <c r="L348" s="1">
        <v>0</v>
      </c>
    </row>
    <row r="349" spans="1:12" x14ac:dyDescent="0.3">
      <c r="A349" s="2">
        <v>45276</v>
      </c>
      <c r="B349" s="2">
        <v>45280</v>
      </c>
      <c r="C349" s="1" t="s">
        <v>45</v>
      </c>
      <c r="D349" s="1" t="s">
        <v>28</v>
      </c>
      <c r="E349" s="1" t="s">
        <v>23</v>
      </c>
      <c r="F349" s="1" t="s">
        <v>43</v>
      </c>
      <c r="G349" s="1" t="s">
        <v>25</v>
      </c>
      <c r="H349" s="1" t="s">
        <v>26</v>
      </c>
      <c r="I349" s="1" t="s">
        <v>27</v>
      </c>
      <c r="J349" s="1">
        <v>5</v>
      </c>
      <c r="K349" s="1">
        <v>1480.66</v>
      </c>
      <c r="L349" s="1">
        <v>0</v>
      </c>
    </row>
    <row r="350" spans="1:12" x14ac:dyDescent="0.3">
      <c r="A350" s="2">
        <v>45215</v>
      </c>
      <c r="B350" s="2">
        <v>45221</v>
      </c>
      <c r="C350" s="1" t="s">
        <v>21</v>
      </c>
      <c r="D350" s="1" t="s">
        <v>28</v>
      </c>
      <c r="E350" s="1" t="s">
        <v>23</v>
      </c>
      <c r="F350" s="1" t="s">
        <v>24</v>
      </c>
      <c r="G350" s="1" t="s">
        <v>48</v>
      </c>
      <c r="H350" s="1" t="s">
        <v>49</v>
      </c>
      <c r="I350" s="1" t="s">
        <v>20</v>
      </c>
      <c r="J350" s="1">
        <v>1</v>
      </c>
      <c r="K350" s="1">
        <v>445.38</v>
      </c>
      <c r="L350" s="1">
        <v>10</v>
      </c>
    </row>
    <row r="351" spans="1:12" x14ac:dyDescent="0.3">
      <c r="A351" s="2">
        <v>44992</v>
      </c>
      <c r="B351" s="2">
        <v>45000</v>
      </c>
      <c r="C351" s="1" t="s">
        <v>21</v>
      </c>
      <c r="D351" s="1" t="s">
        <v>15</v>
      </c>
      <c r="E351" s="1" t="s">
        <v>23</v>
      </c>
      <c r="F351" s="1" t="s">
        <v>34</v>
      </c>
      <c r="G351" s="1" t="s">
        <v>25</v>
      </c>
      <c r="H351" s="1" t="s">
        <v>35</v>
      </c>
      <c r="I351" s="1" t="s">
        <v>46</v>
      </c>
      <c r="J351" s="1">
        <v>5</v>
      </c>
      <c r="K351" s="1">
        <v>2072.3200000000002</v>
      </c>
      <c r="L351" s="1">
        <v>15</v>
      </c>
    </row>
    <row r="352" spans="1:12" x14ac:dyDescent="0.3">
      <c r="A352" s="2">
        <v>45174</v>
      </c>
      <c r="B352" s="2">
        <v>45176</v>
      </c>
      <c r="C352" s="1" t="s">
        <v>45</v>
      </c>
      <c r="D352" s="1" t="s">
        <v>22</v>
      </c>
      <c r="E352" s="1" t="s">
        <v>29</v>
      </c>
      <c r="F352" s="1" t="s">
        <v>41</v>
      </c>
      <c r="G352" s="1" t="s">
        <v>30</v>
      </c>
      <c r="H352" s="1" t="s">
        <v>64</v>
      </c>
      <c r="I352" s="1" t="s">
        <v>46</v>
      </c>
      <c r="J352" s="1">
        <v>1</v>
      </c>
      <c r="K352" s="1">
        <v>559.4</v>
      </c>
      <c r="L352" s="1">
        <v>20</v>
      </c>
    </row>
    <row r="353" spans="1:12" x14ac:dyDescent="0.3">
      <c r="A353" s="2">
        <v>45082</v>
      </c>
      <c r="B353" s="2">
        <v>45089</v>
      </c>
      <c r="C353" s="1" t="s">
        <v>36</v>
      </c>
      <c r="D353" s="1" t="s">
        <v>22</v>
      </c>
      <c r="E353" s="1" t="s">
        <v>29</v>
      </c>
      <c r="F353" s="1" t="s">
        <v>43</v>
      </c>
      <c r="G353" s="1" t="s">
        <v>18</v>
      </c>
      <c r="H353" s="1" t="s">
        <v>42</v>
      </c>
      <c r="I353" s="1" t="s">
        <v>32</v>
      </c>
      <c r="J353" s="1">
        <v>4</v>
      </c>
      <c r="K353" s="1">
        <v>589.44000000000005</v>
      </c>
      <c r="L353" s="1">
        <v>20</v>
      </c>
    </row>
    <row r="354" spans="1:12" x14ac:dyDescent="0.3">
      <c r="A354" s="2">
        <v>44973</v>
      </c>
      <c r="B354" s="2">
        <v>44975</v>
      </c>
      <c r="C354" s="1" t="s">
        <v>15</v>
      </c>
      <c r="D354" s="1" t="s">
        <v>40</v>
      </c>
      <c r="E354" s="1" t="s">
        <v>29</v>
      </c>
      <c r="F354" s="1" t="s">
        <v>34</v>
      </c>
      <c r="G354" s="1" t="s">
        <v>18</v>
      </c>
      <c r="H354" s="1" t="s">
        <v>42</v>
      </c>
      <c r="I354" s="1" t="s">
        <v>27</v>
      </c>
      <c r="J354" s="1">
        <v>6</v>
      </c>
      <c r="K354" s="1">
        <v>3773.04</v>
      </c>
      <c r="L354" s="1">
        <v>0</v>
      </c>
    </row>
    <row r="355" spans="1:12" x14ac:dyDescent="0.3">
      <c r="A355" s="2">
        <v>45074</v>
      </c>
      <c r="B355" s="2">
        <v>45082</v>
      </c>
      <c r="C355" s="1" t="s">
        <v>21</v>
      </c>
      <c r="D355" s="1" t="s">
        <v>15</v>
      </c>
      <c r="E355" s="1" t="s">
        <v>16</v>
      </c>
      <c r="F355" s="1" t="s">
        <v>17</v>
      </c>
      <c r="G355" s="1" t="s">
        <v>56</v>
      </c>
      <c r="H355" s="1" t="s">
        <v>58</v>
      </c>
      <c r="I355" s="1" t="s">
        <v>44</v>
      </c>
      <c r="J355" s="1">
        <v>9</v>
      </c>
      <c r="K355" s="1">
        <v>1890.53</v>
      </c>
      <c r="L355" s="1">
        <v>15</v>
      </c>
    </row>
    <row r="356" spans="1:12" x14ac:dyDescent="0.3">
      <c r="A356" s="2">
        <v>44927</v>
      </c>
      <c r="B356" s="2">
        <v>44936</v>
      </c>
      <c r="C356" s="1" t="s">
        <v>33</v>
      </c>
      <c r="D356" s="1" t="s">
        <v>28</v>
      </c>
      <c r="E356" s="1" t="s">
        <v>29</v>
      </c>
      <c r="F356" s="1" t="s">
        <v>17</v>
      </c>
      <c r="G356" s="1" t="s">
        <v>25</v>
      </c>
      <c r="H356" s="1" t="s">
        <v>35</v>
      </c>
      <c r="I356" s="1" t="s">
        <v>27</v>
      </c>
      <c r="J356" s="1">
        <v>8</v>
      </c>
      <c r="K356" s="1">
        <v>150.72</v>
      </c>
      <c r="L356" s="1">
        <v>5</v>
      </c>
    </row>
    <row r="357" spans="1:12" x14ac:dyDescent="0.3">
      <c r="A357" s="2">
        <v>45269</v>
      </c>
      <c r="B357" s="2">
        <v>45278</v>
      </c>
      <c r="C357" s="1" t="s">
        <v>14</v>
      </c>
      <c r="D357" s="1" t="s">
        <v>53</v>
      </c>
      <c r="E357" s="1" t="s">
        <v>29</v>
      </c>
      <c r="F357" s="1" t="s">
        <v>34</v>
      </c>
      <c r="G357" s="1" t="s">
        <v>30</v>
      </c>
      <c r="H357" s="1" t="s">
        <v>47</v>
      </c>
      <c r="I357" s="1" t="s">
        <v>27</v>
      </c>
      <c r="J357" s="1">
        <v>5</v>
      </c>
      <c r="K357" s="1">
        <v>2523.25</v>
      </c>
      <c r="L357" s="1">
        <v>10</v>
      </c>
    </row>
    <row r="358" spans="1:12" x14ac:dyDescent="0.3">
      <c r="A358" s="2">
        <v>45117</v>
      </c>
      <c r="B358" s="2">
        <v>45119</v>
      </c>
      <c r="C358" s="1" t="s">
        <v>15</v>
      </c>
      <c r="D358" s="1" t="s">
        <v>28</v>
      </c>
      <c r="E358" s="1" t="s">
        <v>16</v>
      </c>
      <c r="F358" s="1" t="s">
        <v>43</v>
      </c>
      <c r="G358" s="1" t="s">
        <v>25</v>
      </c>
      <c r="H358" s="1" t="s">
        <v>35</v>
      </c>
      <c r="I358" s="1" t="s">
        <v>46</v>
      </c>
      <c r="J358" s="1">
        <v>6</v>
      </c>
      <c r="K358" s="1">
        <v>845</v>
      </c>
      <c r="L358" s="1">
        <v>15</v>
      </c>
    </row>
    <row r="359" spans="1:12" x14ac:dyDescent="0.3">
      <c r="A359" s="2">
        <v>44947</v>
      </c>
      <c r="B359" s="2">
        <v>44955</v>
      </c>
      <c r="C359" s="1" t="s">
        <v>33</v>
      </c>
      <c r="D359" s="1" t="s">
        <v>40</v>
      </c>
      <c r="E359" s="1" t="s">
        <v>16</v>
      </c>
      <c r="F359" s="1" t="s">
        <v>43</v>
      </c>
      <c r="G359" s="1" t="s">
        <v>48</v>
      </c>
      <c r="H359" s="1" t="s">
        <v>49</v>
      </c>
      <c r="I359" s="1" t="s">
        <v>46</v>
      </c>
      <c r="J359" s="1">
        <v>8</v>
      </c>
      <c r="K359" s="1">
        <v>1160.51</v>
      </c>
      <c r="L359" s="1">
        <v>0</v>
      </c>
    </row>
    <row r="360" spans="1:12" x14ac:dyDescent="0.3">
      <c r="A360" s="2">
        <v>45153</v>
      </c>
      <c r="B360" s="2">
        <v>45162</v>
      </c>
      <c r="C360" s="1" t="s">
        <v>33</v>
      </c>
      <c r="D360" s="1" t="s">
        <v>53</v>
      </c>
      <c r="E360" s="1" t="s">
        <v>23</v>
      </c>
      <c r="F360" s="1" t="s">
        <v>24</v>
      </c>
      <c r="G360" s="1" t="s">
        <v>56</v>
      </c>
      <c r="H360" s="1" t="s">
        <v>66</v>
      </c>
      <c r="I360" s="1" t="s">
        <v>32</v>
      </c>
      <c r="J360" s="1">
        <v>7</v>
      </c>
      <c r="K360" s="1">
        <v>2172.2399999999998</v>
      </c>
      <c r="L360" s="1">
        <v>20</v>
      </c>
    </row>
    <row r="361" spans="1:12" x14ac:dyDescent="0.3">
      <c r="A361" s="2">
        <v>45228</v>
      </c>
      <c r="B361" s="2">
        <v>45237</v>
      </c>
      <c r="C361" s="1" t="s">
        <v>15</v>
      </c>
      <c r="D361" s="1" t="s">
        <v>15</v>
      </c>
      <c r="E361" s="1" t="s">
        <v>16</v>
      </c>
      <c r="F361" s="1" t="s">
        <v>41</v>
      </c>
      <c r="G361" s="1" t="s">
        <v>18</v>
      </c>
      <c r="H361" s="1" t="s">
        <v>42</v>
      </c>
      <c r="I361" s="1" t="s">
        <v>44</v>
      </c>
      <c r="J361" s="1">
        <v>2</v>
      </c>
      <c r="K361" s="1">
        <v>1294.8399999999999</v>
      </c>
      <c r="L361" s="1">
        <v>15</v>
      </c>
    </row>
    <row r="362" spans="1:12" x14ac:dyDescent="0.3">
      <c r="A362" s="2">
        <v>45068</v>
      </c>
      <c r="B362" s="2">
        <v>45077</v>
      </c>
      <c r="C362" s="1" t="s">
        <v>15</v>
      </c>
      <c r="D362" s="1" t="s">
        <v>40</v>
      </c>
      <c r="E362" s="1" t="s">
        <v>23</v>
      </c>
      <c r="F362" s="1" t="s">
        <v>41</v>
      </c>
      <c r="G362" s="1" t="s">
        <v>48</v>
      </c>
      <c r="H362" s="1" t="s">
        <v>62</v>
      </c>
      <c r="I362" s="1" t="s">
        <v>32</v>
      </c>
      <c r="J362" s="1">
        <v>9</v>
      </c>
      <c r="K362" s="1">
        <v>775.77</v>
      </c>
      <c r="L362" s="1">
        <v>0</v>
      </c>
    </row>
    <row r="363" spans="1:12" x14ac:dyDescent="0.3">
      <c r="A363" s="2">
        <v>44965</v>
      </c>
      <c r="B363" s="2">
        <v>44966</v>
      </c>
      <c r="C363" s="1" t="s">
        <v>39</v>
      </c>
      <c r="D363" s="1" t="s">
        <v>15</v>
      </c>
      <c r="E363" s="1" t="s">
        <v>29</v>
      </c>
      <c r="F363" s="1" t="s">
        <v>24</v>
      </c>
      <c r="G363" s="1" t="s">
        <v>51</v>
      </c>
      <c r="H363" s="1" t="s">
        <v>52</v>
      </c>
      <c r="I363" s="1" t="s">
        <v>20</v>
      </c>
      <c r="J363" s="1">
        <v>4</v>
      </c>
      <c r="K363" s="1">
        <v>2751.14</v>
      </c>
      <c r="L363" s="1">
        <v>20</v>
      </c>
    </row>
    <row r="364" spans="1:12" x14ac:dyDescent="0.3">
      <c r="A364" s="2">
        <v>45178</v>
      </c>
      <c r="B364" s="2">
        <v>45187</v>
      </c>
      <c r="C364" s="1" t="s">
        <v>33</v>
      </c>
      <c r="D364" s="1" t="s">
        <v>22</v>
      </c>
      <c r="E364" s="1" t="s">
        <v>23</v>
      </c>
      <c r="F364" s="1" t="s">
        <v>17</v>
      </c>
      <c r="G364" s="1" t="s">
        <v>56</v>
      </c>
      <c r="H364" s="1" t="s">
        <v>61</v>
      </c>
      <c r="I364" s="1" t="s">
        <v>32</v>
      </c>
      <c r="J364" s="1">
        <v>8</v>
      </c>
      <c r="K364" s="1">
        <v>2536.88</v>
      </c>
      <c r="L364" s="1">
        <v>5</v>
      </c>
    </row>
    <row r="365" spans="1:12" x14ac:dyDescent="0.3">
      <c r="A365" s="2">
        <v>45259</v>
      </c>
      <c r="B365" s="2">
        <v>45261</v>
      </c>
      <c r="C365" s="1" t="s">
        <v>14</v>
      </c>
      <c r="D365" s="1" t="s">
        <v>28</v>
      </c>
      <c r="E365" s="1" t="s">
        <v>16</v>
      </c>
      <c r="F365" s="1" t="s">
        <v>34</v>
      </c>
      <c r="G365" s="1" t="s">
        <v>30</v>
      </c>
      <c r="H365" s="1" t="s">
        <v>31</v>
      </c>
      <c r="I365" s="1" t="s">
        <v>44</v>
      </c>
      <c r="J365" s="1">
        <v>7</v>
      </c>
      <c r="K365" s="1">
        <v>2838.06</v>
      </c>
      <c r="L365" s="1">
        <v>20</v>
      </c>
    </row>
    <row r="366" spans="1:12" x14ac:dyDescent="0.3">
      <c r="A366" s="2">
        <v>45133</v>
      </c>
      <c r="B366" s="2">
        <v>45137</v>
      </c>
      <c r="C366" s="1" t="s">
        <v>15</v>
      </c>
      <c r="D366" s="1" t="s">
        <v>28</v>
      </c>
      <c r="E366" s="1" t="s">
        <v>16</v>
      </c>
      <c r="F366" s="1" t="s">
        <v>43</v>
      </c>
      <c r="G366" s="1" t="s">
        <v>48</v>
      </c>
      <c r="H366" s="1" t="s">
        <v>62</v>
      </c>
      <c r="I366" s="1" t="s">
        <v>27</v>
      </c>
      <c r="J366" s="1">
        <v>5</v>
      </c>
      <c r="K366" s="1">
        <v>977.43</v>
      </c>
      <c r="L366" s="1">
        <v>20</v>
      </c>
    </row>
    <row r="367" spans="1:12" x14ac:dyDescent="0.3">
      <c r="A367" s="2">
        <v>45041</v>
      </c>
      <c r="B367" s="2">
        <v>45043</v>
      </c>
      <c r="C367" s="1" t="s">
        <v>39</v>
      </c>
      <c r="D367" s="1" t="s">
        <v>15</v>
      </c>
      <c r="E367" s="1" t="s">
        <v>23</v>
      </c>
      <c r="F367" s="1" t="s">
        <v>43</v>
      </c>
      <c r="G367" s="1" t="s">
        <v>48</v>
      </c>
      <c r="H367" s="1" t="s">
        <v>67</v>
      </c>
      <c r="I367" s="1" t="s">
        <v>27</v>
      </c>
      <c r="J367" s="1">
        <v>7</v>
      </c>
      <c r="K367" s="1">
        <v>1550.03</v>
      </c>
      <c r="L367" s="1">
        <v>10</v>
      </c>
    </row>
    <row r="368" spans="1:12" x14ac:dyDescent="0.3">
      <c r="A368" s="2">
        <v>45151</v>
      </c>
      <c r="B368" s="2">
        <v>45154</v>
      </c>
      <c r="C368" s="1" t="s">
        <v>36</v>
      </c>
      <c r="D368" s="1" t="s">
        <v>40</v>
      </c>
      <c r="E368" s="1" t="s">
        <v>16</v>
      </c>
      <c r="F368" s="1" t="s">
        <v>43</v>
      </c>
      <c r="G368" s="1" t="s">
        <v>56</v>
      </c>
      <c r="H368" s="1" t="s">
        <v>66</v>
      </c>
      <c r="I368" s="1" t="s">
        <v>44</v>
      </c>
      <c r="J368" s="1">
        <v>5</v>
      </c>
      <c r="K368" s="1">
        <v>529.59</v>
      </c>
      <c r="L368" s="1">
        <v>5</v>
      </c>
    </row>
    <row r="369" spans="1:12" x14ac:dyDescent="0.3">
      <c r="A369" s="2">
        <v>45060</v>
      </c>
      <c r="B369" s="2">
        <v>45063</v>
      </c>
      <c r="C369" s="1" t="s">
        <v>14</v>
      </c>
      <c r="D369" s="1" t="s">
        <v>22</v>
      </c>
      <c r="E369" s="1" t="s">
        <v>29</v>
      </c>
      <c r="F369" s="1" t="s">
        <v>24</v>
      </c>
      <c r="G369" s="1" t="s">
        <v>56</v>
      </c>
      <c r="H369" s="1" t="s">
        <v>58</v>
      </c>
      <c r="I369" s="1" t="s">
        <v>44</v>
      </c>
      <c r="J369" s="1">
        <v>8</v>
      </c>
      <c r="K369" s="1">
        <v>598.44000000000005</v>
      </c>
      <c r="L369" s="1">
        <v>0</v>
      </c>
    </row>
    <row r="370" spans="1:12" x14ac:dyDescent="0.3">
      <c r="A370" s="2">
        <v>45177</v>
      </c>
      <c r="B370" s="2">
        <v>45178</v>
      </c>
      <c r="C370" s="1" t="s">
        <v>14</v>
      </c>
      <c r="D370" s="1" t="s">
        <v>22</v>
      </c>
      <c r="E370" s="1" t="s">
        <v>16</v>
      </c>
      <c r="F370" s="1" t="s">
        <v>41</v>
      </c>
      <c r="G370" s="1" t="s">
        <v>51</v>
      </c>
      <c r="H370" s="1" t="s">
        <v>59</v>
      </c>
      <c r="I370" s="1" t="s">
        <v>44</v>
      </c>
      <c r="J370" s="1">
        <v>6</v>
      </c>
      <c r="K370" s="1">
        <v>1128.9100000000001</v>
      </c>
      <c r="L370" s="1">
        <v>20</v>
      </c>
    </row>
    <row r="371" spans="1:12" x14ac:dyDescent="0.3">
      <c r="A371" s="2">
        <v>45145</v>
      </c>
      <c r="B371" s="2">
        <v>45151</v>
      </c>
      <c r="C371" s="1" t="s">
        <v>15</v>
      </c>
      <c r="D371" s="1" t="s">
        <v>28</v>
      </c>
      <c r="E371" s="1" t="s">
        <v>23</v>
      </c>
      <c r="F371" s="1" t="s">
        <v>41</v>
      </c>
      <c r="G371" s="1" t="s">
        <v>30</v>
      </c>
      <c r="H371" s="1" t="s">
        <v>38</v>
      </c>
      <c r="I371" s="1" t="s">
        <v>20</v>
      </c>
      <c r="J371" s="1">
        <v>5</v>
      </c>
      <c r="K371" s="1">
        <v>1287.55</v>
      </c>
      <c r="L371" s="1">
        <v>0</v>
      </c>
    </row>
    <row r="372" spans="1:12" x14ac:dyDescent="0.3">
      <c r="A372" s="2">
        <v>45017</v>
      </c>
      <c r="B372" s="2">
        <v>45025</v>
      </c>
      <c r="C372" s="1" t="s">
        <v>45</v>
      </c>
      <c r="D372" s="1" t="s">
        <v>15</v>
      </c>
      <c r="E372" s="1" t="s">
        <v>29</v>
      </c>
      <c r="F372" s="1" t="s">
        <v>17</v>
      </c>
      <c r="G372" s="1" t="s">
        <v>25</v>
      </c>
      <c r="H372" s="1" t="s">
        <v>35</v>
      </c>
      <c r="I372" s="1" t="s">
        <v>27</v>
      </c>
      <c r="J372" s="1">
        <v>9</v>
      </c>
      <c r="K372" s="1">
        <v>2190.39</v>
      </c>
      <c r="L372" s="1">
        <v>20</v>
      </c>
    </row>
    <row r="373" spans="1:12" x14ac:dyDescent="0.3">
      <c r="A373" s="2">
        <v>44972</v>
      </c>
      <c r="B373" s="2">
        <v>44977</v>
      </c>
      <c r="C373" s="1" t="s">
        <v>14</v>
      </c>
      <c r="D373" s="1" t="s">
        <v>15</v>
      </c>
      <c r="E373" s="1" t="s">
        <v>29</v>
      </c>
      <c r="F373" s="1" t="s">
        <v>41</v>
      </c>
      <c r="G373" s="1" t="s">
        <v>30</v>
      </c>
      <c r="H373" s="1" t="s">
        <v>64</v>
      </c>
      <c r="I373" s="1" t="s">
        <v>32</v>
      </c>
      <c r="J373" s="1">
        <v>1</v>
      </c>
      <c r="K373" s="1">
        <v>2432.17</v>
      </c>
      <c r="L373" s="1">
        <v>20</v>
      </c>
    </row>
  </sheetData>
  <conditionalFormatting sqref="A1:L373">
    <cfRule type="expression" dxfId="5" priority="2">
      <formula>A$1=$N$5</formula>
    </cfRule>
    <cfRule type="expression" dxfId="4" priority="8">
      <formula>$D1048573=$O$5</formula>
    </cfRule>
  </conditionalFormatting>
  <conditionalFormatting sqref="A2:L373">
    <cfRule type="expression" dxfId="3" priority="4">
      <formula>$G2=$O$6</formula>
    </cfRule>
  </conditionalFormatting>
  <conditionalFormatting sqref="A1:XFD1">
    <cfRule type="expression" dxfId="2" priority="3">
      <formula>$A1:$L1=$O$7</formula>
    </cfRule>
  </conditionalFormatting>
  <conditionalFormatting sqref="B1:B373">
    <cfRule type="duplicateValues" dxfId="1" priority="1"/>
  </conditionalFormatting>
  <conditionalFormatting sqref="G2:G373">
    <cfRule type="cellIs" dxfId="0" priority="7" operator="greaterThan">
      <formula>$G2=$O$6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26Feb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PRIYANSHU DUTTA</cp:lastModifiedBy>
  <dcterms:created xsi:type="dcterms:W3CDTF">2025-12-08T11:58:47Z</dcterms:created>
  <dcterms:modified xsi:type="dcterms:W3CDTF">2026-03-02T06:33:15Z</dcterms:modified>
</cp:coreProperties>
</file>