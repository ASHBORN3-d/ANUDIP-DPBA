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"/>
    </mc:Choice>
  </mc:AlternateContent>
  <xr:revisionPtr revIDLastSave="0" documentId="8_{2A78D584-EA3A-494D-9793-4D4007038FDE}" xr6:coauthVersionLast="47" xr6:coauthVersionMax="47" xr10:uidLastSave="{00000000-0000-0000-0000-000000000000}"/>
  <bookViews>
    <workbookView xWindow="-108" yWindow="-108" windowWidth="23256" windowHeight="12456" xr2:uid="{7C66AA12-17D7-4C18-9571-79084A8F6F55}"/>
  </bookViews>
  <sheets>
    <sheet name="Sheet1" sheetId="1" r:id="rId1"/>
    <sheet name="Q1" sheetId="2" r:id="rId2"/>
    <sheet name="Q2" sheetId="3" r:id="rId3"/>
    <sheet name="Q3" sheetId="4" r:id="rId4"/>
    <sheet name="Q4" sheetId="5" r:id="rId5"/>
    <sheet name="Q5" sheetId="6" r:id="rId6"/>
    <sheet name="Q6" sheetId="7" r:id="rId7"/>
    <sheet name="Q7" sheetId="8" r:id="rId8"/>
    <sheet name="Q8" sheetId="9" r:id="rId9"/>
    <sheet name="Q9" sheetId="10" r:id="rId10"/>
    <sheet name="Q10" sheetId="11" r:id="rId11"/>
    <sheet name="Q11" sheetId="12" r:id="rId12"/>
    <sheet name="Q12" sheetId="13" r:id="rId13"/>
    <sheet name="Q13" sheetId="14" r:id="rId14"/>
    <sheet name="Q14" sheetId="15" r:id="rId15"/>
    <sheet name="Q15" sheetId="16" r:id="rId16"/>
    <sheet name="Q16" sheetId="17" r:id="rId17"/>
  </sheets>
  <definedNames>
    <definedName name="_xlnm._FilterDatabase" localSheetId="12" hidden="1">'Q12'!$A$1:$I$11</definedName>
    <definedName name="_xlnm._FilterDatabase" localSheetId="2" hidden="1">'Q2'!$A$1:$I$11</definedName>
    <definedName name="_xlnm._FilterDatabase" localSheetId="3" hidden="1">'Q3'!$A$1:$I$11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7" l="1"/>
  <c r="R4" i="14"/>
  <c r="R3" i="13"/>
  <c r="P3" i="12"/>
  <c r="R3" i="11"/>
  <c r="Q3" i="10"/>
  <c r="P3" i="9"/>
  <c r="Q3" i="8"/>
  <c r="P3" i="7"/>
  <c r="P3" i="6"/>
  <c r="P3" i="5"/>
</calcChain>
</file>

<file path=xl/sharedStrings.xml><?xml version="1.0" encoding="utf-8"?>
<sst xmlns="http://schemas.openxmlformats.org/spreadsheetml/2006/main" count="898" uniqueCount="50">
  <si>
    <t>Order_ID</t>
  </si>
  <si>
    <t>Date</t>
  </si>
  <si>
    <t>Region</t>
  </si>
  <si>
    <t>Salesperson</t>
  </si>
  <si>
    <t>Product</t>
  </si>
  <si>
    <t>Category</t>
  </si>
  <si>
    <t>Quantity</t>
  </si>
  <si>
    <t>Unit_Price</t>
  </si>
  <si>
    <t>Total_Sales</t>
  </si>
  <si>
    <t>East</t>
  </si>
  <si>
    <t>Amit</t>
  </si>
  <si>
    <t>Laptop</t>
  </si>
  <si>
    <t>Electronics</t>
  </si>
  <si>
    <t>West</t>
  </si>
  <si>
    <t>Priya</t>
  </si>
  <si>
    <t>Phone</t>
  </si>
  <si>
    <t>North</t>
  </si>
  <si>
    <t>Rahul</t>
  </si>
  <si>
    <t>Chair</t>
  </si>
  <si>
    <t>Furniture</t>
  </si>
  <si>
    <t>South</t>
  </si>
  <si>
    <t>Neha</t>
  </si>
  <si>
    <t>Table</t>
  </si>
  <si>
    <t>Desk</t>
  </si>
  <si>
    <t>Q1. Sort Total_Sales from Highest to Lowest.</t>
  </si>
  <si>
    <t>Q2. Filter data to show only "Electronics" category.</t>
  </si>
  <si>
    <t>Q3. Filter sales done by Amit in East region.</t>
  </si>
  <si>
    <t>Q4. Find total sales of all orders.</t>
  </si>
  <si>
    <t>Q5. Find total quantity sold.</t>
  </si>
  <si>
    <t>Q6. Find average Total_Sales.</t>
  </si>
  <si>
    <t>Q7. Find average quantity sold per order.</t>
  </si>
  <si>
    <t>Q8. Count total number of orders.</t>
  </si>
  <si>
    <t>Q9. Count number of Furniture orders.</t>
  </si>
  <si>
    <t>Q10. Find total sales for Electronics category.</t>
  </si>
  <si>
    <t>Q11. Find total sales done by Amit.</t>
  </si>
  <si>
    <t>Q12. Total sales of Electronics in East region.</t>
  </si>
  <si>
    <t>Q13. Total sales by Priya in West region.</t>
  </si>
  <si>
    <t>Q14. Highlight Total_Sales greater than 1,00,000.</t>
  </si>
  <si>
    <t>Q15. Highlight Quantity less than 3.</t>
  </si>
  <si>
    <t>Q16. Count orders where:</t>
  </si>
  <si>
    <t>Category = Electronics</t>
  </si>
  <si>
    <t>Quantity &gt; 3</t>
  </si>
  <si>
    <t>Total Sales</t>
  </si>
  <si>
    <t>Total Quantity Sold</t>
  </si>
  <si>
    <t>Average</t>
  </si>
  <si>
    <t>Avg. Quantity</t>
  </si>
  <si>
    <t>Tota Orders</t>
  </si>
  <si>
    <t>&gt;3</t>
  </si>
  <si>
    <t>Total Order Count</t>
  </si>
  <si>
    <t>Total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</si>
</sst>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0" xfId="0" applyAlignment="1">
      <alignment horizontal="left" vertical="center" indent="1"/>
    </xf>
    <xf numFmtId="166" fontId="0" fillId="0" borderId="1" xfId="0" applyNumberFormat="1" applyBorder="1" applyAlignment="1">
      <alignment vertical="center" wrapText="1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B6149-8E81-489F-91E3-C4CF917A52EE}">
  <dimension ref="A1:L21"/>
  <sheetViews>
    <sheetView tabSelected="1" workbookViewId="0">
      <selection activeCell="D22" sqref="D22"/>
    </sheetView>
  </sheetViews>
  <sheetFormatPr defaultRowHeight="14.4" x14ac:dyDescent="0.3"/>
  <cols>
    <col min="1" max="1" width="8.5546875" bestFit="1" customWidth="1"/>
    <col min="2" max="2" width="10.33203125" bestFit="1" customWidth="1"/>
    <col min="3" max="3" width="6.77734375" bestFit="1" customWidth="1"/>
    <col min="4" max="4" width="11" bestFit="1" customWidth="1"/>
    <col min="5" max="5" width="7.6640625" bestFit="1" customWidth="1"/>
    <col min="6" max="6" width="9.88671875" bestFit="1" customWidth="1"/>
    <col min="7" max="7" width="8.33203125" bestFit="1" customWidth="1"/>
    <col min="8" max="8" width="9.6640625" bestFit="1" customWidth="1"/>
    <col min="9" max="9" width="10.441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3">
      <c r="A2" s="2">
        <v>1001</v>
      </c>
      <c r="B2" s="3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  <c r="K2" t="s">
        <v>24</v>
      </c>
    </row>
    <row r="3" spans="1:11" x14ac:dyDescent="0.3">
      <c r="A3" s="2">
        <v>1002</v>
      </c>
      <c r="B3" s="3">
        <v>45299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5</v>
      </c>
      <c r="H3" s="2">
        <v>20000</v>
      </c>
      <c r="I3" s="2">
        <v>100000</v>
      </c>
      <c r="K3" t="s">
        <v>25</v>
      </c>
    </row>
    <row r="4" spans="1:11" x14ac:dyDescent="0.3">
      <c r="A4" s="2">
        <v>1003</v>
      </c>
      <c r="B4" s="3">
        <v>45303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10</v>
      </c>
      <c r="H4" s="2">
        <v>3000</v>
      </c>
      <c r="I4" s="2">
        <v>30000</v>
      </c>
      <c r="K4" t="s">
        <v>26</v>
      </c>
    </row>
    <row r="5" spans="1:11" x14ac:dyDescent="0.3">
      <c r="A5" s="2">
        <v>1004</v>
      </c>
      <c r="B5" s="3">
        <v>45306</v>
      </c>
      <c r="C5" s="2" t="s">
        <v>20</v>
      </c>
      <c r="D5" s="2" t="s">
        <v>21</v>
      </c>
      <c r="E5" s="2" t="s">
        <v>22</v>
      </c>
      <c r="F5" s="2" t="s">
        <v>19</v>
      </c>
      <c r="G5" s="2">
        <v>3</v>
      </c>
      <c r="H5" s="2">
        <v>7000</v>
      </c>
      <c r="I5" s="2">
        <v>21000</v>
      </c>
      <c r="K5" t="s">
        <v>27</v>
      </c>
    </row>
    <row r="6" spans="1:11" x14ac:dyDescent="0.3">
      <c r="A6" s="2">
        <v>1005</v>
      </c>
      <c r="B6" s="3">
        <v>45309</v>
      </c>
      <c r="C6" s="2" t="s">
        <v>9</v>
      </c>
      <c r="D6" s="2" t="s">
        <v>10</v>
      </c>
      <c r="E6" s="2" t="s">
        <v>15</v>
      </c>
      <c r="F6" s="2" t="s">
        <v>12</v>
      </c>
      <c r="G6" s="2">
        <v>4</v>
      </c>
      <c r="H6" s="2">
        <v>20000</v>
      </c>
      <c r="I6" s="2">
        <v>80000</v>
      </c>
      <c r="K6" t="s">
        <v>28</v>
      </c>
    </row>
    <row r="7" spans="1:11" x14ac:dyDescent="0.3">
      <c r="A7" s="2">
        <v>1006</v>
      </c>
      <c r="B7" s="3">
        <v>45311</v>
      </c>
      <c r="C7" s="2" t="s">
        <v>13</v>
      </c>
      <c r="D7" s="2" t="s">
        <v>14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  <c r="K7" t="s">
        <v>29</v>
      </c>
    </row>
    <row r="8" spans="1:11" x14ac:dyDescent="0.3">
      <c r="A8" s="2">
        <v>1007</v>
      </c>
      <c r="B8" s="3">
        <v>45316</v>
      </c>
      <c r="C8" s="2" t="s">
        <v>16</v>
      </c>
      <c r="D8" s="2" t="s">
        <v>17</v>
      </c>
      <c r="E8" s="2" t="s">
        <v>23</v>
      </c>
      <c r="F8" s="2" t="s">
        <v>19</v>
      </c>
      <c r="G8" s="2">
        <v>2</v>
      </c>
      <c r="H8" s="2">
        <v>10000</v>
      </c>
      <c r="I8" s="2">
        <v>20000</v>
      </c>
      <c r="K8" t="s">
        <v>30</v>
      </c>
    </row>
    <row r="9" spans="1:11" x14ac:dyDescent="0.3">
      <c r="A9" s="2">
        <v>1008</v>
      </c>
      <c r="B9" s="3">
        <v>45319</v>
      </c>
      <c r="C9" s="2" t="s">
        <v>20</v>
      </c>
      <c r="D9" s="2" t="s">
        <v>21</v>
      </c>
      <c r="E9" s="2" t="s">
        <v>15</v>
      </c>
      <c r="F9" s="2" t="s">
        <v>12</v>
      </c>
      <c r="G9" s="2">
        <v>6</v>
      </c>
      <c r="H9" s="2">
        <v>20000</v>
      </c>
      <c r="I9" s="2">
        <v>120000</v>
      </c>
      <c r="K9" t="s">
        <v>31</v>
      </c>
    </row>
    <row r="10" spans="1:11" x14ac:dyDescent="0.3">
      <c r="A10" s="2">
        <v>1009</v>
      </c>
      <c r="B10" s="3">
        <v>45324</v>
      </c>
      <c r="C10" s="2" t="s">
        <v>9</v>
      </c>
      <c r="D10" s="2" t="s">
        <v>10</v>
      </c>
      <c r="E10" s="2" t="s">
        <v>22</v>
      </c>
      <c r="F10" s="2" t="s">
        <v>19</v>
      </c>
      <c r="G10" s="2">
        <v>5</v>
      </c>
      <c r="H10" s="2">
        <v>7000</v>
      </c>
      <c r="I10" s="2">
        <v>35000</v>
      </c>
      <c r="K10" t="s">
        <v>32</v>
      </c>
    </row>
    <row r="11" spans="1:11" x14ac:dyDescent="0.3">
      <c r="A11" s="2">
        <v>1010</v>
      </c>
      <c r="B11" s="3">
        <v>45327</v>
      </c>
      <c r="C11" s="2" t="s">
        <v>13</v>
      </c>
      <c r="D11" s="2" t="s">
        <v>14</v>
      </c>
      <c r="E11" s="2" t="s">
        <v>18</v>
      </c>
      <c r="F11" s="2" t="s">
        <v>19</v>
      </c>
      <c r="G11" s="2">
        <v>7</v>
      </c>
      <c r="H11" s="2">
        <v>3000</v>
      </c>
      <c r="I11" s="2">
        <v>21000</v>
      </c>
      <c r="K11" t="s">
        <v>33</v>
      </c>
    </row>
    <row r="12" spans="1:11" x14ac:dyDescent="0.3">
      <c r="K12" t="s">
        <v>34</v>
      </c>
    </row>
    <row r="13" spans="1:11" x14ac:dyDescent="0.3">
      <c r="K13" t="s">
        <v>35</v>
      </c>
    </row>
    <row r="14" spans="1:11" x14ac:dyDescent="0.3">
      <c r="K14" t="s">
        <v>36</v>
      </c>
    </row>
    <row r="15" spans="1:11" x14ac:dyDescent="0.3">
      <c r="K15" t="s">
        <v>37</v>
      </c>
    </row>
    <row r="16" spans="1:11" x14ac:dyDescent="0.3">
      <c r="K16" t="s">
        <v>38</v>
      </c>
    </row>
    <row r="17" spans="11:12" x14ac:dyDescent="0.3">
      <c r="K17" t="s">
        <v>39</v>
      </c>
    </row>
    <row r="18" spans="11:12" x14ac:dyDescent="0.3">
      <c r="K18" s="4"/>
      <c r="L18" s="4" t="s">
        <v>40</v>
      </c>
    </row>
    <row r="19" spans="11:12" x14ac:dyDescent="0.3">
      <c r="K19" s="4"/>
      <c r="L19" s="4" t="s">
        <v>41</v>
      </c>
    </row>
    <row r="20" spans="11:12" x14ac:dyDescent="0.3">
      <c r="K20" s="4"/>
    </row>
    <row r="21" spans="11:12" x14ac:dyDescent="0.3">
      <c r="K21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E4002-8B3E-4D81-9798-48C08CDEA1A0}">
  <dimension ref="A1:P11"/>
  <sheetViews>
    <sheetView workbookViewId="0">
      <selection activeCell="C9" sqref="A1:I11"/>
    </sheetView>
  </sheetViews>
  <sheetFormatPr defaultRowHeight="14.4" x14ac:dyDescent="0.3"/>
  <cols>
    <col min="1" max="1" width="8.5546875" bestFit="1" customWidth="1"/>
    <col min="2" max="2" width="10.33203125" bestFit="1" customWidth="1"/>
    <col min="3" max="3" width="6.77734375" bestFit="1" customWidth="1"/>
    <col min="4" max="4" width="8.77734375" bestFit="1" customWidth="1"/>
    <col min="5" max="5" width="7.6640625" bestFit="1" customWidth="1"/>
    <col min="6" max="6" width="13.5546875" customWidth="1"/>
    <col min="7" max="7" width="8.33203125" bestFit="1" customWidth="1"/>
    <col min="8" max="8" width="11.77734375" customWidth="1"/>
    <col min="9" max="9" width="16.77734375" customWidth="1"/>
  </cols>
  <sheetData>
    <row r="1" spans="1:1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6" ht="28.8" customHeight="1" x14ac:dyDescent="0.3">
      <c r="A2" s="2">
        <v>1008</v>
      </c>
      <c r="B2" s="3">
        <v>45319</v>
      </c>
      <c r="C2" s="2" t="s">
        <v>20</v>
      </c>
      <c r="D2" s="2" t="s">
        <v>21</v>
      </c>
      <c r="E2" s="2" t="s">
        <v>15</v>
      </c>
      <c r="F2" s="2" t="s">
        <v>12</v>
      </c>
      <c r="G2" s="2">
        <v>6</v>
      </c>
      <c r="H2" s="2">
        <v>20000</v>
      </c>
      <c r="I2" s="2">
        <v>120000</v>
      </c>
      <c r="L2" s="6" t="s">
        <v>24</v>
      </c>
      <c r="M2" s="6"/>
      <c r="N2" s="6"/>
      <c r="O2" s="6"/>
      <c r="P2" s="6"/>
    </row>
    <row r="3" spans="1:16" x14ac:dyDescent="0.3">
      <c r="A3" s="2">
        <v>1001</v>
      </c>
      <c r="B3" s="3">
        <v>45296</v>
      </c>
      <c r="C3" s="2" t="s">
        <v>9</v>
      </c>
      <c r="D3" s="2" t="s">
        <v>10</v>
      </c>
      <c r="E3" s="2" t="s">
        <v>11</v>
      </c>
      <c r="F3" s="2" t="s">
        <v>12</v>
      </c>
      <c r="G3" s="2">
        <v>2</v>
      </c>
      <c r="H3" s="2">
        <v>50000</v>
      </c>
      <c r="I3" s="2">
        <v>100000</v>
      </c>
    </row>
    <row r="4" spans="1:16" x14ac:dyDescent="0.3">
      <c r="A4" s="2">
        <v>1002</v>
      </c>
      <c r="B4" s="3">
        <v>45299</v>
      </c>
      <c r="C4" s="2" t="s">
        <v>13</v>
      </c>
      <c r="D4" s="2" t="s">
        <v>14</v>
      </c>
      <c r="E4" s="2" t="s">
        <v>15</v>
      </c>
      <c r="F4" s="2" t="s">
        <v>12</v>
      </c>
      <c r="G4" s="2">
        <v>5</v>
      </c>
      <c r="H4" s="2">
        <v>20000</v>
      </c>
      <c r="I4" s="2">
        <v>100000</v>
      </c>
    </row>
    <row r="5" spans="1:16" x14ac:dyDescent="0.3">
      <c r="A5" s="2">
        <v>1005</v>
      </c>
      <c r="B5" s="3">
        <v>45309</v>
      </c>
      <c r="C5" s="2" t="s">
        <v>9</v>
      </c>
      <c r="D5" s="2" t="s">
        <v>10</v>
      </c>
      <c r="E5" s="2" t="s">
        <v>15</v>
      </c>
      <c r="F5" s="2" t="s">
        <v>12</v>
      </c>
      <c r="G5" s="2">
        <v>4</v>
      </c>
      <c r="H5" s="2">
        <v>20000</v>
      </c>
      <c r="I5" s="2">
        <v>80000</v>
      </c>
    </row>
    <row r="6" spans="1:16" x14ac:dyDescent="0.3">
      <c r="A6" s="2">
        <v>1006</v>
      </c>
      <c r="B6" s="3">
        <v>45311</v>
      </c>
      <c r="C6" s="2" t="s">
        <v>13</v>
      </c>
      <c r="D6" s="2" t="s">
        <v>14</v>
      </c>
      <c r="E6" s="2" t="s">
        <v>11</v>
      </c>
      <c r="F6" s="2" t="s">
        <v>12</v>
      </c>
      <c r="G6" s="2">
        <v>1</v>
      </c>
      <c r="H6" s="2">
        <v>50000</v>
      </c>
      <c r="I6" s="2">
        <v>50000</v>
      </c>
    </row>
    <row r="7" spans="1:16" x14ac:dyDescent="0.3">
      <c r="A7" s="2">
        <v>1009</v>
      </c>
      <c r="B7" s="3">
        <v>45324</v>
      </c>
      <c r="C7" s="2" t="s">
        <v>9</v>
      </c>
      <c r="D7" s="2" t="s">
        <v>10</v>
      </c>
      <c r="E7" s="2" t="s">
        <v>22</v>
      </c>
      <c r="F7" s="2" t="s">
        <v>19</v>
      </c>
      <c r="G7" s="2">
        <v>5</v>
      </c>
      <c r="H7" s="2">
        <v>7000</v>
      </c>
      <c r="I7" s="2">
        <v>35000</v>
      </c>
    </row>
    <row r="8" spans="1:16" x14ac:dyDescent="0.3">
      <c r="A8" s="2">
        <v>1003</v>
      </c>
      <c r="B8" s="3">
        <v>45303</v>
      </c>
      <c r="C8" s="2" t="s">
        <v>16</v>
      </c>
      <c r="D8" s="2" t="s">
        <v>17</v>
      </c>
      <c r="E8" s="2" t="s">
        <v>18</v>
      </c>
      <c r="F8" s="2" t="s">
        <v>19</v>
      </c>
      <c r="G8" s="2">
        <v>10</v>
      </c>
      <c r="H8" s="2">
        <v>3000</v>
      </c>
      <c r="I8" s="2">
        <v>30000</v>
      </c>
    </row>
    <row r="9" spans="1:16" x14ac:dyDescent="0.3">
      <c r="A9" s="2">
        <v>1004</v>
      </c>
      <c r="B9" s="3">
        <v>45306</v>
      </c>
      <c r="C9" s="2" t="s">
        <v>20</v>
      </c>
      <c r="D9" s="2" t="s">
        <v>21</v>
      </c>
      <c r="E9" s="2" t="s">
        <v>22</v>
      </c>
      <c r="F9" s="2" t="s">
        <v>19</v>
      </c>
      <c r="G9" s="2">
        <v>3</v>
      </c>
      <c r="H9" s="2">
        <v>7000</v>
      </c>
      <c r="I9" s="2">
        <v>21000</v>
      </c>
    </row>
    <row r="10" spans="1:16" x14ac:dyDescent="0.3">
      <c r="A10" s="2">
        <v>1010</v>
      </c>
      <c r="B10" s="3">
        <v>45327</v>
      </c>
      <c r="C10" s="2" t="s">
        <v>13</v>
      </c>
      <c r="D10" s="2" t="s">
        <v>14</v>
      </c>
      <c r="E10" s="2" t="s">
        <v>18</v>
      </c>
      <c r="F10" s="2" t="s">
        <v>19</v>
      </c>
      <c r="G10" s="2">
        <v>7</v>
      </c>
      <c r="H10" s="2">
        <v>3000</v>
      </c>
      <c r="I10" s="2">
        <v>21000</v>
      </c>
    </row>
    <row r="11" spans="1:16" x14ac:dyDescent="0.3">
      <c r="A11" s="2">
        <v>1007</v>
      </c>
      <c r="B11" s="3">
        <v>45316</v>
      </c>
      <c r="C11" s="2" t="s">
        <v>16</v>
      </c>
      <c r="D11" s="2" t="s">
        <v>17</v>
      </c>
      <c r="E11" s="2" t="s">
        <v>23</v>
      </c>
      <c r="F11" s="2" t="s">
        <v>19</v>
      </c>
      <c r="G11" s="2">
        <v>2</v>
      </c>
      <c r="H11" s="2">
        <v>10000</v>
      </c>
      <c r="I11" s="2">
        <v>20000</v>
      </c>
    </row>
  </sheetData>
  <sortState xmlns:xlrd2="http://schemas.microsoft.com/office/spreadsheetml/2017/richdata2" ref="A2:I11">
    <sortCondition descending="1" ref="I2:I11"/>
  </sortState>
  <mergeCells count="1">
    <mergeCell ref="L2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E8855-C2B6-492E-A6A7-9D4527C7DF62}">
  <sheetPr filterMode="1"/>
  <dimension ref="A1:P11"/>
  <sheetViews>
    <sheetView workbookViewId="0">
      <selection activeCell="E15" sqref="E15"/>
    </sheetView>
  </sheetViews>
  <sheetFormatPr defaultRowHeight="14.4" x14ac:dyDescent="0.3"/>
  <cols>
    <col min="2" max="2" width="10.33203125" bestFit="1" customWidth="1"/>
    <col min="6" max="6" width="12.33203125" customWidth="1"/>
  </cols>
  <sheetData>
    <row r="1" spans="1:1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6" ht="28.8" x14ac:dyDescent="0.3">
      <c r="A2" s="2">
        <v>1001</v>
      </c>
      <c r="B2" s="3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</row>
    <row r="3" spans="1:16" ht="28.8" x14ac:dyDescent="0.3">
      <c r="A3" s="2">
        <v>1002</v>
      </c>
      <c r="B3" s="5">
        <v>45299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5</v>
      </c>
      <c r="H3" s="2">
        <v>20000</v>
      </c>
      <c r="I3" s="2">
        <v>100000</v>
      </c>
      <c r="L3" s="6" t="s">
        <v>25</v>
      </c>
      <c r="M3" s="6"/>
      <c r="N3" s="6"/>
      <c r="O3" s="6"/>
      <c r="P3" s="6"/>
    </row>
    <row r="4" spans="1:16" hidden="1" x14ac:dyDescent="0.3">
      <c r="A4" s="2">
        <v>1003</v>
      </c>
      <c r="B4" s="3">
        <v>45303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10</v>
      </c>
      <c r="H4" s="2">
        <v>3000</v>
      </c>
      <c r="I4" s="2">
        <v>30000</v>
      </c>
    </row>
    <row r="5" spans="1:16" hidden="1" x14ac:dyDescent="0.3">
      <c r="A5" s="2">
        <v>1004</v>
      </c>
      <c r="B5" s="3">
        <v>45306</v>
      </c>
      <c r="C5" s="2" t="s">
        <v>20</v>
      </c>
      <c r="D5" s="2" t="s">
        <v>21</v>
      </c>
      <c r="E5" s="2" t="s">
        <v>22</v>
      </c>
      <c r="F5" s="2" t="s">
        <v>19</v>
      </c>
      <c r="G5" s="2">
        <v>3</v>
      </c>
      <c r="H5" s="2">
        <v>7000</v>
      </c>
      <c r="I5" s="2">
        <v>21000</v>
      </c>
    </row>
    <row r="6" spans="1:16" ht="28.8" x14ac:dyDescent="0.3">
      <c r="A6" s="2">
        <v>1005</v>
      </c>
      <c r="B6" s="3">
        <v>45309</v>
      </c>
      <c r="C6" s="2" t="s">
        <v>9</v>
      </c>
      <c r="D6" s="2" t="s">
        <v>10</v>
      </c>
      <c r="E6" s="2" t="s">
        <v>15</v>
      </c>
      <c r="F6" s="2" t="s">
        <v>12</v>
      </c>
      <c r="G6" s="2">
        <v>4</v>
      </c>
      <c r="H6" s="2">
        <v>20000</v>
      </c>
      <c r="I6" s="2">
        <v>80000</v>
      </c>
    </row>
    <row r="7" spans="1:16" ht="28.8" x14ac:dyDescent="0.3">
      <c r="A7" s="2">
        <v>1006</v>
      </c>
      <c r="B7" s="3">
        <v>45311</v>
      </c>
      <c r="C7" s="2" t="s">
        <v>13</v>
      </c>
      <c r="D7" s="2" t="s">
        <v>14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</row>
    <row r="8" spans="1:16" hidden="1" x14ac:dyDescent="0.3">
      <c r="A8" s="2">
        <v>1007</v>
      </c>
      <c r="B8" s="3">
        <v>45316</v>
      </c>
      <c r="C8" s="2" t="s">
        <v>16</v>
      </c>
      <c r="D8" s="2" t="s">
        <v>17</v>
      </c>
      <c r="E8" s="2" t="s">
        <v>23</v>
      </c>
      <c r="F8" s="2" t="s">
        <v>19</v>
      </c>
      <c r="G8" s="2">
        <v>2</v>
      </c>
      <c r="H8" s="2">
        <v>10000</v>
      </c>
      <c r="I8" s="2">
        <v>20000</v>
      </c>
    </row>
    <row r="9" spans="1:16" ht="28.8" x14ac:dyDescent="0.3">
      <c r="A9" s="2">
        <v>1008</v>
      </c>
      <c r="B9" s="3">
        <v>45319</v>
      </c>
      <c r="C9" s="2" t="s">
        <v>20</v>
      </c>
      <c r="D9" s="2" t="s">
        <v>21</v>
      </c>
      <c r="E9" s="2" t="s">
        <v>15</v>
      </c>
      <c r="F9" s="2" t="s">
        <v>12</v>
      </c>
      <c r="G9" s="2">
        <v>6</v>
      </c>
      <c r="H9" s="2">
        <v>20000</v>
      </c>
      <c r="I9" s="2">
        <v>120000</v>
      </c>
    </row>
    <row r="10" spans="1:16" hidden="1" x14ac:dyDescent="0.3">
      <c r="A10" s="2">
        <v>1009</v>
      </c>
      <c r="B10" s="3">
        <v>45324</v>
      </c>
      <c r="C10" s="2" t="s">
        <v>9</v>
      </c>
      <c r="D10" s="2" t="s">
        <v>10</v>
      </c>
      <c r="E10" s="2" t="s">
        <v>22</v>
      </c>
      <c r="F10" s="2" t="s">
        <v>19</v>
      </c>
      <c r="G10" s="2">
        <v>5</v>
      </c>
      <c r="H10" s="2">
        <v>7000</v>
      </c>
      <c r="I10" s="2">
        <v>35000</v>
      </c>
    </row>
    <row r="11" spans="1:16" hidden="1" x14ac:dyDescent="0.3">
      <c r="A11" s="2">
        <v>1010</v>
      </c>
      <c r="B11" s="3">
        <v>45327</v>
      </c>
      <c r="C11" s="2" t="s">
        <v>13</v>
      </c>
      <c r="D11" s="2" t="s">
        <v>14</v>
      </c>
      <c r="E11" s="2" t="s">
        <v>18</v>
      </c>
      <c r="F11" s="2" t="s">
        <v>19</v>
      </c>
      <c r="G11" s="2">
        <v>7</v>
      </c>
      <c r="H11" s="2">
        <v>3000</v>
      </c>
      <c r="I11" s="2">
        <v>21000</v>
      </c>
    </row>
  </sheetData>
  <autoFilter ref="A1:I11" xr:uid="{4C5E8855-C2B6-492E-A6A7-9D4527C7DF62}">
    <filterColumn colId="5">
      <filters>
        <filter val="Electronics"/>
      </filters>
    </filterColumn>
  </autoFilter>
  <mergeCells count="1">
    <mergeCell ref="L3:P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6C137-2896-4911-8F3C-4B719A39FF13}">
  <sheetPr filterMode="1"/>
  <dimension ref="A1:K15"/>
  <sheetViews>
    <sheetView workbookViewId="0">
      <selection activeCell="D16" sqref="D16"/>
    </sheetView>
  </sheetViews>
  <sheetFormatPr defaultRowHeight="14.4" x14ac:dyDescent="0.3"/>
  <cols>
    <col min="2" max="2" width="10.33203125" bestFit="1" customWidth="1"/>
    <col min="4" max="4" width="12.33203125" customWidth="1"/>
    <col min="6" max="6" width="11" customWidth="1"/>
    <col min="8" max="8" width="9.44140625" customWidth="1"/>
    <col min="9" max="9" width="11.21875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3">
      <c r="A2" s="2">
        <v>1001</v>
      </c>
      <c r="B2" s="5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</row>
    <row r="3" spans="1:11" ht="28.8" hidden="1" customHeight="1" x14ac:dyDescent="0.3">
      <c r="A3" s="2">
        <v>1002</v>
      </c>
      <c r="B3" s="3">
        <v>45299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5</v>
      </c>
      <c r="H3" s="2">
        <v>20000</v>
      </c>
      <c r="I3" s="2">
        <v>100000</v>
      </c>
    </row>
    <row r="4" spans="1:11" hidden="1" x14ac:dyDescent="0.3">
      <c r="A4" s="2">
        <v>1003</v>
      </c>
      <c r="B4" s="3">
        <v>45303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10</v>
      </c>
      <c r="H4" s="2">
        <v>3000</v>
      </c>
      <c r="I4" s="2">
        <v>30000</v>
      </c>
    </row>
    <row r="5" spans="1:11" hidden="1" x14ac:dyDescent="0.3">
      <c r="A5" s="2">
        <v>1004</v>
      </c>
      <c r="B5" s="3">
        <v>45306</v>
      </c>
      <c r="C5" s="2" t="s">
        <v>20</v>
      </c>
      <c r="D5" s="2" t="s">
        <v>21</v>
      </c>
      <c r="E5" s="2" t="s">
        <v>22</v>
      </c>
      <c r="F5" s="2" t="s">
        <v>19</v>
      </c>
      <c r="G5" s="2">
        <v>3</v>
      </c>
      <c r="H5" s="2">
        <v>7000</v>
      </c>
      <c r="I5" s="2">
        <v>21000</v>
      </c>
    </row>
    <row r="6" spans="1:11" x14ac:dyDescent="0.3">
      <c r="A6" s="2">
        <v>1005</v>
      </c>
      <c r="B6" s="3">
        <v>45309</v>
      </c>
      <c r="C6" s="2" t="s">
        <v>9</v>
      </c>
      <c r="D6" s="2" t="s">
        <v>10</v>
      </c>
      <c r="E6" s="2" t="s">
        <v>15</v>
      </c>
      <c r="F6" s="2" t="s">
        <v>12</v>
      </c>
      <c r="G6" s="2">
        <v>4</v>
      </c>
      <c r="H6" s="2">
        <v>20000</v>
      </c>
      <c r="I6" s="2">
        <v>80000</v>
      </c>
    </row>
    <row r="7" spans="1:11" hidden="1" x14ac:dyDescent="0.3">
      <c r="A7" s="2">
        <v>1006</v>
      </c>
      <c r="B7" s="3">
        <v>45311</v>
      </c>
      <c r="C7" s="2" t="s">
        <v>13</v>
      </c>
      <c r="D7" s="2" t="s">
        <v>14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</row>
    <row r="8" spans="1:11" hidden="1" x14ac:dyDescent="0.3">
      <c r="A8" s="2">
        <v>1007</v>
      </c>
      <c r="B8" s="3">
        <v>45316</v>
      </c>
      <c r="C8" s="2" t="s">
        <v>16</v>
      </c>
      <c r="D8" s="2" t="s">
        <v>17</v>
      </c>
      <c r="E8" s="2" t="s">
        <v>23</v>
      </c>
      <c r="F8" s="2" t="s">
        <v>19</v>
      </c>
      <c r="G8" s="2">
        <v>2</v>
      </c>
      <c r="H8" s="2">
        <v>10000</v>
      </c>
      <c r="I8" s="2">
        <v>20000</v>
      </c>
    </row>
    <row r="9" spans="1:11" hidden="1" x14ac:dyDescent="0.3">
      <c r="A9" s="2">
        <v>1008</v>
      </c>
      <c r="B9" s="3">
        <v>45319</v>
      </c>
      <c r="C9" s="2" t="s">
        <v>20</v>
      </c>
      <c r="D9" s="2" t="s">
        <v>21</v>
      </c>
      <c r="E9" s="2" t="s">
        <v>15</v>
      </c>
      <c r="F9" s="2" t="s">
        <v>12</v>
      </c>
      <c r="G9" s="2">
        <v>6</v>
      </c>
      <c r="H9" s="2">
        <v>20000</v>
      </c>
      <c r="I9" s="2">
        <v>120000</v>
      </c>
    </row>
    <row r="10" spans="1:11" x14ac:dyDescent="0.3">
      <c r="A10" s="2">
        <v>1009</v>
      </c>
      <c r="B10" s="3">
        <v>45324</v>
      </c>
      <c r="C10" s="2" t="s">
        <v>9</v>
      </c>
      <c r="D10" s="2" t="s">
        <v>10</v>
      </c>
      <c r="E10" s="2" t="s">
        <v>22</v>
      </c>
      <c r="F10" s="2" t="s">
        <v>19</v>
      </c>
      <c r="G10" s="2">
        <v>5</v>
      </c>
      <c r="H10" s="2">
        <v>7000</v>
      </c>
      <c r="I10" s="2">
        <v>35000</v>
      </c>
    </row>
    <row r="11" spans="1:11" hidden="1" x14ac:dyDescent="0.3">
      <c r="A11" s="2">
        <v>1010</v>
      </c>
      <c r="B11" s="3">
        <v>45327</v>
      </c>
      <c r="C11" s="2" t="s">
        <v>13</v>
      </c>
      <c r="D11" s="2" t="s">
        <v>14</v>
      </c>
      <c r="E11" s="2" t="s">
        <v>18</v>
      </c>
      <c r="F11" s="2" t="s">
        <v>19</v>
      </c>
      <c r="G11" s="2">
        <v>7</v>
      </c>
      <c r="H11" s="2">
        <v>3000</v>
      </c>
      <c r="I11" s="2">
        <v>21000</v>
      </c>
    </row>
    <row r="15" spans="1:11" x14ac:dyDescent="0.3">
      <c r="H15" s="6" t="s">
        <v>26</v>
      </c>
      <c r="I15" s="6"/>
      <c r="J15" s="6"/>
      <c r="K15" s="6"/>
    </row>
  </sheetData>
  <autoFilter ref="A1:I11" xr:uid="{AA16C137-2896-4911-8F3C-4B719A39FF13}">
    <filterColumn colId="2">
      <filters>
        <filter val="East"/>
      </filters>
    </filterColumn>
  </autoFilter>
  <mergeCells count="1">
    <mergeCell ref="H15:K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68E9D-97AE-4049-AA9B-5435A91BFDC4}">
  <dimension ref="A1:P11"/>
  <sheetViews>
    <sheetView workbookViewId="0">
      <selection activeCell="O3" sqref="O3:P3"/>
    </sheetView>
  </sheetViews>
  <sheetFormatPr defaultRowHeight="14.4" x14ac:dyDescent="0.3"/>
  <cols>
    <col min="2" max="2" width="10.33203125" bestFit="1" customWidth="1"/>
    <col min="8" max="8" width="12.109375" customWidth="1"/>
    <col min="9" max="9" width="11.88671875" customWidth="1"/>
    <col min="15" max="15" width="9.77734375" bestFit="1" customWidth="1"/>
  </cols>
  <sheetData>
    <row r="1" spans="1:1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6" ht="28.8" x14ac:dyDescent="0.3">
      <c r="A2" s="2">
        <v>1001</v>
      </c>
      <c r="B2" s="3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</row>
    <row r="3" spans="1:16" ht="28.8" x14ac:dyDescent="0.3">
      <c r="A3" s="2">
        <v>1002</v>
      </c>
      <c r="B3" s="3">
        <v>45299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5</v>
      </c>
      <c r="H3" s="2">
        <v>20000</v>
      </c>
      <c r="I3" s="2">
        <v>100000</v>
      </c>
      <c r="K3" s="6" t="s">
        <v>27</v>
      </c>
      <c r="L3" s="6"/>
      <c r="M3" s="6"/>
      <c r="O3" s="7" t="s">
        <v>42</v>
      </c>
      <c r="P3" s="7">
        <f>SUM(I2:I11)</f>
        <v>577000</v>
      </c>
    </row>
    <row r="4" spans="1:16" x14ac:dyDescent="0.3">
      <c r="A4" s="2">
        <v>1003</v>
      </c>
      <c r="B4" s="3">
        <v>45303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10</v>
      </c>
      <c r="H4" s="2">
        <v>3000</v>
      </c>
      <c r="I4" s="2">
        <v>30000</v>
      </c>
    </row>
    <row r="5" spans="1:16" x14ac:dyDescent="0.3">
      <c r="A5" s="2">
        <v>1004</v>
      </c>
      <c r="B5" s="3">
        <v>45306</v>
      </c>
      <c r="C5" s="2" t="s">
        <v>20</v>
      </c>
      <c r="D5" s="2" t="s">
        <v>21</v>
      </c>
      <c r="E5" s="2" t="s">
        <v>22</v>
      </c>
      <c r="F5" s="2" t="s">
        <v>19</v>
      </c>
      <c r="G5" s="2">
        <v>3</v>
      </c>
      <c r="H5" s="2">
        <v>7000</v>
      </c>
      <c r="I5" s="2">
        <v>21000</v>
      </c>
    </row>
    <row r="6" spans="1:16" ht="28.8" x14ac:dyDescent="0.3">
      <c r="A6" s="2">
        <v>1005</v>
      </c>
      <c r="B6" s="3">
        <v>45309</v>
      </c>
      <c r="C6" s="2" t="s">
        <v>9</v>
      </c>
      <c r="D6" s="2" t="s">
        <v>10</v>
      </c>
      <c r="E6" s="2" t="s">
        <v>15</v>
      </c>
      <c r="F6" s="2" t="s">
        <v>12</v>
      </c>
      <c r="G6" s="2">
        <v>4</v>
      </c>
      <c r="H6" s="2">
        <v>20000</v>
      </c>
      <c r="I6" s="2">
        <v>80000</v>
      </c>
    </row>
    <row r="7" spans="1:16" ht="28.8" x14ac:dyDescent="0.3">
      <c r="A7" s="2">
        <v>1006</v>
      </c>
      <c r="B7" s="3">
        <v>45311</v>
      </c>
      <c r="C7" s="2" t="s">
        <v>13</v>
      </c>
      <c r="D7" s="2" t="s">
        <v>14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</row>
    <row r="8" spans="1:16" x14ac:dyDescent="0.3">
      <c r="A8" s="2">
        <v>1007</v>
      </c>
      <c r="B8" s="3">
        <v>45316</v>
      </c>
      <c r="C8" s="2" t="s">
        <v>16</v>
      </c>
      <c r="D8" s="2" t="s">
        <v>17</v>
      </c>
      <c r="E8" s="2" t="s">
        <v>23</v>
      </c>
      <c r="F8" s="2" t="s">
        <v>19</v>
      </c>
      <c r="G8" s="2">
        <v>2</v>
      </c>
      <c r="H8" s="2">
        <v>10000</v>
      </c>
      <c r="I8" s="2">
        <v>20000</v>
      </c>
    </row>
    <row r="9" spans="1:16" ht="28.8" x14ac:dyDescent="0.3">
      <c r="A9" s="2">
        <v>1008</v>
      </c>
      <c r="B9" s="3">
        <v>45319</v>
      </c>
      <c r="C9" s="2" t="s">
        <v>20</v>
      </c>
      <c r="D9" s="2" t="s">
        <v>21</v>
      </c>
      <c r="E9" s="2" t="s">
        <v>15</v>
      </c>
      <c r="F9" s="2" t="s">
        <v>12</v>
      </c>
      <c r="G9" s="2">
        <v>6</v>
      </c>
      <c r="H9" s="2">
        <v>20000</v>
      </c>
      <c r="I9" s="2">
        <v>120000</v>
      </c>
    </row>
    <row r="10" spans="1:16" x14ac:dyDescent="0.3">
      <c r="A10" s="2">
        <v>1009</v>
      </c>
      <c r="B10" s="5">
        <v>45324</v>
      </c>
      <c r="C10" s="2" t="s">
        <v>9</v>
      </c>
      <c r="D10" s="2" t="s">
        <v>10</v>
      </c>
      <c r="E10" s="2" t="s">
        <v>22</v>
      </c>
      <c r="F10" s="2" t="s">
        <v>19</v>
      </c>
      <c r="G10" s="2">
        <v>5</v>
      </c>
      <c r="H10" s="2">
        <v>7000</v>
      </c>
      <c r="I10" s="2">
        <v>35000</v>
      </c>
    </row>
    <row r="11" spans="1:16" x14ac:dyDescent="0.3">
      <c r="A11" s="2">
        <v>1010</v>
      </c>
      <c r="B11" s="3">
        <v>45327</v>
      </c>
      <c r="C11" s="2" t="s">
        <v>13</v>
      </c>
      <c r="D11" s="2" t="s">
        <v>14</v>
      </c>
      <c r="E11" s="2" t="s">
        <v>18</v>
      </c>
      <c r="F11" s="2" t="s">
        <v>19</v>
      </c>
      <c r="G11" s="2">
        <v>7</v>
      </c>
      <c r="H11" s="2">
        <v>3000</v>
      </c>
      <c r="I11" s="2">
        <v>21000</v>
      </c>
    </row>
  </sheetData>
  <mergeCells count="1">
    <mergeCell ref="K3: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C0C9A-0F67-4AF4-A5E6-15D7E59FB5F1}">
  <dimension ref="A1:P11"/>
  <sheetViews>
    <sheetView workbookViewId="0">
      <selection activeCell="O3" sqref="O3:P3"/>
    </sheetView>
  </sheetViews>
  <sheetFormatPr defaultRowHeight="14.4" x14ac:dyDescent="0.3"/>
  <cols>
    <col min="2" max="2" width="10.33203125" bestFit="1" customWidth="1"/>
    <col min="4" max="4" width="11.88671875" customWidth="1"/>
    <col min="6" max="6" width="10.21875" customWidth="1"/>
    <col min="8" max="8" width="10.6640625" customWidth="1"/>
    <col min="9" max="9" width="12.33203125" customWidth="1"/>
    <col min="15" max="15" width="16.6640625" bestFit="1" customWidth="1"/>
  </cols>
  <sheetData>
    <row r="1" spans="1:1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6" x14ac:dyDescent="0.3">
      <c r="A2" s="2">
        <v>1001</v>
      </c>
      <c r="B2" s="5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</row>
    <row r="3" spans="1:16" x14ac:dyDescent="0.3">
      <c r="A3" s="2">
        <v>1002</v>
      </c>
      <c r="B3" s="3">
        <v>45299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5</v>
      </c>
      <c r="H3" s="2">
        <v>20000</v>
      </c>
      <c r="I3" s="2">
        <v>100000</v>
      </c>
      <c r="K3" s="6" t="s">
        <v>28</v>
      </c>
      <c r="L3" s="6"/>
      <c r="M3" s="6"/>
      <c r="O3" s="7" t="s">
        <v>43</v>
      </c>
      <c r="P3" s="7">
        <f>SUM(G2:G11)</f>
        <v>45</v>
      </c>
    </row>
    <row r="4" spans="1:16" x14ac:dyDescent="0.3">
      <c r="A4" s="2">
        <v>1003</v>
      </c>
      <c r="B4" s="3">
        <v>45303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10</v>
      </c>
      <c r="H4" s="2">
        <v>3000</v>
      </c>
      <c r="I4" s="2">
        <v>30000</v>
      </c>
    </row>
    <row r="5" spans="1:16" x14ac:dyDescent="0.3">
      <c r="A5" s="2">
        <v>1004</v>
      </c>
      <c r="B5" s="3">
        <v>45306</v>
      </c>
      <c r="C5" s="2" t="s">
        <v>20</v>
      </c>
      <c r="D5" s="2" t="s">
        <v>21</v>
      </c>
      <c r="E5" s="2" t="s">
        <v>22</v>
      </c>
      <c r="F5" s="2" t="s">
        <v>19</v>
      </c>
      <c r="G5" s="2">
        <v>3</v>
      </c>
      <c r="H5" s="2">
        <v>7000</v>
      </c>
      <c r="I5" s="2">
        <v>21000</v>
      </c>
    </row>
    <row r="6" spans="1:16" ht="28.8" x14ac:dyDescent="0.3">
      <c r="A6" s="2">
        <v>1005</v>
      </c>
      <c r="B6" s="3">
        <v>45309</v>
      </c>
      <c r="C6" s="2" t="s">
        <v>9</v>
      </c>
      <c r="D6" s="2" t="s">
        <v>10</v>
      </c>
      <c r="E6" s="2" t="s">
        <v>15</v>
      </c>
      <c r="F6" s="2" t="s">
        <v>12</v>
      </c>
      <c r="G6" s="2">
        <v>4</v>
      </c>
      <c r="H6" s="2">
        <v>20000</v>
      </c>
      <c r="I6" s="2">
        <v>80000</v>
      </c>
    </row>
    <row r="7" spans="1:16" ht="28.8" x14ac:dyDescent="0.3">
      <c r="A7" s="2">
        <v>1006</v>
      </c>
      <c r="B7" s="3">
        <v>45311</v>
      </c>
      <c r="C7" s="2" t="s">
        <v>13</v>
      </c>
      <c r="D7" s="2" t="s">
        <v>14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</row>
    <row r="8" spans="1:16" x14ac:dyDescent="0.3">
      <c r="A8" s="2">
        <v>1007</v>
      </c>
      <c r="B8" s="3">
        <v>45316</v>
      </c>
      <c r="C8" s="2" t="s">
        <v>16</v>
      </c>
      <c r="D8" s="2" t="s">
        <v>17</v>
      </c>
      <c r="E8" s="2" t="s">
        <v>23</v>
      </c>
      <c r="F8" s="2" t="s">
        <v>19</v>
      </c>
      <c r="G8" s="2">
        <v>2</v>
      </c>
      <c r="H8" s="2">
        <v>10000</v>
      </c>
      <c r="I8" s="2">
        <v>20000</v>
      </c>
    </row>
    <row r="9" spans="1:16" ht="28.8" x14ac:dyDescent="0.3">
      <c r="A9" s="2">
        <v>1008</v>
      </c>
      <c r="B9" s="3">
        <v>45319</v>
      </c>
      <c r="C9" s="2" t="s">
        <v>20</v>
      </c>
      <c r="D9" s="2" t="s">
        <v>21</v>
      </c>
      <c r="E9" s="2" t="s">
        <v>15</v>
      </c>
      <c r="F9" s="2" t="s">
        <v>12</v>
      </c>
      <c r="G9" s="2">
        <v>6</v>
      </c>
      <c r="H9" s="2">
        <v>20000</v>
      </c>
      <c r="I9" s="2">
        <v>120000</v>
      </c>
    </row>
    <row r="10" spans="1:16" x14ac:dyDescent="0.3">
      <c r="A10" s="2">
        <v>1009</v>
      </c>
      <c r="B10" s="3">
        <v>45324</v>
      </c>
      <c r="C10" s="2" t="s">
        <v>9</v>
      </c>
      <c r="D10" s="2" t="s">
        <v>10</v>
      </c>
      <c r="E10" s="2" t="s">
        <v>22</v>
      </c>
      <c r="F10" s="2" t="s">
        <v>19</v>
      </c>
      <c r="G10" s="2">
        <v>5</v>
      </c>
      <c r="H10" s="2">
        <v>7000</v>
      </c>
      <c r="I10" s="2">
        <v>35000</v>
      </c>
    </row>
    <row r="11" spans="1:16" x14ac:dyDescent="0.3">
      <c r="A11" s="2">
        <v>1010</v>
      </c>
      <c r="B11" s="3">
        <v>45327</v>
      </c>
      <c r="C11" s="2" t="s">
        <v>13</v>
      </c>
      <c r="D11" s="2" t="s">
        <v>14</v>
      </c>
      <c r="E11" s="2" t="s">
        <v>18</v>
      </c>
      <c r="F11" s="2" t="s">
        <v>19</v>
      </c>
      <c r="G11" s="2">
        <v>7</v>
      </c>
      <c r="H11" s="2">
        <v>3000</v>
      </c>
      <c r="I11" s="2">
        <v>21000</v>
      </c>
    </row>
  </sheetData>
  <mergeCells count="1">
    <mergeCell ref="K3:M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B3C03-66CD-4322-A219-C1AE9B9434F7}">
  <dimension ref="A1:P11"/>
  <sheetViews>
    <sheetView workbookViewId="0">
      <selection activeCell="O3" sqref="O3:P3"/>
    </sheetView>
  </sheetViews>
  <sheetFormatPr defaultRowHeight="14.4" x14ac:dyDescent="0.3"/>
  <cols>
    <col min="2" max="2" width="10.33203125" bestFit="1" customWidth="1"/>
    <col min="4" max="4" width="11.6640625" customWidth="1"/>
    <col min="6" max="6" width="11.33203125" customWidth="1"/>
    <col min="8" max="8" width="10.5546875" customWidth="1"/>
    <col min="9" max="9" width="14.44140625" customWidth="1"/>
  </cols>
  <sheetData>
    <row r="1" spans="1:1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6" x14ac:dyDescent="0.3">
      <c r="A2" s="2">
        <v>1001</v>
      </c>
      <c r="B2" s="5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</row>
    <row r="3" spans="1:16" x14ac:dyDescent="0.3">
      <c r="A3" s="2">
        <v>1002</v>
      </c>
      <c r="B3" s="3">
        <v>45299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5</v>
      </c>
      <c r="H3" s="2">
        <v>20000</v>
      </c>
      <c r="I3" s="2">
        <v>100000</v>
      </c>
      <c r="K3" s="6" t="s">
        <v>29</v>
      </c>
      <c r="L3" s="6"/>
      <c r="M3" s="6"/>
      <c r="O3" s="7" t="s">
        <v>44</v>
      </c>
      <c r="P3" s="7">
        <f>AVERAGE(I2:I11)</f>
        <v>57700</v>
      </c>
    </row>
    <row r="4" spans="1:16" x14ac:dyDescent="0.3">
      <c r="A4" s="2">
        <v>1003</v>
      </c>
      <c r="B4" s="3">
        <v>45303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10</v>
      </c>
      <c r="H4" s="2">
        <v>3000</v>
      </c>
      <c r="I4" s="2">
        <v>30000</v>
      </c>
    </row>
    <row r="5" spans="1:16" x14ac:dyDescent="0.3">
      <c r="A5" s="2">
        <v>1004</v>
      </c>
      <c r="B5" s="3">
        <v>45306</v>
      </c>
      <c r="C5" s="2" t="s">
        <v>20</v>
      </c>
      <c r="D5" s="2" t="s">
        <v>21</v>
      </c>
      <c r="E5" s="2" t="s">
        <v>22</v>
      </c>
      <c r="F5" s="2" t="s">
        <v>19</v>
      </c>
      <c r="G5" s="2">
        <v>3</v>
      </c>
      <c r="H5" s="2">
        <v>7000</v>
      </c>
      <c r="I5" s="2">
        <v>21000</v>
      </c>
    </row>
    <row r="6" spans="1:16" ht="28.8" x14ac:dyDescent="0.3">
      <c r="A6" s="2">
        <v>1005</v>
      </c>
      <c r="B6" s="3">
        <v>45309</v>
      </c>
      <c r="C6" s="2" t="s">
        <v>9</v>
      </c>
      <c r="D6" s="2" t="s">
        <v>10</v>
      </c>
      <c r="E6" s="2" t="s">
        <v>15</v>
      </c>
      <c r="F6" s="2" t="s">
        <v>12</v>
      </c>
      <c r="G6" s="2">
        <v>4</v>
      </c>
      <c r="H6" s="2">
        <v>20000</v>
      </c>
      <c r="I6" s="2">
        <v>80000</v>
      </c>
    </row>
    <row r="7" spans="1:16" ht="28.8" x14ac:dyDescent="0.3">
      <c r="A7" s="2">
        <v>1006</v>
      </c>
      <c r="B7" s="3">
        <v>45311</v>
      </c>
      <c r="C7" s="2" t="s">
        <v>13</v>
      </c>
      <c r="D7" s="2" t="s">
        <v>14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</row>
    <row r="8" spans="1:16" x14ac:dyDescent="0.3">
      <c r="A8" s="2">
        <v>1007</v>
      </c>
      <c r="B8" s="3">
        <v>45316</v>
      </c>
      <c r="C8" s="2" t="s">
        <v>16</v>
      </c>
      <c r="D8" s="2" t="s">
        <v>17</v>
      </c>
      <c r="E8" s="2" t="s">
        <v>23</v>
      </c>
      <c r="F8" s="2" t="s">
        <v>19</v>
      </c>
      <c r="G8" s="2">
        <v>2</v>
      </c>
      <c r="H8" s="2">
        <v>10000</v>
      </c>
      <c r="I8" s="2">
        <v>20000</v>
      </c>
    </row>
    <row r="9" spans="1:16" ht="28.8" x14ac:dyDescent="0.3">
      <c r="A9" s="2">
        <v>1008</v>
      </c>
      <c r="B9" s="3">
        <v>45319</v>
      </c>
      <c r="C9" s="2" t="s">
        <v>20</v>
      </c>
      <c r="D9" s="2" t="s">
        <v>21</v>
      </c>
      <c r="E9" s="2" t="s">
        <v>15</v>
      </c>
      <c r="F9" s="2" t="s">
        <v>12</v>
      </c>
      <c r="G9" s="2">
        <v>6</v>
      </c>
      <c r="H9" s="2">
        <v>20000</v>
      </c>
      <c r="I9" s="2">
        <v>120000</v>
      </c>
    </row>
    <row r="10" spans="1:16" x14ac:dyDescent="0.3">
      <c r="A10" s="2">
        <v>1009</v>
      </c>
      <c r="B10" s="3">
        <v>45324</v>
      </c>
      <c r="C10" s="2" t="s">
        <v>9</v>
      </c>
      <c r="D10" s="2" t="s">
        <v>10</v>
      </c>
      <c r="E10" s="2" t="s">
        <v>22</v>
      </c>
      <c r="F10" s="2" t="s">
        <v>19</v>
      </c>
      <c r="G10" s="2">
        <v>5</v>
      </c>
      <c r="H10" s="2">
        <v>7000</v>
      </c>
      <c r="I10" s="2">
        <v>35000</v>
      </c>
    </row>
    <row r="11" spans="1:16" x14ac:dyDescent="0.3">
      <c r="A11" s="2">
        <v>1010</v>
      </c>
      <c r="B11" s="3">
        <v>45327</v>
      </c>
      <c r="C11" s="2" t="s">
        <v>13</v>
      </c>
      <c r="D11" s="2" t="s">
        <v>14</v>
      </c>
      <c r="E11" s="2" t="s">
        <v>18</v>
      </c>
      <c r="F11" s="2" t="s">
        <v>19</v>
      </c>
      <c r="G11" s="2">
        <v>7</v>
      </c>
      <c r="H11" s="2">
        <v>3000</v>
      </c>
      <c r="I11" s="2">
        <v>21000</v>
      </c>
    </row>
  </sheetData>
  <mergeCells count="1">
    <mergeCell ref="K3:M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6E1B6-41F2-4615-9293-C6A9F0F84DA9}">
  <dimension ref="A1:Q11"/>
  <sheetViews>
    <sheetView workbookViewId="0">
      <selection activeCell="P3" sqref="P3:Q3"/>
    </sheetView>
  </sheetViews>
  <sheetFormatPr defaultRowHeight="14.4" x14ac:dyDescent="0.3"/>
  <cols>
    <col min="2" max="2" width="10.33203125" bestFit="1" customWidth="1"/>
    <col min="4" max="4" width="11" customWidth="1"/>
    <col min="6" max="6" width="12" customWidth="1"/>
    <col min="8" max="8" width="9.88671875" customWidth="1"/>
    <col min="9" max="9" width="10.44140625" customWidth="1"/>
    <col min="16" max="16" width="11.88671875" bestFit="1" customWidth="1"/>
  </cols>
  <sheetData>
    <row r="1" spans="1:1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7" x14ac:dyDescent="0.3">
      <c r="A2" s="2">
        <v>1001</v>
      </c>
      <c r="B2" s="5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</row>
    <row r="3" spans="1:17" ht="28.8" customHeight="1" x14ac:dyDescent="0.3">
      <c r="A3" s="2">
        <v>1002</v>
      </c>
      <c r="B3" s="3">
        <v>45299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5</v>
      </c>
      <c r="H3" s="2">
        <v>20000</v>
      </c>
      <c r="I3" s="2">
        <v>100000</v>
      </c>
      <c r="K3" s="6" t="s">
        <v>30</v>
      </c>
      <c r="L3" s="6"/>
      <c r="M3" s="6"/>
      <c r="N3" s="6"/>
      <c r="P3" s="7" t="s">
        <v>45</v>
      </c>
      <c r="Q3" s="7">
        <f>AVERAGE(G2:G11)</f>
        <v>4.5</v>
      </c>
    </row>
    <row r="4" spans="1:17" x14ac:dyDescent="0.3">
      <c r="A4" s="2">
        <v>1003</v>
      </c>
      <c r="B4" s="3">
        <v>45303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10</v>
      </c>
      <c r="H4" s="2">
        <v>3000</v>
      </c>
      <c r="I4" s="2">
        <v>30000</v>
      </c>
    </row>
    <row r="5" spans="1:17" x14ac:dyDescent="0.3">
      <c r="A5" s="2">
        <v>1004</v>
      </c>
      <c r="B5" s="3">
        <v>45306</v>
      </c>
      <c r="C5" s="2" t="s">
        <v>20</v>
      </c>
      <c r="D5" s="2" t="s">
        <v>21</v>
      </c>
      <c r="E5" s="2" t="s">
        <v>22</v>
      </c>
      <c r="F5" s="2" t="s">
        <v>19</v>
      </c>
      <c r="G5" s="2">
        <v>3</v>
      </c>
      <c r="H5" s="2">
        <v>7000</v>
      </c>
      <c r="I5" s="2">
        <v>21000</v>
      </c>
    </row>
    <row r="6" spans="1:17" ht="28.8" x14ac:dyDescent="0.3">
      <c r="A6" s="2">
        <v>1005</v>
      </c>
      <c r="B6" s="3">
        <v>45309</v>
      </c>
      <c r="C6" s="2" t="s">
        <v>9</v>
      </c>
      <c r="D6" s="2" t="s">
        <v>10</v>
      </c>
      <c r="E6" s="2" t="s">
        <v>15</v>
      </c>
      <c r="F6" s="2" t="s">
        <v>12</v>
      </c>
      <c r="G6" s="2">
        <v>4</v>
      </c>
      <c r="H6" s="2">
        <v>20000</v>
      </c>
      <c r="I6" s="2">
        <v>80000</v>
      </c>
    </row>
    <row r="7" spans="1:17" ht="28.8" x14ac:dyDescent="0.3">
      <c r="A7" s="2">
        <v>1006</v>
      </c>
      <c r="B7" s="3">
        <v>45311</v>
      </c>
      <c r="C7" s="2" t="s">
        <v>13</v>
      </c>
      <c r="D7" s="2" t="s">
        <v>14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</row>
    <row r="8" spans="1:17" x14ac:dyDescent="0.3">
      <c r="A8" s="2">
        <v>1007</v>
      </c>
      <c r="B8" s="3">
        <v>45316</v>
      </c>
      <c r="C8" s="2" t="s">
        <v>16</v>
      </c>
      <c r="D8" s="2" t="s">
        <v>17</v>
      </c>
      <c r="E8" s="2" t="s">
        <v>23</v>
      </c>
      <c r="F8" s="2" t="s">
        <v>19</v>
      </c>
      <c r="G8" s="2">
        <v>2</v>
      </c>
      <c r="H8" s="2">
        <v>10000</v>
      </c>
      <c r="I8" s="2">
        <v>20000</v>
      </c>
    </row>
    <row r="9" spans="1:17" ht="28.8" x14ac:dyDescent="0.3">
      <c r="A9" s="2">
        <v>1008</v>
      </c>
      <c r="B9" s="3">
        <v>45319</v>
      </c>
      <c r="C9" s="2" t="s">
        <v>20</v>
      </c>
      <c r="D9" s="2" t="s">
        <v>21</v>
      </c>
      <c r="E9" s="2" t="s">
        <v>15</v>
      </c>
      <c r="F9" s="2" t="s">
        <v>12</v>
      </c>
      <c r="G9" s="2">
        <v>6</v>
      </c>
      <c r="H9" s="2">
        <v>20000</v>
      </c>
      <c r="I9" s="2">
        <v>120000</v>
      </c>
    </row>
    <row r="10" spans="1:17" x14ac:dyDescent="0.3">
      <c r="A10" s="2">
        <v>1009</v>
      </c>
      <c r="B10" s="3">
        <v>45324</v>
      </c>
      <c r="C10" s="2" t="s">
        <v>9</v>
      </c>
      <c r="D10" s="2" t="s">
        <v>10</v>
      </c>
      <c r="E10" s="2" t="s">
        <v>22</v>
      </c>
      <c r="F10" s="2" t="s">
        <v>19</v>
      </c>
      <c r="G10" s="2">
        <v>5</v>
      </c>
      <c r="H10" s="2">
        <v>7000</v>
      </c>
      <c r="I10" s="2">
        <v>35000</v>
      </c>
    </row>
    <row r="11" spans="1:17" x14ac:dyDescent="0.3">
      <c r="A11" s="2">
        <v>1010</v>
      </c>
      <c r="B11" s="3">
        <v>45327</v>
      </c>
      <c r="C11" s="2" t="s">
        <v>13</v>
      </c>
      <c r="D11" s="2" t="s">
        <v>14</v>
      </c>
      <c r="E11" s="2" t="s">
        <v>18</v>
      </c>
      <c r="F11" s="2" t="s">
        <v>19</v>
      </c>
      <c r="G11" s="2">
        <v>7</v>
      </c>
      <c r="H11" s="2">
        <v>3000</v>
      </c>
      <c r="I11" s="2">
        <v>21000</v>
      </c>
    </row>
  </sheetData>
  <mergeCells count="1">
    <mergeCell ref="K3:N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09001-13BF-493B-8832-450D4241F0B6}">
  <dimension ref="A1:P11"/>
  <sheetViews>
    <sheetView workbookViewId="0">
      <selection activeCell="O2" sqref="O2"/>
    </sheetView>
  </sheetViews>
  <sheetFormatPr defaultRowHeight="14.4" x14ac:dyDescent="0.3"/>
  <cols>
    <col min="2" max="2" width="10.33203125" bestFit="1" customWidth="1"/>
    <col min="4" max="4" width="12.6640625" customWidth="1"/>
    <col min="6" max="6" width="10.33203125" customWidth="1"/>
    <col min="8" max="8" width="11.33203125" customWidth="1"/>
    <col min="9" max="9" width="10.77734375" customWidth="1"/>
    <col min="15" max="15" width="10.6640625" bestFit="1" customWidth="1"/>
  </cols>
  <sheetData>
    <row r="1" spans="1:1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6" x14ac:dyDescent="0.3">
      <c r="A2" s="2">
        <v>1001</v>
      </c>
      <c r="B2" s="5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</row>
    <row r="3" spans="1:16" ht="28.8" customHeight="1" x14ac:dyDescent="0.3">
      <c r="A3" s="2">
        <v>1002</v>
      </c>
      <c r="B3" s="3">
        <v>45299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5</v>
      </c>
      <c r="H3" s="2">
        <v>20000</v>
      </c>
      <c r="I3" s="2">
        <v>100000</v>
      </c>
      <c r="K3" s="6" t="s">
        <v>31</v>
      </c>
      <c r="L3" s="6"/>
      <c r="M3" s="6"/>
      <c r="N3" s="6"/>
      <c r="O3" s="7" t="s">
        <v>46</v>
      </c>
      <c r="P3" s="7">
        <f>COUNT(G2:G11)</f>
        <v>10</v>
      </c>
    </row>
    <row r="4" spans="1:16" x14ac:dyDescent="0.3">
      <c r="A4" s="2">
        <v>1003</v>
      </c>
      <c r="B4" s="3">
        <v>45303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10</v>
      </c>
      <c r="H4" s="2">
        <v>3000</v>
      </c>
      <c r="I4" s="2">
        <v>30000</v>
      </c>
    </row>
    <row r="5" spans="1:16" x14ac:dyDescent="0.3">
      <c r="A5" s="2">
        <v>1004</v>
      </c>
      <c r="B5" s="3">
        <v>45306</v>
      </c>
      <c r="C5" s="2" t="s">
        <v>20</v>
      </c>
      <c r="D5" s="2" t="s">
        <v>21</v>
      </c>
      <c r="E5" s="2" t="s">
        <v>22</v>
      </c>
      <c r="F5" s="2" t="s">
        <v>19</v>
      </c>
      <c r="G5" s="2">
        <v>3</v>
      </c>
      <c r="H5" s="2">
        <v>7000</v>
      </c>
      <c r="I5" s="2">
        <v>21000</v>
      </c>
    </row>
    <row r="6" spans="1:16" ht="28.8" x14ac:dyDescent="0.3">
      <c r="A6" s="2">
        <v>1005</v>
      </c>
      <c r="B6" s="3">
        <v>45309</v>
      </c>
      <c r="C6" s="2" t="s">
        <v>9</v>
      </c>
      <c r="D6" s="2" t="s">
        <v>10</v>
      </c>
      <c r="E6" s="2" t="s">
        <v>15</v>
      </c>
      <c r="F6" s="2" t="s">
        <v>12</v>
      </c>
      <c r="G6" s="2">
        <v>4</v>
      </c>
      <c r="H6" s="2">
        <v>20000</v>
      </c>
      <c r="I6" s="2">
        <v>80000</v>
      </c>
    </row>
    <row r="7" spans="1:16" ht="28.8" x14ac:dyDescent="0.3">
      <c r="A7" s="2">
        <v>1006</v>
      </c>
      <c r="B7" s="3">
        <v>45311</v>
      </c>
      <c r="C7" s="2" t="s">
        <v>13</v>
      </c>
      <c r="D7" s="2" t="s">
        <v>14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</row>
    <row r="8" spans="1:16" x14ac:dyDescent="0.3">
      <c r="A8" s="2">
        <v>1007</v>
      </c>
      <c r="B8" s="3">
        <v>45316</v>
      </c>
      <c r="C8" s="2" t="s">
        <v>16</v>
      </c>
      <c r="D8" s="2" t="s">
        <v>17</v>
      </c>
      <c r="E8" s="2" t="s">
        <v>23</v>
      </c>
      <c r="F8" s="2" t="s">
        <v>19</v>
      </c>
      <c r="G8" s="2">
        <v>2</v>
      </c>
      <c r="H8" s="2">
        <v>10000</v>
      </c>
      <c r="I8" s="2">
        <v>20000</v>
      </c>
    </row>
    <row r="9" spans="1:16" ht="28.8" x14ac:dyDescent="0.3">
      <c r="A9" s="2">
        <v>1008</v>
      </c>
      <c r="B9" s="3">
        <v>45319</v>
      </c>
      <c r="C9" s="2" t="s">
        <v>20</v>
      </c>
      <c r="D9" s="2" t="s">
        <v>21</v>
      </c>
      <c r="E9" s="2" t="s">
        <v>15</v>
      </c>
      <c r="F9" s="2" t="s">
        <v>12</v>
      </c>
      <c r="G9" s="2">
        <v>6</v>
      </c>
      <c r="H9" s="2">
        <v>20000</v>
      </c>
      <c r="I9" s="2">
        <v>120000</v>
      </c>
    </row>
    <row r="10" spans="1:16" x14ac:dyDescent="0.3">
      <c r="A10" s="2">
        <v>1009</v>
      </c>
      <c r="B10" s="3">
        <v>45324</v>
      </c>
      <c r="C10" s="2" t="s">
        <v>9</v>
      </c>
      <c r="D10" s="2" t="s">
        <v>10</v>
      </c>
      <c r="E10" s="2" t="s">
        <v>22</v>
      </c>
      <c r="F10" s="2" t="s">
        <v>19</v>
      </c>
      <c r="G10" s="2">
        <v>5</v>
      </c>
      <c r="H10" s="2">
        <v>7000</v>
      </c>
      <c r="I10" s="2">
        <v>35000</v>
      </c>
    </row>
    <row r="11" spans="1:16" x14ac:dyDescent="0.3">
      <c r="A11" s="2">
        <v>1010</v>
      </c>
      <c r="B11" s="3">
        <v>45327</v>
      </c>
      <c r="C11" s="2" t="s">
        <v>13</v>
      </c>
      <c r="D11" s="2" t="s">
        <v>14</v>
      </c>
      <c r="E11" s="2" t="s">
        <v>18</v>
      </c>
      <c r="F11" s="2" t="s">
        <v>19</v>
      </c>
      <c r="G11" s="2">
        <v>7</v>
      </c>
      <c r="H11" s="2">
        <v>3000</v>
      </c>
      <c r="I11" s="2">
        <v>21000</v>
      </c>
    </row>
  </sheetData>
  <mergeCells count="1">
    <mergeCell ref="K3:N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781EF-D3A9-476C-BABE-C4A2F56B3CC7}">
  <dimension ref="A1:Q11"/>
  <sheetViews>
    <sheetView workbookViewId="0">
      <selection activeCell="Q6" sqref="Q6"/>
    </sheetView>
  </sheetViews>
  <sheetFormatPr defaultRowHeight="14.4" x14ac:dyDescent="0.3"/>
  <cols>
    <col min="2" max="2" width="10.33203125" bestFit="1" customWidth="1"/>
    <col min="4" max="4" width="11.33203125" customWidth="1"/>
    <col min="6" max="6" width="10.44140625" customWidth="1"/>
    <col min="8" max="8" width="10.109375" customWidth="1"/>
    <col min="9" max="9" width="10.77734375" customWidth="1"/>
    <col min="17" max="17" width="11.664062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7" x14ac:dyDescent="0.3">
      <c r="A2" s="2">
        <v>1001</v>
      </c>
      <c r="B2" s="5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  <c r="P2" s="11" t="s">
        <v>5</v>
      </c>
      <c r="Q2" s="12" t="s">
        <v>49</v>
      </c>
    </row>
    <row r="3" spans="1:17" ht="28.8" customHeight="1" x14ac:dyDescent="0.3">
      <c r="A3" s="2">
        <v>1002</v>
      </c>
      <c r="B3" s="3">
        <v>45299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5</v>
      </c>
      <c r="H3" s="2">
        <v>20000</v>
      </c>
      <c r="I3" s="2">
        <v>100000</v>
      </c>
      <c r="K3" s="6" t="s">
        <v>32</v>
      </c>
      <c r="L3" s="6"/>
      <c r="M3" s="6"/>
      <c r="N3" s="6"/>
      <c r="P3" s="11" t="s">
        <v>19</v>
      </c>
      <c r="Q3" s="13">
        <f>COUNTIF(F2:F11,P3)</f>
        <v>5</v>
      </c>
    </row>
    <row r="4" spans="1:17" x14ac:dyDescent="0.3">
      <c r="A4" s="2">
        <v>1003</v>
      </c>
      <c r="B4" s="3">
        <v>45303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10</v>
      </c>
      <c r="H4" s="2">
        <v>3000</v>
      </c>
      <c r="I4" s="2">
        <v>30000</v>
      </c>
    </row>
    <row r="5" spans="1:17" x14ac:dyDescent="0.3">
      <c r="A5" s="2">
        <v>1004</v>
      </c>
      <c r="B5" s="3">
        <v>45306</v>
      </c>
      <c r="C5" s="2" t="s">
        <v>20</v>
      </c>
      <c r="D5" s="2" t="s">
        <v>21</v>
      </c>
      <c r="E5" s="2" t="s">
        <v>22</v>
      </c>
      <c r="F5" s="2" t="s">
        <v>19</v>
      </c>
      <c r="G5" s="2">
        <v>3</v>
      </c>
      <c r="H5" s="2">
        <v>7000</v>
      </c>
      <c r="I5" s="2">
        <v>21000</v>
      </c>
    </row>
    <row r="6" spans="1:17" ht="28.8" x14ac:dyDescent="0.3">
      <c r="A6" s="2">
        <v>1005</v>
      </c>
      <c r="B6" s="3">
        <v>45309</v>
      </c>
      <c r="C6" s="2" t="s">
        <v>9</v>
      </c>
      <c r="D6" s="2" t="s">
        <v>10</v>
      </c>
      <c r="E6" s="2" t="s">
        <v>15</v>
      </c>
      <c r="F6" s="2" t="s">
        <v>12</v>
      </c>
      <c r="G6" s="2">
        <v>4</v>
      </c>
      <c r="H6" s="2">
        <v>20000</v>
      </c>
      <c r="I6" s="2">
        <v>80000</v>
      </c>
    </row>
    <row r="7" spans="1:17" ht="28.8" x14ac:dyDescent="0.3">
      <c r="A7" s="2">
        <v>1006</v>
      </c>
      <c r="B7" s="3">
        <v>45311</v>
      </c>
      <c r="C7" s="2" t="s">
        <v>13</v>
      </c>
      <c r="D7" s="2" t="s">
        <v>14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</row>
    <row r="8" spans="1:17" x14ac:dyDescent="0.3">
      <c r="A8" s="2">
        <v>1007</v>
      </c>
      <c r="B8" s="3">
        <v>45316</v>
      </c>
      <c r="C8" s="2" t="s">
        <v>16</v>
      </c>
      <c r="D8" s="2" t="s">
        <v>17</v>
      </c>
      <c r="E8" s="2" t="s">
        <v>23</v>
      </c>
      <c r="F8" s="2" t="s">
        <v>19</v>
      </c>
      <c r="G8" s="2">
        <v>2</v>
      </c>
      <c r="H8" s="2">
        <v>10000</v>
      </c>
      <c r="I8" s="2">
        <v>20000</v>
      </c>
    </row>
    <row r="9" spans="1:17" ht="28.8" x14ac:dyDescent="0.3">
      <c r="A9" s="2">
        <v>1008</v>
      </c>
      <c r="B9" s="3">
        <v>45319</v>
      </c>
      <c r="C9" s="2" t="s">
        <v>20</v>
      </c>
      <c r="D9" s="2" t="s">
        <v>21</v>
      </c>
      <c r="E9" s="2" t="s">
        <v>15</v>
      </c>
      <c r="F9" s="2" t="s">
        <v>12</v>
      </c>
      <c r="G9" s="2">
        <v>6</v>
      </c>
      <c r="H9" s="2">
        <v>20000</v>
      </c>
      <c r="I9" s="2">
        <v>120000</v>
      </c>
    </row>
    <row r="10" spans="1:17" x14ac:dyDescent="0.3">
      <c r="A10" s="2">
        <v>1009</v>
      </c>
      <c r="B10" s="3">
        <v>45324</v>
      </c>
      <c r="C10" s="2" t="s">
        <v>9</v>
      </c>
      <c r="D10" s="2" t="s">
        <v>10</v>
      </c>
      <c r="E10" s="2" t="s">
        <v>22</v>
      </c>
      <c r="F10" s="2" t="s">
        <v>19</v>
      </c>
      <c r="G10" s="2">
        <v>5</v>
      </c>
      <c r="H10" s="2">
        <v>7000</v>
      </c>
      <c r="I10" s="2">
        <v>35000</v>
      </c>
    </row>
    <row r="11" spans="1:17" x14ac:dyDescent="0.3">
      <c r="A11" s="2">
        <v>1010</v>
      </c>
      <c r="B11" s="3">
        <v>45327</v>
      </c>
      <c r="C11" s="2" t="s">
        <v>13</v>
      </c>
      <c r="D11" s="2" t="s">
        <v>14</v>
      </c>
      <c r="E11" s="2" t="s">
        <v>18</v>
      </c>
      <c r="F11" s="2" t="s">
        <v>19</v>
      </c>
      <c r="G11" s="2">
        <v>7</v>
      </c>
      <c r="H11" s="2">
        <v>3000</v>
      </c>
      <c r="I11" s="2">
        <v>21000</v>
      </c>
    </row>
  </sheetData>
  <mergeCells count="1">
    <mergeCell ref="K3:N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2431D-DABF-44C1-B72A-6F0C612EE789}">
  <dimension ref="A1:R11"/>
  <sheetViews>
    <sheetView workbookViewId="0">
      <selection activeCell="O7" sqref="O7"/>
    </sheetView>
  </sheetViews>
  <sheetFormatPr defaultRowHeight="14.4" x14ac:dyDescent="0.3"/>
  <cols>
    <col min="2" max="2" width="10.33203125" bestFit="1" customWidth="1"/>
    <col min="4" max="4" width="10.77734375" customWidth="1"/>
    <col min="6" max="6" width="11" customWidth="1"/>
    <col min="8" max="8" width="10.77734375" customWidth="1"/>
    <col min="9" max="9" width="11.109375" customWidth="1"/>
    <col min="17" max="17" width="9.88671875" customWidth="1"/>
    <col min="18" max="18" width="11.6640625" customWidth="1"/>
  </cols>
  <sheetData>
    <row r="1" spans="1:1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8" ht="28.8" x14ac:dyDescent="0.3">
      <c r="A2" s="2">
        <v>1001</v>
      </c>
      <c r="B2" s="5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  <c r="Q2" s="11" t="s">
        <v>5</v>
      </c>
      <c r="R2" s="11" t="s">
        <v>8</v>
      </c>
    </row>
    <row r="3" spans="1:18" x14ac:dyDescent="0.3">
      <c r="A3" s="2">
        <v>1002</v>
      </c>
      <c r="B3" s="3">
        <v>45299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5</v>
      </c>
      <c r="H3" s="2">
        <v>20000</v>
      </c>
      <c r="I3" s="2">
        <v>100000</v>
      </c>
      <c r="K3" s="6" t="s">
        <v>33</v>
      </c>
      <c r="L3" s="6"/>
      <c r="M3" s="6"/>
      <c r="N3" s="6"/>
      <c r="O3" s="6"/>
      <c r="Q3" s="11" t="s">
        <v>12</v>
      </c>
      <c r="R3" s="13">
        <f>SUMIFS(I2:I11,F2:F11,Q3)</f>
        <v>450000</v>
      </c>
    </row>
    <row r="4" spans="1:18" x14ac:dyDescent="0.3">
      <c r="A4" s="2">
        <v>1003</v>
      </c>
      <c r="B4" s="3">
        <v>45303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10</v>
      </c>
      <c r="H4" s="2">
        <v>3000</v>
      </c>
      <c r="I4" s="2">
        <v>30000</v>
      </c>
    </row>
    <row r="5" spans="1:18" x14ac:dyDescent="0.3">
      <c r="A5" s="2">
        <v>1004</v>
      </c>
      <c r="B5" s="3">
        <v>45306</v>
      </c>
      <c r="C5" s="2" t="s">
        <v>20</v>
      </c>
      <c r="D5" s="2" t="s">
        <v>21</v>
      </c>
      <c r="E5" s="2" t="s">
        <v>22</v>
      </c>
      <c r="F5" s="2" t="s">
        <v>19</v>
      </c>
      <c r="G5" s="2">
        <v>3</v>
      </c>
      <c r="H5" s="2">
        <v>7000</v>
      </c>
      <c r="I5" s="2">
        <v>21000</v>
      </c>
    </row>
    <row r="6" spans="1:18" ht="28.8" x14ac:dyDescent="0.3">
      <c r="A6" s="2">
        <v>1005</v>
      </c>
      <c r="B6" s="3">
        <v>45309</v>
      </c>
      <c r="C6" s="2" t="s">
        <v>9</v>
      </c>
      <c r="D6" s="2" t="s">
        <v>10</v>
      </c>
      <c r="E6" s="2" t="s">
        <v>15</v>
      </c>
      <c r="F6" s="2" t="s">
        <v>12</v>
      </c>
      <c r="G6" s="2">
        <v>4</v>
      </c>
      <c r="H6" s="2">
        <v>20000</v>
      </c>
      <c r="I6" s="2">
        <v>80000</v>
      </c>
    </row>
    <row r="7" spans="1:18" ht="28.8" x14ac:dyDescent="0.3">
      <c r="A7" s="2">
        <v>1006</v>
      </c>
      <c r="B7" s="3">
        <v>45311</v>
      </c>
      <c r="C7" s="2" t="s">
        <v>13</v>
      </c>
      <c r="D7" s="2" t="s">
        <v>14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</row>
    <row r="8" spans="1:18" x14ac:dyDescent="0.3">
      <c r="A8" s="2">
        <v>1007</v>
      </c>
      <c r="B8" s="3">
        <v>45316</v>
      </c>
      <c r="C8" s="2" t="s">
        <v>16</v>
      </c>
      <c r="D8" s="2" t="s">
        <v>17</v>
      </c>
      <c r="E8" s="2" t="s">
        <v>23</v>
      </c>
      <c r="F8" s="2" t="s">
        <v>19</v>
      </c>
      <c r="G8" s="2">
        <v>2</v>
      </c>
      <c r="H8" s="2">
        <v>10000</v>
      </c>
      <c r="I8" s="2">
        <v>20000</v>
      </c>
    </row>
    <row r="9" spans="1:18" ht="28.8" x14ac:dyDescent="0.3">
      <c r="A9" s="2">
        <v>1008</v>
      </c>
      <c r="B9" s="3">
        <v>45319</v>
      </c>
      <c r="C9" s="2" t="s">
        <v>20</v>
      </c>
      <c r="D9" s="2" t="s">
        <v>21</v>
      </c>
      <c r="E9" s="2" t="s">
        <v>15</v>
      </c>
      <c r="F9" s="2" t="s">
        <v>12</v>
      </c>
      <c r="G9" s="2">
        <v>6</v>
      </c>
      <c r="H9" s="2">
        <v>20000</v>
      </c>
      <c r="I9" s="2">
        <v>120000</v>
      </c>
    </row>
    <row r="10" spans="1:18" x14ac:dyDescent="0.3">
      <c r="A10" s="2">
        <v>1009</v>
      </c>
      <c r="B10" s="3">
        <v>45324</v>
      </c>
      <c r="C10" s="2" t="s">
        <v>9</v>
      </c>
      <c r="D10" s="2" t="s">
        <v>10</v>
      </c>
      <c r="E10" s="2" t="s">
        <v>22</v>
      </c>
      <c r="F10" s="2" t="s">
        <v>19</v>
      </c>
      <c r="G10" s="2">
        <v>5</v>
      </c>
      <c r="H10" s="2">
        <v>7000</v>
      </c>
      <c r="I10" s="2">
        <v>35000</v>
      </c>
    </row>
    <row r="11" spans="1:18" x14ac:dyDescent="0.3">
      <c r="A11" s="2">
        <v>1010</v>
      </c>
      <c r="B11" s="3">
        <v>45327</v>
      </c>
      <c r="C11" s="2" t="s">
        <v>13</v>
      </c>
      <c r="D11" s="2" t="s">
        <v>14</v>
      </c>
      <c r="E11" s="2" t="s">
        <v>18</v>
      </c>
      <c r="F11" s="2" t="s">
        <v>19</v>
      </c>
      <c r="G11" s="2">
        <v>7</v>
      </c>
      <c r="H11" s="2">
        <v>3000</v>
      </c>
      <c r="I11" s="2">
        <v>21000</v>
      </c>
    </row>
  </sheetData>
  <mergeCells count="1">
    <mergeCell ref="K3:O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79E2-D2A4-4CA7-B48A-1576EC500EA7}">
  <dimension ref="A1:P11"/>
  <sheetViews>
    <sheetView workbookViewId="0">
      <selection activeCell="O7" sqref="O7"/>
    </sheetView>
  </sheetViews>
  <sheetFormatPr defaultRowHeight="14.4" x14ac:dyDescent="0.3"/>
  <cols>
    <col min="2" max="2" width="10.33203125" bestFit="1" customWidth="1"/>
    <col min="4" max="4" width="11.109375" customWidth="1"/>
    <col min="6" max="6" width="11.5546875" customWidth="1"/>
    <col min="8" max="8" width="12.44140625" customWidth="1"/>
    <col min="9" max="9" width="12.77734375" customWidth="1"/>
    <col min="13" max="13" width="10" customWidth="1"/>
    <col min="15" max="15" width="12.77734375" customWidth="1"/>
    <col min="16" max="16" width="15.6640625" customWidth="1"/>
  </cols>
  <sheetData>
    <row r="1" spans="1:1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6" ht="28.8" x14ac:dyDescent="0.3">
      <c r="A2" s="2">
        <v>1008</v>
      </c>
      <c r="B2" s="3">
        <v>45296</v>
      </c>
      <c r="C2" s="2" t="s">
        <v>20</v>
      </c>
      <c r="D2" s="2" t="s">
        <v>21</v>
      </c>
      <c r="E2" s="2" t="s">
        <v>15</v>
      </c>
      <c r="F2" s="2" t="s">
        <v>12</v>
      </c>
      <c r="G2" s="2">
        <v>6</v>
      </c>
      <c r="H2" s="2">
        <v>20000</v>
      </c>
      <c r="I2" s="2">
        <v>120000</v>
      </c>
      <c r="O2" s="11" t="s">
        <v>3</v>
      </c>
      <c r="P2" s="11" t="s">
        <v>8</v>
      </c>
    </row>
    <row r="3" spans="1:16" x14ac:dyDescent="0.3">
      <c r="A3" s="2">
        <v>1001</v>
      </c>
      <c r="B3" s="3">
        <v>45299</v>
      </c>
      <c r="C3" s="2" t="s">
        <v>9</v>
      </c>
      <c r="D3" s="2" t="s">
        <v>10</v>
      </c>
      <c r="E3" s="2" t="s">
        <v>11</v>
      </c>
      <c r="F3" s="2" t="s">
        <v>12</v>
      </c>
      <c r="G3" s="2">
        <v>2</v>
      </c>
      <c r="H3" s="2">
        <v>50000</v>
      </c>
      <c r="I3" s="2">
        <v>100000</v>
      </c>
      <c r="K3" s="9" t="s">
        <v>34</v>
      </c>
      <c r="L3" s="9"/>
      <c r="M3" s="9"/>
      <c r="O3" s="11" t="s">
        <v>10</v>
      </c>
      <c r="P3" s="13">
        <f>SUMIFS(I2:I11,D2:D11,O3)</f>
        <v>215000</v>
      </c>
    </row>
    <row r="4" spans="1:16" ht="28.8" x14ac:dyDescent="0.3">
      <c r="A4" s="2">
        <v>1002</v>
      </c>
      <c r="B4" s="3">
        <v>45303</v>
      </c>
      <c r="C4" s="2" t="s">
        <v>13</v>
      </c>
      <c r="D4" s="2" t="s">
        <v>14</v>
      </c>
      <c r="E4" s="2" t="s">
        <v>15</v>
      </c>
      <c r="F4" s="2" t="s">
        <v>12</v>
      </c>
      <c r="G4" s="2">
        <v>5</v>
      </c>
      <c r="H4" s="2">
        <v>20000</v>
      </c>
      <c r="I4" s="2">
        <v>100000</v>
      </c>
    </row>
    <row r="5" spans="1:16" ht="28.8" x14ac:dyDescent="0.3">
      <c r="A5" s="2">
        <v>1005</v>
      </c>
      <c r="B5" s="3">
        <v>45306</v>
      </c>
      <c r="C5" s="2" t="s">
        <v>9</v>
      </c>
      <c r="D5" s="2" t="s">
        <v>10</v>
      </c>
      <c r="E5" s="2" t="s">
        <v>15</v>
      </c>
      <c r="F5" s="2" t="s">
        <v>12</v>
      </c>
      <c r="G5" s="2">
        <v>4</v>
      </c>
      <c r="H5" s="2">
        <v>20000</v>
      </c>
      <c r="I5" s="2">
        <v>80000</v>
      </c>
    </row>
    <row r="6" spans="1:16" ht="28.8" x14ac:dyDescent="0.3">
      <c r="A6" s="2">
        <v>1006</v>
      </c>
      <c r="B6" s="3">
        <v>45309</v>
      </c>
      <c r="C6" s="2" t="s">
        <v>13</v>
      </c>
      <c r="D6" s="2" t="s">
        <v>14</v>
      </c>
      <c r="E6" s="2" t="s">
        <v>11</v>
      </c>
      <c r="F6" s="2" t="s">
        <v>12</v>
      </c>
      <c r="G6" s="2">
        <v>1</v>
      </c>
      <c r="H6" s="2">
        <v>50000</v>
      </c>
      <c r="I6" s="2">
        <v>50000</v>
      </c>
    </row>
    <row r="7" spans="1:16" x14ac:dyDescent="0.3">
      <c r="A7" s="2">
        <v>1009</v>
      </c>
      <c r="B7" s="3">
        <v>45311</v>
      </c>
      <c r="C7" s="2" t="s">
        <v>9</v>
      </c>
      <c r="D7" s="2" t="s">
        <v>10</v>
      </c>
      <c r="E7" s="2" t="s">
        <v>22</v>
      </c>
      <c r="F7" s="2" t="s">
        <v>19</v>
      </c>
      <c r="G7" s="2">
        <v>5</v>
      </c>
      <c r="H7" s="2">
        <v>7000</v>
      </c>
      <c r="I7" s="2">
        <v>35000</v>
      </c>
    </row>
    <row r="8" spans="1:16" x14ac:dyDescent="0.3">
      <c r="A8" s="2">
        <v>1003</v>
      </c>
      <c r="B8" s="3">
        <v>45316</v>
      </c>
      <c r="C8" s="2" t="s">
        <v>16</v>
      </c>
      <c r="D8" s="2" t="s">
        <v>17</v>
      </c>
      <c r="E8" s="2" t="s">
        <v>18</v>
      </c>
      <c r="F8" s="2" t="s">
        <v>19</v>
      </c>
      <c r="G8" s="2">
        <v>10</v>
      </c>
      <c r="H8" s="2">
        <v>3000</v>
      </c>
      <c r="I8" s="2">
        <v>30000</v>
      </c>
    </row>
    <row r="9" spans="1:16" x14ac:dyDescent="0.3">
      <c r="A9" s="2">
        <v>1004</v>
      </c>
      <c r="B9" s="3">
        <v>45319</v>
      </c>
      <c r="C9" s="2" t="s">
        <v>20</v>
      </c>
      <c r="D9" s="2" t="s">
        <v>21</v>
      </c>
      <c r="E9" s="2" t="s">
        <v>22</v>
      </c>
      <c r="F9" s="2" t="s">
        <v>19</v>
      </c>
      <c r="G9" s="2">
        <v>3</v>
      </c>
      <c r="H9" s="2">
        <v>7000</v>
      </c>
      <c r="I9" s="2">
        <v>21000</v>
      </c>
    </row>
    <row r="10" spans="1:16" x14ac:dyDescent="0.3">
      <c r="A10" s="2">
        <v>1010</v>
      </c>
      <c r="B10" s="3">
        <v>45324</v>
      </c>
      <c r="C10" s="2" t="s">
        <v>13</v>
      </c>
      <c r="D10" s="2" t="s">
        <v>14</v>
      </c>
      <c r="E10" s="2" t="s">
        <v>18</v>
      </c>
      <c r="F10" s="2" t="s">
        <v>19</v>
      </c>
      <c r="G10" s="2">
        <v>7</v>
      </c>
      <c r="H10" s="2">
        <v>3000</v>
      </c>
      <c r="I10" s="2">
        <v>21000</v>
      </c>
    </row>
    <row r="11" spans="1:16" x14ac:dyDescent="0.3">
      <c r="A11" s="2">
        <v>1007</v>
      </c>
      <c r="B11" s="3">
        <v>45327</v>
      </c>
      <c r="C11" s="2" t="s">
        <v>16</v>
      </c>
      <c r="D11" s="2" t="s">
        <v>17</v>
      </c>
      <c r="E11" s="2" t="s">
        <v>23</v>
      </c>
      <c r="F11" s="2" t="s">
        <v>19</v>
      </c>
      <c r="G11" s="2">
        <v>2</v>
      </c>
      <c r="H11" s="2">
        <v>10000</v>
      </c>
      <c r="I11" s="2">
        <v>20000</v>
      </c>
    </row>
  </sheetData>
  <mergeCells count="1">
    <mergeCell ref="K3:M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22FB4-2639-4F16-B65C-7244ACA64505}">
  <dimension ref="A1:R11"/>
  <sheetViews>
    <sheetView workbookViewId="0">
      <selection activeCell="R3" sqref="R3"/>
    </sheetView>
  </sheetViews>
  <sheetFormatPr defaultRowHeight="14.4" x14ac:dyDescent="0.3"/>
  <cols>
    <col min="2" max="2" width="10.33203125" bestFit="1" customWidth="1"/>
    <col min="4" max="4" width="11.21875" customWidth="1"/>
    <col min="6" max="6" width="10.21875" customWidth="1"/>
    <col min="8" max="8" width="10" customWidth="1"/>
    <col min="9" max="9" width="11" customWidth="1"/>
    <col min="14" max="14" width="9.77734375" customWidth="1"/>
    <col min="16" max="16" width="9.6640625" customWidth="1"/>
    <col min="18" max="18" width="13.2187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8" x14ac:dyDescent="0.3">
      <c r="A2" s="2">
        <v>1001</v>
      </c>
      <c r="B2" s="5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  <c r="P2" s="11" t="s">
        <v>5</v>
      </c>
      <c r="Q2" s="11" t="s">
        <v>2</v>
      </c>
      <c r="R2" s="11" t="s">
        <v>8</v>
      </c>
    </row>
    <row r="3" spans="1:18" ht="28.8" customHeight="1" x14ac:dyDescent="0.3">
      <c r="A3" s="2">
        <v>1002</v>
      </c>
      <c r="B3" s="3">
        <v>45299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5</v>
      </c>
      <c r="H3" s="2">
        <v>20000</v>
      </c>
      <c r="I3" s="2">
        <v>100000</v>
      </c>
      <c r="K3" s="6" t="s">
        <v>35</v>
      </c>
      <c r="L3" s="6"/>
      <c r="M3" s="6"/>
      <c r="N3" s="6"/>
      <c r="P3" s="11" t="s">
        <v>12</v>
      </c>
      <c r="Q3" s="11" t="s">
        <v>9</v>
      </c>
      <c r="R3" s="13">
        <f>SUMIFS(I2:I11,F2:F11,P3,C2:C11,Q3)</f>
        <v>180000</v>
      </c>
    </row>
    <row r="4" spans="1:18" x14ac:dyDescent="0.3">
      <c r="A4" s="2">
        <v>1003</v>
      </c>
      <c r="B4" s="3">
        <v>45303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10</v>
      </c>
      <c r="H4" s="2">
        <v>3000</v>
      </c>
      <c r="I4" s="2">
        <v>30000</v>
      </c>
    </row>
    <row r="5" spans="1:18" x14ac:dyDescent="0.3">
      <c r="A5" s="2">
        <v>1004</v>
      </c>
      <c r="B5" s="3">
        <v>45306</v>
      </c>
      <c r="C5" s="2" t="s">
        <v>20</v>
      </c>
      <c r="D5" s="2" t="s">
        <v>21</v>
      </c>
      <c r="E5" s="2" t="s">
        <v>22</v>
      </c>
      <c r="F5" s="2" t="s">
        <v>19</v>
      </c>
      <c r="G5" s="2">
        <v>3</v>
      </c>
      <c r="H5" s="2">
        <v>7000</v>
      </c>
      <c r="I5" s="2">
        <v>21000</v>
      </c>
    </row>
    <row r="6" spans="1:18" x14ac:dyDescent="0.3">
      <c r="A6" s="2">
        <v>1005</v>
      </c>
      <c r="B6" s="3">
        <v>45309</v>
      </c>
      <c r="C6" s="2" t="s">
        <v>9</v>
      </c>
      <c r="D6" s="2" t="s">
        <v>10</v>
      </c>
      <c r="E6" s="2" t="s">
        <v>15</v>
      </c>
      <c r="F6" s="2" t="s">
        <v>12</v>
      </c>
      <c r="G6" s="2">
        <v>4</v>
      </c>
      <c r="H6" s="2">
        <v>20000</v>
      </c>
      <c r="I6" s="2">
        <v>80000</v>
      </c>
    </row>
    <row r="7" spans="1:18" x14ac:dyDescent="0.3">
      <c r="A7" s="2">
        <v>1006</v>
      </c>
      <c r="B7" s="3">
        <v>45311</v>
      </c>
      <c r="C7" s="2" t="s">
        <v>13</v>
      </c>
      <c r="D7" s="2" t="s">
        <v>14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</row>
    <row r="8" spans="1:18" x14ac:dyDescent="0.3">
      <c r="A8" s="2">
        <v>1007</v>
      </c>
      <c r="B8" s="3">
        <v>45316</v>
      </c>
      <c r="C8" s="2" t="s">
        <v>16</v>
      </c>
      <c r="D8" s="2" t="s">
        <v>17</v>
      </c>
      <c r="E8" s="2" t="s">
        <v>23</v>
      </c>
      <c r="F8" s="2" t="s">
        <v>19</v>
      </c>
      <c r="G8" s="2">
        <v>2</v>
      </c>
      <c r="H8" s="2">
        <v>10000</v>
      </c>
      <c r="I8" s="2">
        <v>20000</v>
      </c>
    </row>
    <row r="9" spans="1:18" x14ac:dyDescent="0.3">
      <c r="A9" s="2">
        <v>1008</v>
      </c>
      <c r="B9" s="3">
        <v>45319</v>
      </c>
      <c r="C9" s="2" t="s">
        <v>20</v>
      </c>
      <c r="D9" s="2" t="s">
        <v>21</v>
      </c>
      <c r="E9" s="2" t="s">
        <v>15</v>
      </c>
      <c r="F9" s="2" t="s">
        <v>12</v>
      </c>
      <c r="G9" s="2">
        <v>6</v>
      </c>
      <c r="H9" s="2">
        <v>20000</v>
      </c>
      <c r="I9" s="2">
        <v>120000</v>
      </c>
    </row>
    <row r="10" spans="1:18" x14ac:dyDescent="0.3">
      <c r="A10" s="2">
        <v>1009</v>
      </c>
      <c r="B10" s="3">
        <v>45324</v>
      </c>
      <c r="C10" s="2" t="s">
        <v>9</v>
      </c>
      <c r="D10" s="2" t="s">
        <v>10</v>
      </c>
      <c r="E10" s="2" t="s">
        <v>22</v>
      </c>
      <c r="F10" s="2" t="s">
        <v>19</v>
      </c>
      <c r="G10" s="2">
        <v>5</v>
      </c>
      <c r="H10" s="2">
        <v>7000</v>
      </c>
      <c r="I10" s="2">
        <v>35000</v>
      </c>
    </row>
    <row r="11" spans="1:18" x14ac:dyDescent="0.3">
      <c r="A11" s="2">
        <v>1010</v>
      </c>
      <c r="B11" s="3">
        <v>45327</v>
      </c>
      <c r="C11" s="2" t="s">
        <v>13</v>
      </c>
      <c r="D11" s="2" t="s">
        <v>14</v>
      </c>
      <c r="E11" s="2" t="s">
        <v>18</v>
      </c>
      <c r="F11" s="2" t="s">
        <v>19</v>
      </c>
      <c r="G11" s="2">
        <v>7</v>
      </c>
      <c r="H11" s="2">
        <v>3000</v>
      </c>
      <c r="I11" s="2">
        <v>21000</v>
      </c>
    </row>
  </sheetData>
  <mergeCells count="1">
    <mergeCell ref="K3:N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ECD08-08BB-4CE2-BCD3-C3663520ABE3}">
  <dimension ref="A1:R11"/>
  <sheetViews>
    <sheetView zoomScale="97" workbookViewId="0">
      <selection activeCell="S10" sqref="S10"/>
    </sheetView>
  </sheetViews>
  <sheetFormatPr defaultRowHeight="14.4" x14ac:dyDescent="0.3"/>
  <cols>
    <col min="1" max="1" width="8.5546875" bestFit="1" customWidth="1"/>
    <col min="2" max="2" width="14.6640625" bestFit="1" customWidth="1"/>
    <col min="3" max="3" width="6.77734375" bestFit="1" customWidth="1"/>
    <col min="4" max="4" width="11" bestFit="1" customWidth="1"/>
    <col min="5" max="5" width="7.6640625" bestFit="1" customWidth="1"/>
    <col min="6" max="6" width="9.88671875" bestFit="1" customWidth="1"/>
    <col min="7" max="7" width="8.33203125" bestFit="1" customWidth="1"/>
    <col min="8" max="8" width="9.6640625" bestFit="1" customWidth="1"/>
    <col min="9" max="9" width="10.44140625" bestFit="1" customWidth="1"/>
    <col min="16" max="16" width="12.77734375" customWidth="1"/>
    <col min="18" max="18" width="11.7773437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8" x14ac:dyDescent="0.3">
      <c r="A2" s="2">
        <v>1001</v>
      </c>
      <c r="B2" s="5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</row>
    <row r="3" spans="1:18" ht="28.8" x14ac:dyDescent="0.3">
      <c r="A3" s="2">
        <v>1002</v>
      </c>
      <c r="B3" s="3">
        <v>45299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5</v>
      </c>
      <c r="H3" s="2">
        <v>20000</v>
      </c>
      <c r="I3" s="2">
        <v>100000</v>
      </c>
      <c r="P3" s="11" t="s">
        <v>3</v>
      </c>
      <c r="Q3" s="11" t="s">
        <v>2</v>
      </c>
      <c r="R3" s="11" t="s">
        <v>8</v>
      </c>
    </row>
    <row r="4" spans="1:18" x14ac:dyDescent="0.3">
      <c r="A4" s="2">
        <v>1003</v>
      </c>
      <c r="B4" s="3">
        <v>45303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10</v>
      </c>
      <c r="H4" s="2">
        <v>3000</v>
      </c>
      <c r="I4" s="2">
        <v>30000</v>
      </c>
      <c r="K4" s="6" t="s">
        <v>36</v>
      </c>
      <c r="L4" s="6"/>
      <c r="M4" s="6"/>
      <c r="N4" s="6"/>
      <c r="P4" s="11" t="s">
        <v>14</v>
      </c>
      <c r="Q4" s="11" t="s">
        <v>13</v>
      </c>
      <c r="R4" s="13">
        <f>SUMIFS(I2:I11,D2:D11,P4,C2:C11,Q4)</f>
        <v>171000</v>
      </c>
    </row>
    <row r="5" spans="1:18" x14ac:dyDescent="0.3">
      <c r="A5" s="2">
        <v>1004</v>
      </c>
      <c r="B5" s="3">
        <v>45306</v>
      </c>
      <c r="C5" s="2" t="s">
        <v>20</v>
      </c>
      <c r="D5" s="2" t="s">
        <v>21</v>
      </c>
      <c r="E5" s="2" t="s">
        <v>22</v>
      </c>
      <c r="F5" s="2" t="s">
        <v>19</v>
      </c>
      <c r="G5" s="2">
        <v>3</v>
      </c>
      <c r="H5" s="2">
        <v>7000</v>
      </c>
      <c r="I5" s="2">
        <v>21000</v>
      </c>
    </row>
    <row r="6" spans="1:18" x14ac:dyDescent="0.3">
      <c r="A6" s="2">
        <v>1005</v>
      </c>
      <c r="B6" s="3">
        <v>45309</v>
      </c>
      <c r="C6" s="2" t="s">
        <v>9</v>
      </c>
      <c r="D6" s="2" t="s">
        <v>10</v>
      </c>
      <c r="E6" s="2" t="s">
        <v>15</v>
      </c>
      <c r="F6" s="2" t="s">
        <v>12</v>
      </c>
      <c r="G6" s="2">
        <v>4</v>
      </c>
      <c r="H6" s="2">
        <v>20000</v>
      </c>
      <c r="I6" s="2">
        <v>80000</v>
      </c>
    </row>
    <row r="7" spans="1:18" x14ac:dyDescent="0.3">
      <c r="A7" s="2">
        <v>1006</v>
      </c>
      <c r="B7" s="3">
        <v>45311</v>
      </c>
      <c r="C7" s="2" t="s">
        <v>13</v>
      </c>
      <c r="D7" s="2" t="s">
        <v>14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</row>
    <row r="8" spans="1:18" x14ac:dyDescent="0.3">
      <c r="A8" s="2">
        <v>1007</v>
      </c>
      <c r="B8" s="3">
        <v>45316</v>
      </c>
      <c r="C8" s="2" t="s">
        <v>16</v>
      </c>
      <c r="D8" s="2" t="s">
        <v>17</v>
      </c>
      <c r="E8" s="2" t="s">
        <v>23</v>
      </c>
      <c r="F8" s="2" t="s">
        <v>19</v>
      </c>
      <c r="G8" s="2">
        <v>2</v>
      </c>
      <c r="H8" s="2">
        <v>10000</v>
      </c>
      <c r="I8" s="2">
        <v>20000</v>
      </c>
    </row>
    <row r="9" spans="1:18" x14ac:dyDescent="0.3">
      <c r="A9" s="2">
        <v>1008</v>
      </c>
      <c r="B9" s="3">
        <v>45319</v>
      </c>
      <c r="C9" s="2" t="s">
        <v>20</v>
      </c>
      <c r="D9" s="2" t="s">
        <v>21</v>
      </c>
      <c r="E9" s="2" t="s">
        <v>15</v>
      </c>
      <c r="F9" s="2" t="s">
        <v>12</v>
      </c>
      <c r="G9" s="2">
        <v>6</v>
      </c>
      <c r="H9" s="2">
        <v>20000</v>
      </c>
      <c r="I9" s="2">
        <v>120000</v>
      </c>
    </row>
    <row r="10" spans="1:18" x14ac:dyDescent="0.3">
      <c r="A10" s="2">
        <v>1009</v>
      </c>
      <c r="B10" s="3">
        <v>45324</v>
      </c>
      <c r="C10" s="2" t="s">
        <v>9</v>
      </c>
      <c r="D10" s="2" t="s">
        <v>10</v>
      </c>
      <c r="E10" s="2" t="s">
        <v>22</v>
      </c>
      <c r="F10" s="2" t="s">
        <v>19</v>
      </c>
      <c r="G10" s="2">
        <v>5</v>
      </c>
      <c r="H10" s="2">
        <v>7000</v>
      </c>
      <c r="I10" s="2">
        <v>35000</v>
      </c>
    </row>
    <row r="11" spans="1:18" x14ac:dyDescent="0.3">
      <c r="A11" s="2">
        <v>1010</v>
      </c>
      <c r="B11" s="3">
        <v>45327</v>
      </c>
      <c r="C11" s="2" t="s">
        <v>13</v>
      </c>
      <c r="D11" s="2" t="s">
        <v>14</v>
      </c>
      <c r="E11" s="2" t="s">
        <v>18</v>
      </c>
      <c r="F11" s="2" t="s">
        <v>19</v>
      </c>
      <c r="G11" s="2">
        <v>7</v>
      </c>
      <c r="H11" s="2">
        <v>3000</v>
      </c>
      <c r="I11" s="2">
        <v>21000</v>
      </c>
    </row>
  </sheetData>
  <mergeCells count="1">
    <mergeCell ref="K4:N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820AC-69E2-4656-AE04-7C41F09F39EE}">
  <dimension ref="A1:O11"/>
  <sheetViews>
    <sheetView workbookViewId="0">
      <selection activeCell="O15" sqref="O15"/>
    </sheetView>
  </sheetViews>
  <sheetFormatPr defaultRowHeight="14.4" x14ac:dyDescent="0.3"/>
  <cols>
    <col min="2" max="2" width="10.33203125" bestFit="1" customWidth="1"/>
    <col min="4" max="4" width="11.88671875" customWidth="1"/>
    <col min="6" max="6" width="11" customWidth="1"/>
    <col min="8" max="8" width="10.21875" customWidth="1"/>
    <col min="9" max="9" width="11" customWidth="1"/>
  </cols>
  <sheetData>
    <row r="1" spans="1:1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5" x14ac:dyDescent="0.3">
      <c r="A2" s="2">
        <v>1001</v>
      </c>
      <c r="B2" s="5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</row>
    <row r="3" spans="1:15" ht="28.8" customHeight="1" x14ac:dyDescent="0.3">
      <c r="A3" s="2">
        <v>1002</v>
      </c>
      <c r="B3" s="3">
        <v>45299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5</v>
      </c>
      <c r="H3" s="2">
        <v>20000</v>
      </c>
      <c r="I3" s="2">
        <v>100000</v>
      </c>
      <c r="K3" s="9" t="s">
        <v>37</v>
      </c>
      <c r="L3" s="9"/>
      <c r="M3" s="9"/>
      <c r="N3" s="9"/>
      <c r="O3" s="9"/>
    </row>
    <row r="4" spans="1:15" x14ac:dyDescent="0.3">
      <c r="A4" s="2">
        <v>1003</v>
      </c>
      <c r="B4" s="3">
        <v>45303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10</v>
      </c>
      <c r="H4" s="2">
        <v>3000</v>
      </c>
      <c r="I4" s="2">
        <v>30000</v>
      </c>
    </row>
    <row r="5" spans="1:15" x14ac:dyDescent="0.3">
      <c r="A5" s="2">
        <v>1004</v>
      </c>
      <c r="B5" s="3">
        <v>45306</v>
      </c>
      <c r="C5" s="2" t="s">
        <v>20</v>
      </c>
      <c r="D5" s="2" t="s">
        <v>21</v>
      </c>
      <c r="E5" s="2" t="s">
        <v>22</v>
      </c>
      <c r="F5" s="2" t="s">
        <v>19</v>
      </c>
      <c r="G5" s="2">
        <v>3</v>
      </c>
      <c r="H5" s="2">
        <v>7000</v>
      </c>
      <c r="I5" s="2">
        <v>21000</v>
      </c>
    </row>
    <row r="6" spans="1:15" ht="28.8" x14ac:dyDescent="0.3">
      <c r="A6" s="2">
        <v>1005</v>
      </c>
      <c r="B6" s="3">
        <v>45309</v>
      </c>
      <c r="C6" s="2" t="s">
        <v>9</v>
      </c>
      <c r="D6" s="2" t="s">
        <v>10</v>
      </c>
      <c r="E6" s="2" t="s">
        <v>15</v>
      </c>
      <c r="F6" s="2" t="s">
        <v>12</v>
      </c>
      <c r="G6" s="2">
        <v>4</v>
      </c>
      <c r="H6" s="2">
        <v>20000</v>
      </c>
      <c r="I6" s="2">
        <v>80000</v>
      </c>
    </row>
    <row r="7" spans="1:15" ht="28.8" x14ac:dyDescent="0.3">
      <c r="A7" s="2">
        <v>1006</v>
      </c>
      <c r="B7" s="3">
        <v>45311</v>
      </c>
      <c r="C7" s="2" t="s">
        <v>13</v>
      </c>
      <c r="D7" s="2" t="s">
        <v>14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</row>
    <row r="8" spans="1:15" x14ac:dyDescent="0.3">
      <c r="A8" s="2">
        <v>1007</v>
      </c>
      <c r="B8" s="3">
        <v>45316</v>
      </c>
      <c r="C8" s="2" t="s">
        <v>16</v>
      </c>
      <c r="D8" s="2" t="s">
        <v>17</v>
      </c>
      <c r="E8" s="2" t="s">
        <v>23</v>
      </c>
      <c r="F8" s="2" t="s">
        <v>19</v>
      </c>
      <c r="G8" s="2">
        <v>2</v>
      </c>
      <c r="H8" s="2">
        <v>10000</v>
      </c>
      <c r="I8" s="2">
        <v>20000</v>
      </c>
    </row>
    <row r="9" spans="1:15" ht="28.8" x14ac:dyDescent="0.3">
      <c r="A9" s="2">
        <v>1008</v>
      </c>
      <c r="B9" s="3">
        <v>45319</v>
      </c>
      <c r="C9" s="2" t="s">
        <v>20</v>
      </c>
      <c r="D9" s="2" t="s">
        <v>21</v>
      </c>
      <c r="E9" s="2" t="s">
        <v>15</v>
      </c>
      <c r="F9" s="2" t="s">
        <v>12</v>
      </c>
      <c r="G9" s="2">
        <v>6</v>
      </c>
      <c r="H9" s="2">
        <v>20000</v>
      </c>
      <c r="I9" s="2">
        <v>120000</v>
      </c>
    </row>
    <row r="10" spans="1:15" x14ac:dyDescent="0.3">
      <c r="A10" s="2">
        <v>1009</v>
      </c>
      <c r="B10" s="3">
        <v>45324</v>
      </c>
      <c r="C10" s="2" t="s">
        <v>9</v>
      </c>
      <c r="D10" s="2" t="s">
        <v>10</v>
      </c>
      <c r="E10" s="2" t="s">
        <v>22</v>
      </c>
      <c r="F10" s="2" t="s">
        <v>19</v>
      </c>
      <c r="G10" s="2">
        <v>5</v>
      </c>
      <c r="H10" s="2">
        <v>7000</v>
      </c>
      <c r="I10" s="2">
        <v>35000</v>
      </c>
    </row>
    <row r="11" spans="1:15" x14ac:dyDescent="0.3">
      <c r="A11" s="2">
        <v>1010</v>
      </c>
      <c r="B11" s="3">
        <v>45327</v>
      </c>
      <c r="C11" s="2" t="s">
        <v>13</v>
      </c>
      <c r="D11" s="2" t="s">
        <v>14</v>
      </c>
      <c r="E11" s="2" t="s">
        <v>18</v>
      </c>
      <c r="F11" s="2" t="s">
        <v>19</v>
      </c>
      <c r="G11" s="2">
        <v>7</v>
      </c>
      <c r="H11" s="2">
        <v>3000</v>
      </c>
      <c r="I11" s="2">
        <v>21000</v>
      </c>
    </row>
  </sheetData>
  <mergeCells count="1">
    <mergeCell ref="K3:O3"/>
  </mergeCells>
  <conditionalFormatting sqref="I2:I11">
    <cfRule type="cellIs" dxfId="1" priority="1" operator="greaterThan">
      <formula>100000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70E03-83E9-490E-8D03-1A3DDBBB47D3}">
  <dimension ref="A1:N11"/>
  <sheetViews>
    <sheetView workbookViewId="0">
      <selection activeCell="O13" sqref="O13"/>
    </sheetView>
  </sheetViews>
  <sheetFormatPr defaultRowHeight="14.4" x14ac:dyDescent="0.3"/>
  <cols>
    <col min="2" max="2" width="10.33203125" bestFit="1" customWidth="1"/>
    <col min="4" max="4" width="11.6640625" customWidth="1"/>
    <col min="6" max="6" width="10.21875" customWidth="1"/>
    <col min="8" max="8" width="10.33203125" customWidth="1"/>
    <col min="9" max="9" width="10.5546875" customWidth="1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4" x14ac:dyDescent="0.3">
      <c r="A2" s="2">
        <v>1001</v>
      </c>
      <c r="B2" s="5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</row>
    <row r="3" spans="1:14" ht="28.8" customHeight="1" x14ac:dyDescent="0.3">
      <c r="A3" s="2">
        <v>1002</v>
      </c>
      <c r="B3" s="3">
        <v>45299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5</v>
      </c>
      <c r="H3" s="2">
        <v>20000</v>
      </c>
      <c r="I3" s="2">
        <v>100000</v>
      </c>
      <c r="K3" s="9" t="s">
        <v>38</v>
      </c>
      <c r="L3" s="9"/>
      <c r="M3" s="9"/>
      <c r="N3" s="9"/>
    </row>
    <row r="4" spans="1:14" x14ac:dyDescent="0.3">
      <c r="A4" s="2">
        <v>1003</v>
      </c>
      <c r="B4" s="3">
        <v>45303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10</v>
      </c>
      <c r="H4" s="2">
        <v>3000</v>
      </c>
      <c r="I4" s="2">
        <v>30000</v>
      </c>
    </row>
    <row r="5" spans="1:14" x14ac:dyDescent="0.3">
      <c r="A5" s="2">
        <v>1004</v>
      </c>
      <c r="B5" s="3">
        <v>45306</v>
      </c>
      <c r="C5" s="2" t="s">
        <v>20</v>
      </c>
      <c r="D5" s="2" t="s">
        <v>21</v>
      </c>
      <c r="E5" s="2" t="s">
        <v>22</v>
      </c>
      <c r="F5" s="2" t="s">
        <v>19</v>
      </c>
      <c r="G5" s="2">
        <v>3</v>
      </c>
      <c r="H5" s="2">
        <v>7000</v>
      </c>
      <c r="I5" s="2">
        <v>21000</v>
      </c>
    </row>
    <row r="6" spans="1:14" ht="28.8" x14ac:dyDescent="0.3">
      <c r="A6" s="2">
        <v>1005</v>
      </c>
      <c r="B6" s="3">
        <v>45309</v>
      </c>
      <c r="C6" s="2" t="s">
        <v>9</v>
      </c>
      <c r="D6" s="2" t="s">
        <v>10</v>
      </c>
      <c r="E6" s="2" t="s">
        <v>15</v>
      </c>
      <c r="F6" s="2" t="s">
        <v>12</v>
      </c>
      <c r="G6" s="2">
        <v>4</v>
      </c>
      <c r="H6" s="2">
        <v>20000</v>
      </c>
      <c r="I6" s="2">
        <v>80000</v>
      </c>
    </row>
    <row r="7" spans="1:14" ht="28.8" x14ac:dyDescent="0.3">
      <c r="A7" s="2">
        <v>1006</v>
      </c>
      <c r="B7" s="3">
        <v>45311</v>
      </c>
      <c r="C7" s="2" t="s">
        <v>13</v>
      </c>
      <c r="D7" s="2" t="s">
        <v>14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</row>
    <row r="8" spans="1:14" x14ac:dyDescent="0.3">
      <c r="A8" s="2">
        <v>1007</v>
      </c>
      <c r="B8" s="3">
        <v>45316</v>
      </c>
      <c r="C8" s="2" t="s">
        <v>16</v>
      </c>
      <c r="D8" s="2" t="s">
        <v>17</v>
      </c>
      <c r="E8" s="2" t="s">
        <v>23</v>
      </c>
      <c r="F8" s="2" t="s">
        <v>19</v>
      </c>
      <c r="G8" s="2">
        <v>2</v>
      </c>
      <c r="H8" s="2">
        <v>10000</v>
      </c>
      <c r="I8" s="2">
        <v>20000</v>
      </c>
    </row>
    <row r="9" spans="1:14" ht="28.8" x14ac:dyDescent="0.3">
      <c r="A9" s="2">
        <v>1008</v>
      </c>
      <c r="B9" s="3">
        <v>45319</v>
      </c>
      <c r="C9" s="2" t="s">
        <v>20</v>
      </c>
      <c r="D9" s="2" t="s">
        <v>21</v>
      </c>
      <c r="E9" s="2" t="s">
        <v>15</v>
      </c>
      <c r="F9" s="2" t="s">
        <v>12</v>
      </c>
      <c r="G9" s="2">
        <v>6</v>
      </c>
      <c r="H9" s="2">
        <v>20000</v>
      </c>
      <c r="I9" s="2">
        <v>120000</v>
      </c>
    </row>
    <row r="10" spans="1:14" x14ac:dyDescent="0.3">
      <c r="A10" s="2">
        <v>1009</v>
      </c>
      <c r="B10" s="3">
        <v>45324</v>
      </c>
      <c r="C10" s="2" t="s">
        <v>9</v>
      </c>
      <c r="D10" s="2" t="s">
        <v>10</v>
      </c>
      <c r="E10" s="2" t="s">
        <v>22</v>
      </c>
      <c r="F10" s="2" t="s">
        <v>19</v>
      </c>
      <c r="G10" s="2">
        <v>5</v>
      </c>
      <c r="H10" s="2">
        <v>7000</v>
      </c>
      <c r="I10" s="2">
        <v>35000</v>
      </c>
    </row>
    <row r="11" spans="1:14" x14ac:dyDescent="0.3">
      <c r="A11" s="2">
        <v>1010</v>
      </c>
      <c r="B11" s="3">
        <v>45327</v>
      </c>
      <c r="C11" s="2" t="s">
        <v>13</v>
      </c>
      <c r="D11" s="2" t="s">
        <v>14</v>
      </c>
      <c r="E11" s="2" t="s">
        <v>18</v>
      </c>
      <c r="F11" s="2" t="s">
        <v>19</v>
      </c>
      <c r="G11" s="2">
        <v>7</v>
      </c>
      <c r="H11" s="2">
        <v>3000</v>
      </c>
      <c r="I11" s="2">
        <v>21000</v>
      </c>
    </row>
  </sheetData>
  <mergeCells count="1">
    <mergeCell ref="K3:N3"/>
  </mergeCells>
  <conditionalFormatting sqref="G2:G11">
    <cfRule type="cellIs" dxfId="0" priority="1" operator="lessThan">
      <formula>3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74598-EA50-4E2B-BF64-79D441829706}">
  <dimension ref="A1:R11"/>
  <sheetViews>
    <sheetView workbookViewId="0">
      <selection activeCell="S10" sqref="S10"/>
    </sheetView>
  </sheetViews>
  <sheetFormatPr defaultRowHeight="14.4" x14ac:dyDescent="0.3"/>
  <cols>
    <col min="2" max="2" width="10.33203125" bestFit="1" customWidth="1"/>
    <col min="4" max="4" width="12" customWidth="1"/>
    <col min="6" max="6" width="10.33203125" customWidth="1"/>
    <col min="8" max="8" width="10.6640625" customWidth="1"/>
    <col min="9" max="9" width="11.5546875" customWidth="1"/>
    <col min="16" max="16" width="10.6640625" customWidth="1"/>
    <col min="18" max="18" width="15.777343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8" ht="28.8" customHeight="1" x14ac:dyDescent="0.3">
      <c r="A2" s="2">
        <v>1001</v>
      </c>
      <c r="B2" s="5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  <c r="K2" s="10" t="s">
        <v>39</v>
      </c>
      <c r="L2" s="10"/>
      <c r="M2" s="10"/>
      <c r="P2" s="7" t="s">
        <v>4</v>
      </c>
      <c r="Q2" s="7" t="s">
        <v>6</v>
      </c>
      <c r="R2" s="7" t="s">
        <v>48</v>
      </c>
    </row>
    <row r="3" spans="1:18" x14ac:dyDescent="0.3">
      <c r="A3" s="2">
        <v>1002</v>
      </c>
      <c r="B3" s="3">
        <v>45299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5</v>
      </c>
      <c r="H3" s="2">
        <v>20000</v>
      </c>
      <c r="I3" s="2">
        <v>100000</v>
      </c>
      <c r="M3" s="4" t="s">
        <v>40</v>
      </c>
      <c r="P3" s="8" t="s">
        <v>12</v>
      </c>
      <c r="Q3" s="7" t="s">
        <v>47</v>
      </c>
      <c r="R3" s="7">
        <f>COUNTIFS(G2:G11,Q3,F2:F11,P3)</f>
        <v>3</v>
      </c>
    </row>
    <row r="4" spans="1:18" x14ac:dyDescent="0.3">
      <c r="A4" s="2">
        <v>1003</v>
      </c>
      <c r="B4" s="3">
        <v>45303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10</v>
      </c>
      <c r="H4" s="2">
        <v>3000</v>
      </c>
      <c r="I4" s="2">
        <v>30000</v>
      </c>
      <c r="M4" s="4" t="s">
        <v>41</v>
      </c>
    </row>
    <row r="5" spans="1:18" x14ac:dyDescent="0.3">
      <c r="A5" s="2">
        <v>1004</v>
      </c>
      <c r="B5" s="3">
        <v>45306</v>
      </c>
      <c r="C5" s="2" t="s">
        <v>20</v>
      </c>
      <c r="D5" s="2" t="s">
        <v>21</v>
      </c>
      <c r="E5" s="2" t="s">
        <v>22</v>
      </c>
      <c r="F5" s="2" t="s">
        <v>19</v>
      </c>
      <c r="G5" s="2">
        <v>3</v>
      </c>
      <c r="H5" s="2">
        <v>7000</v>
      </c>
      <c r="I5" s="2">
        <v>21000</v>
      </c>
    </row>
    <row r="6" spans="1:18" ht="28.8" x14ac:dyDescent="0.3">
      <c r="A6" s="2">
        <v>1005</v>
      </c>
      <c r="B6" s="3">
        <v>45309</v>
      </c>
      <c r="C6" s="2" t="s">
        <v>9</v>
      </c>
      <c r="D6" s="2" t="s">
        <v>10</v>
      </c>
      <c r="E6" s="2" t="s">
        <v>15</v>
      </c>
      <c r="F6" s="2" t="s">
        <v>12</v>
      </c>
      <c r="G6" s="2">
        <v>4</v>
      </c>
      <c r="H6" s="2">
        <v>20000</v>
      </c>
      <c r="I6" s="2">
        <v>80000</v>
      </c>
    </row>
    <row r="7" spans="1:18" ht="28.8" x14ac:dyDescent="0.3">
      <c r="A7" s="2">
        <v>1006</v>
      </c>
      <c r="B7" s="3">
        <v>45311</v>
      </c>
      <c r="C7" s="2" t="s">
        <v>13</v>
      </c>
      <c r="D7" s="2" t="s">
        <v>14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</row>
    <row r="8" spans="1:18" x14ac:dyDescent="0.3">
      <c r="A8" s="2">
        <v>1007</v>
      </c>
      <c r="B8" s="3">
        <v>45316</v>
      </c>
      <c r="C8" s="2" t="s">
        <v>16</v>
      </c>
      <c r="D8" s="2" t="s">
        <v>17</v>
      </c>
      <c r="E8" s="2" t="s">
        <v>23</v>
      </c>
      <c r="F8" s="2" t="s">
        <v>19</v>
      </c>
      <c r="G8" s="2">
        <v>2</v>
      </c>
      <c r="H8" s="2">
        <v>10000</v>
      </c>
      <c r="I8" s="2">
        <v>20000</v>
      </c>
    </row>
    <row r="9" spans="1:18" ht="28.8" x14ac:dyDescent="0.3">
      <c r="A9" s="2">
        <v>1008</v>
      </c>
      <c r="B9" s="3">
        <v>45319</v>
      </c>
      <c r="C9" s="2" t="s">
        <v>20</v>
      </c>
      <c r="D9" s="2" t="s">
        <v>21</v>
      </c>
      <c r="E9" s="2" t="s">
        <v>15</v>
      </c>
      <c r="F9" s="2" t="s">
        <v>12</v>
      </c>
      <c r="G9" s="2">
        <v>6</v>
      </c>
      <c r="H9" s="2">
        <v>20000</v>
      </c>
      <c r="I9" s="2">
        <v>120000</v>
      </c>
    </row>
    <row r="10" spans="1:18" x14ac:dyDescent="0.3">
      <c r="A10" s="2">
        <v>1009</v>
      </c>
      <c r="B10" s="3">
        <v>45324</v>
      </c>
      <c r="C10" s="2" t="s">
        <v>9</v>
      </c>
      <c r="D10" s="2" t="s">
        <v>10</v>
      </c>
      <c r="E10" s="2" t="s">
        <v>22</v>
      </c>
      <c r="F10" s="2" t="s">
        <v>19</v>
      </c>
      <c r="G10" s="2">
        <v>5</v>
      </c>
      <c r="H10" s="2">
        <v>7000</v>
      </c>
      <c r="I10" s="2">
        <v>35000</v>
      </c>
    </row>
    <row r="11" spans="1:18" x14ac:dyDescent="0.3">
      <c r="A11" s="2">
        <v>1010</v>
      </c>
      <c r="B11" s="3">
        <v>45327</v>
      </c>
      <c r="C11" s="2" t="s">
        <v>13</v>
      </c>
      <c r="D11" s="2" t="s">
        <v>14</v>
      </c>
      <c r="E11" s="2" t="s">
        <v>18</v>
      </c>
      <c r="F11" s="2" t="s">
        <v>19</v>
      </c>
      <c r="G11" s="2">
        <v>7</v>
      </c>
      <c r="H11" s="2">
        <v>3000</v>
      </c>
      <c r="I11" s="2">
        <v>21000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Sheet1</vt:lpstr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  <vt:lpstr>Q15</vt:lpstr>
      <vt:lpstr>Q16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PRIYANSHU DUTTA</cp:lastModifiedBy>
  <dcterms:created xsi:type="dcterms:W3CDTF">2026-03-04T02:35:16Z</dcterms:created>
  <dcterms:modified xsi:type="dcterms:W3CDTF">2026-03-05T13:18:29Z</dcterms:modified>
</cp:coreProperties>
</file>