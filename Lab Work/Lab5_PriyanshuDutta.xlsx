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13_ncr:1_{0B87072A-6367-4152-AD77-4A6DDC542429}" xr6:coauthVersionLast="47" xr6:coauthVersionMax="47" xr10:uidLastSave="{00000000-0000-0000-0000-000000000000}"/>
  <bookViews>
    <workbookView xWindow="-108" yWindow="-108" windowWidth="23256" windowHeight="12456" xr2:uid="{DC6295BE-BB2A-4ADB-A61E-26BE3202AD0E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2" i="2"/>
  <c r="G10" i="2"/>
  <c r="D3" i="1"/>
  <c r="D4" i="1"/>
  <c r="D5" i="1"/>
  <c r="D6" i="1"/>
  <c r="D7" i="1"/>
  <c r="D8" i="1"/>
  <c r="D2" i="1"/>
  <c r="G2" i="2"/>
  <c r="F2" i="2"/>
  <c r="D3" i="2"/>
  <c r="F3" i="2" s="1"/>
  <c r="D4" i="2"/>
  <c r="F4" i="2" s="1"/>
  <c r="D5" i="2"/>
  <c r="F5" i="2" s="1"/>
  <c r="D6" i="2"/>
  <c r="G6" i="2" s="1"/>
  <c r="D7" i="2"/>
  <c r="G7" i="2" s="1"/>
  <c r="D2" i="2"/>
  <c r="C3" i="2"/>
  <c r="C4" i="2"/>
  <c r="C5" i="2"/>
  <c r="C6" i="2"/>
  <c r="C7" i="2"/>
  <c r="C2" i="2"/>
  <c r="F7" i="2" l="1"/>
  <c r="F6" i="2"/>
  <c r="G5" i="2"/>
  <c r="G4" i="2"/>
  <c r="G3" i="2"/>
</calcChain>
</file>

<file path=xl/sharedStrings.xml><?xml version="1.0" encoding="utf-8"?>
<sst xmlns="http://schemas.openxmlformats.org/spreadsheetml/2006/main" count="21" uniqueCount="19">
  <si>
    <t>ProductID</t>
  </si>
  <si>
    <t>Product</t>
  </si>
  <si>
    <t>Product A</t>
  </si>
  <si>
    <t>Product B</t>
  </si>
  <si>
    <t>Product C</t>
  </si>
  <si>
    <t>Product D</t>
  </si>
  <si>
    <t>Product E</t>
  </si>
  <si>
    <t>Product F</t>
  </si>
  <si>
    <t>Price</t>
  </si>
  <si>
    <t>OrderID</t>
  </si>
  <si>
    <t>Quantity</t>
  </si>
  <si>
    <t>Total Price</t>
  </si>
  <si>
    <t>Discounted Price</t>
  </si>
  <si>
    <t>Orderd/NotOrderd</t>
  </si>
  <si>
    <t>Product G</t>
  </si>
  <si>
    <t>Product Name</t>
  </si>
  <si>
    <t xml:space="preserve">MAX Order Value </t>
  </si>
  <si>
    <t>Status</t>
  </si>
  <si>
    <t>Product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</si>
</sst>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C832-65D7-459A-9CF2-5120EFE0C508}">
  <dimension ref="A1:D8"/>
  <sheetViews>
    <sheetView tabSelected="1" workbookViewId="0">
      <selection activeCell="D2" sqref="D2"/>
    </sheetView>
  </sheetViews>
  <sheetFormatPr defaultRowHeight="14.4" x14ac:dyDescent="0.3"/>
  <cols>
    <col min="1" max="2" width="9" bestFit="1" customWidth="1"/>
    <col min="3" max="3" width="5.21875" bestFit="1" customWidth="1"/>
    <col min="4" max="4" width="16" bestFit="1" customWidth="1"/>
  </cols>
  <sheetData>
    <row r="1" spans="1:4" x14ac:dyDescent="0.3">
      <c r="A1" s="1" t="s">
        <v>0</v>
      </c>
      <c r="B1" s="1" t="s">
        <v>1</v>
      </c>
      <c r="C1" s="1" t="s">
        <v>8</v>
      </c>
      <c r="D1" s="1" t="s">
        <v>13</v>
      </c>
    </row>
    <row r="2" spans="1:4" x14ac:dyDescent="0.3">
      <c r="A2" s="1">
        <v>101</v>
      </c>
      <c r="B2" s="1" t="s">
        <v>2</v>
      </c>
      <c r="C2" s="1">
        <v>120</v>
      </c>
      <c r="D2" s="1" t="str">
        <f>IF(ISNA(VLOOKUP(A2,Orders!$B$1:$F$7,1,0)),"NotOrdered","Ordered")</f>
        <v>Ordered</v>
      </c>
    </row>
    <row r="3" spans="1:4" x14ac:dyDescent="0.3">
      <c r="A3" s="1">
        <v>102</v>
      </c>
      <c r="B3" s="1" t="s">
        <v>3</v>
      </c>
      <c r="C3" s="1">
        <v>150</v>
      </c>
      <c r="D3" s="1" t="str">
        <f>IF(ISNA(VLOOKUP(A3,Orders!$B$1:$F$7,1,0)),"NotOrdered","Ordered")</f>
        <v>Ordered</v>
      </c>
    </row>
    <row r="4" spans="1:4" x14ac:dyDescent="0.3">
      <c r="A4" s="1">
        <v>103</v>
      </c>
      <c r="B4" s="1" t="s">
        <v>4</v>
      </c>
      <c r="C4" s="1">
        <v>200</v>
      </c>
      <c r="D4" s="1" t="str">
        <f>IF(ISNA(VLOOKUP(A4,Orders!$B$1:$F$7,1,0)),"NotOrdered","Ordered")</f>
        <v>Ordered</v>
      </c>
    </row>
    <row r="5" spans="1:4" x14ac:dyDescent="0.3">
      <c r="A5" s="1">
        <v>104</v>
      </c>
      <c r="B5" s="1" t="s">
        <v>5</v>
      </c>
      <c r="C5" s="1">
        <v>90</v>
      </c>
      <c r="D5" s="1" t="str">
        <f>IF(ISNA(VLOOKUP(A5,Orders!$B$1:$F$7,1,0)),"NotOrdered","Ordered")</f>
        <v>Ordered</v>
      </c>
    </row>
    <row r="6" spans="1:4" x14ac:dyDescent="0.3">
      <c r="A6" s="1">
        <v>105</v>
      </c>
      <c r="B6" s="1" t="s">
        <v>6</v>
      </c>
      <c r="C6" s="1">
        <v>220</v>
      </c>
      <c r="D6" s="1" t="str">
        <f>IF(ISNA(VLOOKUP(A6,Orders!$B$1:$F$7,1,0)),"NotOrdered","Ordered")</f>
        <v>Ordered</v>
      </c>
    </row>
    <row r="7" spans="1:4" x14ac:dyDescent="0.3">
      <c r="A7" s="1">
        <v>106</v>
      </c>
      <c r="B7" s="1" t="s">
        <v>7</v>
      </c>
      <c r="C7" s="1">
        <v>130</v>
      </c>
      <c r="D7" s="1" t="str">
        <f>IF(ISNA(VLOOKUP(A7,Orders!$B$1:$F$7,1,0)),"NotOrdered","Ordered")</f>
        <v>Ordered</v>
      </c>
    </row>
    <row r="8" spans="1:4" x14ac:dyDescent="0.3">
      <c r="A8" s="2">
        <v>107</v>
      </c>
      <c r="B8" s="2" t="s">
        <v>14</v>
      </c>
      <c r="C8" s="2">
        <v>250</v>
      </c>
      <c r="D8" s="2" t="str">
        <f>IF(ISNA(VLOOKUP(A8,Orders!$B$1:$F$7,1,0)),"NotOrdered","Ordered")</f>
        <v>NotOrdered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D435-5C17-410E-8102-1B372E791284}">
  <dimension ref="A1:H10"/>
  <sheetViews>
    <sheetView workbookViewId="0">
      <selection activeCell="G22" sqref="G22"/>
    </sheetView>
  </sheetViews>
  <sheetFormatPr defaultRowHeight="14.4" x14ac:dyDescent="0.3"/>
  <cols>
    <col min="1" max="1" width="7.33203125" bestFit="1" customWidth="1"/>
    <col min="2" max="2" width="9" bestFit="1" customWidth="1"/>
    <col min="3" max="3" width="12.5546875" bestFit="1" customWidth="1"/>
    <col min="4" max="4" width="5.21875" bestFit="1" customWidth="1"/>
    <col min="5" max="5" width="7.6640625" bestFit="1" customWidth="1"/>
    <col min="6" max="6" width="14.88671875" bestFit="1" customWidth="1"/>
    <col min="7" max="7" width="14.77734375" bestFit="1" customWidth="1"/>
  </cols>
  <sheetData>
    <row r="1" spans="1:8" x14ac:dyDescent="0.3">
      <c r="A1" s="1" t="s">
        <v>9</v>
      </c>
      <c r="B1" s="1" t="s">
        <v>0</v>
      </c>
      <c r="C1" s="2" t="s">
        <v>15</v>
      </c>
      <c r="D1" s="3" t="s">
        <v>8</v>
      </c>
      <c r="E1" s="1" t="s">
        <v>10</v>
      </c>
      <c r="F1" s="3" t="s">
        <v>11</v>
      </c>
      <c r="G1" s="2" t="s">
        <v>12</v>
      </c>
      <c r="H1" s="1" t="s">
        <v>17</v>
      </c>
    </row>
    <row r="2" spans="1:8" x14ac:dyDescent="0.3">
      <c r="A2" s="1">
        <v>1</v>
      </c>
      <c r="B2" s="1">
        <v>101</v>
      </c>
      <c r="C2" s="2" t="str">
        <f>VLOOKUP(B2,Products!$A$1:$C$7,2,0)</f>
        <v>Product A</v>
      </c>
      <c r="D2" s="3">
        <f>VLOOKUP(B2,Products!A1:C7,3,0)</f>
        <v>120</v>
      </c>
      <c r="E2" s="1">
        <v>2</v>
      </c>
      <c r="F2" s="3">
        <f t="shared" ref="F2:F7" si="0">D2*E2</f>
        <v>240</v>
      </c>
      <c r="G2" s="2">
        <f>D2-(D2*10)/100</f>
        <v>108</v>
      </c>
      <c r="H2" s="1" t="str">
        <f>IF(ISNA(VLOOKUP(B2,Products!$A$1:$D$8,2,0)),"Not Exist","Exist")</f>
        <v>Exist</v>
      </c>
    </row>
    <row r="3" spans="1:8" x14ac:dyDescent="0.3">
      <c r="A3" s="1">
        <v>2</v>
      </c>
      <c r="B3" s="1">
        <v>102</v>
      </c>
      <c r="C3" s="2" t="str">
        <f>VLOOKUP(B3,Products!$A$1:$C$7,2,0)</f>
        <v>Product B</v>
      </c>
      <c r="D3" s="3">
        <f>VLOOKUP(B3,Products!A2:C8,3,0)</f>
        <v>150</v>
      </c>
      <c r="E3" s="1">
        <v>1</v>
      </c>
      <c r="F3" s="3">
        <f t="shared" si="0"/>
        <v>150</v>
      </c>
      <c r="G3" s="2">
        <f t="shared" ref="G3:G7" si="1">D3-(D3*10)/100</f>
        <v>135</v>
      </c>
      <c r="H3" s="1" t="str">
        <f>IF(ISNA(VLOOKUP(B3,Products!$A$1:$D$8,2,0)),"Not Exist","Exist")</f>
        <v>Exist</v>
      </c>
    </row>
    <row r="4" spans="1:8" x14ac:dyDescent="0.3">
      <c r="A4" s="1">
        <v>3</v>
      </c>
      <c r="B4" s="1">
        <v>103</v>
      </c>
      <c r="C4" s="2" t="str">
        <f>VLOOKUP(B4,Products!$A$1:$C$7,2,0)</f>
        <v>Product C</v>
      </c>
      <c r="D4" s="3">
        <f>VLOOKUP(B4,Products!A3:C9,3,0)</f>
        <v>200</v>
      </c>
      <c r="E4" s="1">
        <v>4</v>
      </c>
      <c r="F4" s="3">
        <f t="shared" si="0"/>
        <v>800</v>
      </c>
      <c r="G4" s="2">
        <f t="shared" si="1"/>
        <v>180</v>
      </c>
      <c r="H4" s="1" t="str">
        <f>IF(ISNA(VLOOKUP(B4,Products!$A$1:$D$8,2,0)),"Not Exist","Exist")</f>
        <v>Exist</v>
      </c>
    </row>
    <row r="5" spans="1:8" x14ac:dyDescent="0.3">
      <c r="A5" s="1">
        <v>4</v>
      </c>
      <c r="B5" s="1">
        <v>104</v>
      </c>
      <c r="C5" s="2" t="str">
        <f>VLOOKUP(B5,Products!$A$1:$C$7,2,0)</f>
        <v>Product D</v>
      </c>
      <c r="D5" s="3">
        <f>VLOOKUP(B5,Products!A4:C10,3,0)</f>
        <v>90</v>
      </c>
      <c r="E5" s="1">
        <v>3</v>
      </c>
      <c r="F5" s="3">
        <f t="shared" si="0"/>
        <v>270</v>
      </c>
      <c r="G5" s="2">
        <f t="shared" si="1"/>
        <v>81</v>
      </c>
      <c r="H5" s="1" t="str">
        <f>IF(ISNA(VLOOKUP(B5,Products!$A$1:$D$8,2,0)),"Not Exist","Exist")</f>
        <v>Exist</v>
      </c>
    </row>
    <row r="6" spans="1:8" x14ac:dyDescent="0.3">
      <c r="A6" s="1">
        <v>5</v>
      </c>
      <c r="B6" s="1">
        <v>105</v>
      </c>
      <c r="C6" s="2" t="str">
        <f>VLOOKUP(B6,Products!$A$1:$C$7,2,0)</f>
        <v>Product E</v>
      </c>
      <c r="D6" s="3">
        <f>VLOOKUP(B6,Products!A5:C11,3,0)</f>
        <v>220</v>
      </c>
      <c r="E6" s="1">
        <v>5</v>
      </c>
      <c r="F6" s="3">
        <f t="shared" si="0"/>
        <v>1100</v>
      </c>
      <c r="G6" s="2">
        <f t="shared" si="1"/>
        <v>198</v>
      </c>
      <c r="H6" s="1" t="str">
        <f>IF(ISNA(VLOOKUP(B6,Products!$A$1:$D$8,2,0)),"Not Exist","Exist")</f>
        <v>Exist</v>
      </c>
    </row>
    <row r="7" spans="1:8" x14ac:dyDescent="0.3">
      <c r="A7" s="1">
        <v>6</v>
      </c>
      <c r="B7" s="1">
        <v>106</v>
      </c>
      <c r="C7" s="2" t="str">
        <f>VLOOKUP(B7,Products!$A$1:$C$7,2,0)</f>
        <v>Product F</v>
      </c>
      <c r="D7" s="3">
        <f>VLOOKUP(B7,Products!A6:C12,3,0)</f>
        <v>130</v>
      </c>
      <c r="E7" s="1">
        <v>6</v>
      </c>
      <c r="F7" s="3">
        <f t="shared" si="0"/>
        <v>780</v>
      </c>
      <c r="G7" s="2">
        <f t="shared" si="1"/>
        <v>117</v>
      </c>
      <c r="H7" s="1" t="str">
        <f>IF(ISNA(VLOOKUP(B7,Products!$A$1:$D$8,2,0)),"Not Exist","Exist")</f>
        <v>Exist</v>
      </c>
    </row>
    <row r="8" spans="1:8" x14ac:dyDescent="0.3">
      <c r="A8" s="5">
        <v>7</v>
      </c>
      <c r="B8" s="5">
        <v>108</v>
      </c>
      <c r="C8" s="5" t="s">
        <v>18</v>
      </c>
      <c r="D8" s="5"/>
      <c r="E8" s="5"/>
      <c r="F8" s="5"/>
      <c r="G8" s="5"/>
      <c r="H8" s="5" t="str">
        <f>IF(ISNA(VLOOKUP(B8,Products!$A$1:$D$8,2,0)),"Not Exist","Exist")</f>
        <v>Not Exist</v>
      </c>
    </row>
    <row r="10" spans="1:8" x14ac:dyDescent="0.3">
      <c r="F10" s="4" t="s">
        <v>16</v>
      </c>
      <c r="G10" s="4">
        <f>MAX(F2:F7)</f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DUTTA</dc:creator>
  <cp:lastModifiedBy>PRIYANSHU DUTTA</cp:lastModifiedBy>
  <dcterms:created xsi:type="dcterms:W3CDTF">2026-03-09T05:17:08Z</dcterms:created>
  <dcterms:modified xsi:type="dcterms:W3CDTF">2026-03-10T11:09:08Z</dcterms:modified>
</cp:coreProperties>
</file>