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c88b4d82b2271a/Documents/"/>
    </mc:Choice>
  </mc:AlternateContent>
  <xr:revisionPtr revIDLastSave="19" documentId="8_{D2060DFC-376A-4A3C-8F28-CAB937C7AE26}" xr6:coauthVersionLast="47" xr6:coauthVersionMax="47" xr10:uidLastSave="{19F6475C-B38A-435E-8C49-4B73DA73B19D}"/>
  <bookViews>
    <workbookView xWindow="-108" yWindow="-108" windowWidth="23256" windowHeight="12456" xr2:uid="{608E6E82-DEFC-4051-B467-F3FB18D8C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H3" i="1"/>
  <c r="H4" i="1"/>
  <c r="H5" i="1"/>
  <c r="H6" i="1"/>
  <c r="H7" i="1"/>
  <c r="H2" i="1"/>
  <c r="G3" i="1"/>
  <c r="G4" i="1"/>
  <c r="G5" i="1"/>
  <c r="G6" i="1"/>
  <c r="G7" i="1"/>
  <c r="G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<sst xmlns="http://schemas.openxmlformats.org/spreadsheetml/2006/main" count="25" uniqueCount="23">
  <si>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</si>
  <si>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</si>
  <si>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</si>
  <si>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</si>
  <si>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Product A</t>
  </si>
  <si>
    <t>Product B</t>
  </si>
  <si>
    <t>Product C</t>
  </si>
  <si>
    <t>Product D</t>
  </si>
  <si>
    <t>Product E</t>
  </si>
  <si>
    <t>Product F</t>
  </si>
  <si>
    <t>Region</t>
  </si>
  <si>
    <t>North</t>
  </si>
  <si>
    <t>South</t>
  </si>
  <si>
    <t>East</t>
  </si>
  <si>
    <t>West</t>
  </si>
  <si>
    <t>Target Achieved</t>
  </si>
  <si>
    <t>Bonus Eligible</t>
  </si>
  <si>
    <t>Commission</t>
  </si>
  <si>
    <t>Bonus Amount</t>
  </si>
  <si>
    <t>Sales Performance</t>
  </si>
  <si>
    <t>Price Tier</t>
  </si>
  <si>
    <t>Year bonus</t>
  </si>
  <si>
    <t>High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</si>
</sst>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D1F7-BD26-4245-8FE4-2024CEED2828}">
  <dimension ref="A1:M7"/>
  <sheetViews>
    <sheetView tabSelected="1" topLeftCell="D1" workbookViewId="0">
      <selection activeCell="G11" sqref="G11"/>
    </sheetView>
  </sheetViews>
  <sheetFormatPr defaultRowHeight="14.4" x14ac:dyDescent="0.3"/>
  <cols>
    <col min="1" max="1" width="9" bestFit="1" customWidth="1"/>
    <col min="3" max="3" width="5.33203125" bestFit="1" customWidth="1"/>
    <col min="4" max="4" width="6" bestFit="1" customWidth="1"/>
    <col min="5" max="5" width="6.44140625" bestFit="1" customWidth="1"/>
    <col min="6" max="6" width="13.77734375" bestFit="1" customWidth="1"/>
    <col min="7" max="7" width="12" bestFit="1" customWidth="1"/>
    <col min="8" max="8" width="11" bestFit="1" customWidth="1"/>
    <col min="9" max="9" width="12.5546875" bestFit="1" customWidth="1"/>
    <col min="10" max="10" width="17.33203125" bestFit="1" customWidth="1"/>
    <col min="11" max="11" width="8.5546875" bestFit="1" customWidth="1"/>
    <col min="12" max="12" width="9.88671875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3">
      <c r="A2">
        <v>101</v>
      </c>
      <c r="B2" t="s">
        <v>4</v>
      </c>
      <c r="C2">
        <v>120</v>
      </c>
      <c r="D2">
        <v>150</v>
      </c>
      <c r="E2" t="s">
        <v>11</v>
      </c>
      <c r="F2" t="str">
        <f>IF(C2&gt;=D2,"Achieved","Not")</f>
        <v>Not</v>
      </c>
      <c r="G2" t="str">
        <f>IF(AND(E2="North",D2&gt;200),"Eligible","Not")</f>
        <v>Not</v>
      </c>
      <c r="H2" t="str">
        <f>IF(C2&gt;=200,"10%",IF(C2&gt;=150,"7%","5%"))</f>
        <v>5%</v>
      </c>
      <c r="I2">
        <f>IF(C2&gt;=D2,C2*10%,C2*5%)</f>
        <v>6</v>
      </c>
      <c r="J2" t="str">
        <f>IF(C2&gt;=200,"Excellent",IF(C2&gt;=150,"Good","Needs Improvement"))</f>
        <v>Needs Improvement</v>
      </c>
      <c r="K2" t="str">
        <f>IF(C2&gt;200,"High",IF(100&lt;C2,"Medium","Low"))</f>
        <v>Medium</v>
      </c>
      <c r="L2">
        <f>IF(AND(C2&gt;=150,E2="North"),500,300)</f>
        <v>300</v>
      </c>
      <c r="M2" t="str">
        <f>IF(C2&gt;=PERCENTILE($C$2:$C$7,0.75),"High Performer","Normal")</f>
        <v>Normal</v>
      </c>
    </row>
    <row r="3" spans="1:13" x14ac:dyDescent="0.3">
      <c r="A3">
        <v>102</v>
      </c>
      <c r="B3" t="s">
        <v>5</v>
      </c>
      <c r="C3">
        <v>150</v>
      </c>
      <c r="D3">
        <v>140</v>
      </c>
      <c r="E3" t="s">
        <v>12</v>
      </c>
      <c r="F3" t="str">
        <f t="shared" ref="F3:F7" si="0">IF(C3&gt;=D3,"Achieved","Not")</f>
        <v>Achieved</v>
      </c>
      <c r="G3" t="str">
        <f t="shared" ref="G3:G7" si="1">IF(AND(E3="North",D3&gt;200),"Eligible","Not")</f>
        <v>Not</v>
      </c>
      <c r="H3" t="str">
        <f t="shared" ref="H3:H7" si="2">IF(C3&gt;=200,"10%",IF(C3&gt;=150,"7%","5%"))</f>
        <v>7%</v>
      </c>
      <c r="I3">
        <f t="shared" ref="I3:I7" si="3">IF(C3&gt;=D3,C3*10%,C3*5%)</f>
        <v>15</v>
      </c>
      <c r="J3" t="str">
        <f t="shared" ref="J3:J7" si="4">IF(C3&gt;=200,"Excellent",IF(C3&gt;=150,"Good","Needs Improvement"))</f>
        <v>Good</v>
      </c>
      <c r="K3" t="str">
        <f t="shared" ref="K3:K7" si="5">IF(C3&gt;200,"High",IF(100&lt;C3,"Medium","Low"))</f>
        <v>Medium</v>
      </c>
      <c r="L3">
        <f t="shared" ref="L3:L7" si="6">IF(AND(C3&gt;=150,E3="North"),500,300)</f>
        <v>300</v>
      </c>
      <c r="M3" t="str">
        <f t="shared" ref="M3:M7" si="7">IF(C3&gt;=PERCENTILE($C$2:$C$7,0.75),"High Performer","Normal")</f>
        <v>Normal</v>
      </c>
    </row>
    <row r="4" spans="1:13" x14ac:dyDescent="0.3">
      <c r="A4">
        <v>103</v>
      </c>
      <c r="B4" t="s">
        <v>6</v>
      </c>
      <c r="C4">
        <v>200</v>
      </c>
      <c r="D4">
        <v>200</v>
      </c>
      <c r="E4" t="s">
        <v>13</v>
      </c>
      <c r="F4" t="str">
        <f t="shared" si="0"/>
        <v>Achieved</v>
      </c>
      <c r="G4" t="str">
        <f t="shared" si="1"/>
        <v>Not</v>
      </c>
      <c r="H4" t="str">
        <f t="shared" si="2"/>
        <v>10%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>
        <f t="shared" si="6"/>
        <v>300</v>
      </c>
      <c r="M4" t="str">
        <f t="shared" si="7"/>
        <v>High Performer</v>
      </c>
    </row>
    <row r="5" spans="1:13" x14ac:dyDescent="0.3">
      <c r="A5">
        <v>104</v>
      </c>
      <c r="B5" t="s">
        <v>7</v>
      </c>
      <c r="C5">
        <v>90</v>
      </c>
      <c r="D5">
        <v>100</v>
      </c>
      <c r="E5" t="s">
        <v>14</v>
      </c>
      <c r="F5" t="str">
        <f t="shared" si="0"/>
        <v>Not</v>
      </c>
      <c r="G5" t="str">
        <f t="shared" si="1"/>
        <v>Not</v>
      </c>
      <c r="H5" t="str">
        <f t="shared" si="2"/>
        <v>5%</v>
      </c>
      <c r="I5">
        <f t="shared" si="3"/>
        <v>4.5</v>
      </c>
      <c r="J5" t="str">
        <f t="shared" si="4"/>
        <v>Needs Improvement</v>
      </c>
      <c r="K5" t="str">
        <f t="shared" si="5"/>
        <v>Low</v>
      </c>
      <c r="L5">
        <f t="shared" si="6"/>
        <v>300</v>
      </c>
      <c r="M5" t="str">
        <f t="shared" si="7"/>
        <v>Normal</v>
      </c>
    </row>
    <row r="6" spans="1:13" x14ac:dyDescent="0.3">
      <c r="A6">
        <v>105</v>
      </c>
      <c r="B6" t="s">
        <v>8</v>
      </c>
      <c r="C6">
        <v>220</v>
      </c>
      <c r="D6">
        <v>210</v>
      </c>
      <c r="E6" t="s">
        <v>11</v>
      </c>
      <c r="F6" t="str">
        <f t="shared" si="0"/>
        <v>Achieved</v>
      </c>
      <c r="G6" t="str">
        <f t="shared" si="1"/>
        <v>Eligible</v>
      </c>
      <c r="H6" t="str">
        <f t="shared" si="2"/>
        <v>10%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>
        <f t="shared" si="6"/>
        <v>500</v>
      </c>
      <c r="M6" t="str">
        <f t="shared" si="7"/>
        <v>High Performer</v>
      </c>
    </row>
    <row r="7" spans="1:13" x14ac:dyDescent="0.3">
      <c r="A7">
        <v>106</v>
      </c>
      <c r="B7" t="s">
        <v>9</v>
      </c>
      <c r="C7">
        <v>130</v>
      </c>
      <c r="D7">
        <v>160</v>
      </c>
      <c r="E7" t="s">
        <v>12</v>
      </c>
      <c r="F7" t="str">
        <f t="shared" si="0"/>
        <v>Not</v>
      </c>
      <c r="G7" t="str">
        <f t="shared" si="1"/>
        <v>Not</v>
      </c>
      <c r="H7" t="str">
        <f t="shared" si="2"/>
        <v>5%</v>
      </c>
      <c r="I7">
        <f t="shared" si="3"/>
        <v>6.5</v>
      </c>
      <c r="J7" t="str">
        <f t="shared" si="4"/>
        <v>Needs Improvement</v>
      </c>
      <c r="K7" t="str">
        <f t="shared" si="5"/>
        <v>Medium</v>
      </c>
      <c r="L7">
        <f t="shared" si="6"/>
        <v>300</v>
      </c>
      <c r="M7" t="str">
        <f t="shared" si="7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DUTTA</dc:creator>
  <cp:lastModifiedBy>PRIYANSHU DUTTA</cp:lastModifiedBy>
  <dcterms:created xsi:type="dcterms:W3CDTF">2026-02-24T06:05:51Z</dcterms:created>
  <dcterms:modified xsi:type="dcterms:W3CDTF">2026-02-24T17:33:10Z</dcterms:modified>
</cp:coreProperties>
</file>