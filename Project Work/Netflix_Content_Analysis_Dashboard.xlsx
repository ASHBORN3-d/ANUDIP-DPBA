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180D6AD1-105A-44DB-B5C7-F6AA20ABDFA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flix_Data" sheetId="1" r:id="rId1"/>
    <sheet name="Q_a" sheetId="2" r:id="rId2"/>
    <sheet name="Q_b" sheetId="3" r:id="rId3"/>
    <sheet name="Table" sheetId="4" r:id="rId4"/>
    <sheet name="Chart" sheetId="5" r:id="rId5"/>
  </sheets>
  <calcPr calcId="191029"/>
  <pivotCaches>
    <pivotCache cacheId="10" r:id="rId6"/>
    <pivotCache cacheId="1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W2" i="1"/>
  <c r="V2" i="1"/>
  <c r="B27" i="3"/>
  <c r="B28" i="3"/>
  <c r="B29" i="3"/>
  <c r="B30" i="3"/>
  <c r="B26" i="3"/>
  <c r="A27" i="3"/>
  <c r="A28" i="3"/>
  <c r="A29" i="3"/>
  <c r="A30" i="3"/>
  <c r="A26" i="3"/>
  <c r="A16" i="3"/>
  <c r="B16" i="3" s="1"/>
  <c r="A17" i="3"/>
  <c r="B17" i="3" s="1"/>
  <c r="A18" i="3"/>
  <c r="B18" i="3" s="1"/>
  <c r="A19" i="3"/>
  <c r="B19" i="3" s="1"/>
  <c r="A20" i="3"/>
  <c r="B20" i="3" s="1"/>
  <c r="G10" i="3"/>
  <c r="D10" i="3"/>
  <c r="E10" i="3"/>
  <c r="F10" i="3"/>
  <c r="C10" i="3"/>
  <c r="B10" i="3"/>
  <c r="D4" i="3"/>
  <c r="C4" i="3"/>
  <c r="B4" i="3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2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3" i="1"/>
  <c r="S4" i="1"/>
  <c r="S5" i="1"/>
  <c r="S6" i="1"/>
  <c r="S7" i="1"/>
  <c r="S8" i="1"/>
  <c r="S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2" i="1"/>
  <c r="K31" i="2"/>
  <c r="O26" i="2"/>
  <c r="F27" i="2"/>
  <c r="Q22" i="2"/>
  <c r="F23" i="2"/>
  <c r="P18" i="2"/>
  <c r="O14" i="2"/>
  <c r="O10" i="2"/>
  <c r="P6" i="2"/>
  <c r="O2" i="2"/>
  <c r="E19" i="2"/>
  <c r="D15" i="2"/>
  <c r="D14" i="2"/>
  <c r="E10" i="2"/>
  <c r="F6" i="2"/>
  <c r="F2" i="2"/>
</calcChain>
</file>

<file path=xl/sharedStrings.xml><?xml version="1.0" encoding="utf-8"?>
<sst xmlns="http://schemas.openxmlformats.org/spreadsheetml/2006/main" count="15144" uniqueCount="4269">
  <si>
    <t>Title</t>
  </si>
  <si>
    <t>Type</t>
  </si>
  <si>
    <t>Genre</t>
  </si>
  <si>
    <t>Release_Year</t>
  </si>
  <si>
    <t>Country</t>
  </si>
  <si>
    <t>Date_Added</t>
  </si>
  <si>
    <t>Duration_Min</t>
  </si>
  <si>
    <t>Age_Rating</t>
  </si>
  <si>
    <t>IMDb_Rating</t>
  </si>
  <si>
    <t>Views_Millions</t>
  </si>
  <si>
    <t>Language</t>
  </si>
  <si>
    <t>Director</t>
  </si>
  <si>
    <t>Lead_Actor</t>
  </si>
  <si>
    <t>Seasons</t>
  </si>
  <si>
    <t>Budget_Million_USD</t>
  </si>
  <si>
    <t>Revenue_Million_USD</t>
  </si>
  <si>
    <t>NFX-100001</t>
  </si>
  <si>
    <t>Fading City 2</t>
  </si>
  <si>
    <t>Movie</t>
  </si>
  <si>
    <t>Drama</t>
  </si>
  <si>
    <t>UK</t>
  </si>
  <si>
    <t>2020-06-15</t>
  </si>
  <si>
    <t>16+</t>
  </si>
  <si>
    <t>Spanish</t>
  </si>
  <si>
    <t>Anurag Kashyap</t>
  </si>
  <si>
    <t>Ranbir Kapoor</t>
  </si>
  <si>
    <t>NFX-100002</t>
  </si>
  <si>
    <t>Crystal Frontier</t>
  </si>
  <si>
    <t>Romance</t>
  </si>
  <si>
    <t>South Korea</t>
  </si>
  <si>
    <t>2022-06-04</t>
  </si>
  <si>
    <t>PG-13</t>
  </si>
  <si>
    <t>English</t>
  </si>
  <si>
    <t>Quentin Tarantino</t>
  </si>
  <si>
    <t>Jennifer Lawrence</t>
  </si>
  <si>
    <t>NFX-100003</t>
  </si>
  <si>
    <t>Last Journey 6</t>
  </si>
  <si>
    <t>Adventure</t>
  </si>
  <si>
    <t>India</t>
  </si>
  <si>
    <t>2019-06-06</t>
  </si>
  <si>
    <t>PG</t>
  </si>
  <si>
    <t>French</t>
  </si>
  <si>
    <t>Christopher Nolan</t>
  </si>
  <si>
    <t>Timothée Chalamet</t>
  </si>
  <si>
    <t>NFX-100004</t>
  </si>
  <si>
    <t>Crystal Odyssey</t>
  </si>
  <si>
    <t>TV Show</t>
  </si>
  <si>
    <t>Thriller</t>
  </si>
  <si>
    <t>Canada</t>
  </si>
  <si>
    <t>2022-01-02</t>
  </si>
  <si>
    <t>G</t>
  </si>
  <si>
    <t>NFX-100005</t>
  </si>
  <si>
    <t>Dark Archive 8</t>
  </si>
  <si>
    <t>2021-12-14</t>
  </si>
  <si>
    <t>Rajkumar Hirani</t>
  </si>
  <si>
    <t>Tom Hardy</t>
  </si>
  <si>
    <t>NFX-100006</t>
  </si>
  <si>
    <t>Broken Empire</t>
  </si>
  <si>
    <t>Crime</t>
  </si>
  <si>
    <t>2023-11-15</t>
  </si>
  <si>
    <t>Brad Pitt</t>
  </si>
  <si>
    <t>NFX-100007</t>
  </si>
  <si>
    <t>Broken Legacy</t>
  </si>
  <si>
    <t>Action</t>
  </si>
  <si>
    <t>2022-06-28</t>
  </si>
  <si>
    <t>Japanese</t>
  </si>
  <si>
    <t>Park Chan-wook</t>
  </si>
  <si>
    <t>Leonardo DiCaprio</t>
  </si>
  <si>
    <t>NFX-100008</t>
  </si>
  <si>
    <t>Silent Horizon</t>
  </si>
  <si>
    <t>2018-03-28</t>
  </si>
  <si>
    <t>Hindi</t>
  </si>
  <si>
    <t>Steven Spielberg</t>
  </si>
  <si>
    <t>NFX-100009</t>
  </si>
  <si>
    <t>Midnight Empire 5</t>
  </si>
  <si>
    <t>Fantasy</t>
  </si>
  <si>
    <t>Spain</t>
  </si>
  <si>
    <t>2019-11-09</t>
  </si>
  <si>
    <t>Guillermo del Toro</t>
  </si>
  <si>
    <t>Chris Evans</t>
  </si>
  <si>
    <t>NFX-100010</t>
  </si>
  <si>
    <t>Dark Legacy</t>
  </si>
  <si>
    <t>Horror</t>
  </si>
  <si>
    <t>USA</t>
  </si>
  <si>
    <t>2023-11-04</t>
  </si>
  <si>
    <t>Bong Joon-ho</t>
  </si>
  <si>
    <t>Emma Stone</t>
  </si>
  <si>
    <t>NFX-100011</t>
  </si>
  <si>
    <t>Hidden Frontier 1</t>
  </si>
  <si>
    <t>2019-01-27</t>
  </si>
  <si>
    <t>Korean</t>
  </si>
  <si>
    <t>Song Kang-ho</t>
  </si>
  <si>
    <t>NFX-100012</t>
  </si>
  <si>
    <t>Lost Storm</t>
  </si>
  <si>
    <t>Sci-Fi</t>
  </si>
  <si>
    <t>France</t>
  </si>
  <si>
    <t>2019-03-03</t>
  </si>
  <si>
    <t>Denis Villeneuve</t>
  </si>
  <si>
    <t>NFX-100013</t>
  </si>
  <si>
    <t>Shadow Odyssey 1</t>
  </si>
  <si>
    <t>Germany</t>
  </si>
  <si>
    <t>2023-04-12</t>
  </si>
  <si>
    <t>Ryan Gosling</t>
  </si>
  <si>
    <t>NFX-100014</t>
  </si>
  <si>
    <t>Last Legacy</t>
  </si>
  <si>
    <t>2021-02-03</t>
  </si>
  <si>
    <t>Martin Scorsese</t>
  </si>
  <si>
    <t>NFX-100015</t>
  </si>
  <si>
    <t>Last Frontier</t>
  </si>
  <si>
    <t>2020-07-27</t>
  </si>
  <si>
    <t>18+</t>
  </si>
  <si>
    <t>Zoya Akhtar</t>
  </si>
  <si>
    <t>NFX-100016</t>
  </si>
  <si>
    <t>Last Frontier 2</t>
  </si>
  <si>
    <t>2020-10-07</t>
  </si>
  <si>
    <t>NFX-100017</t>
  </si>
  <si>
    <t>Hidden Journey 6</t>
  </si>
  <si>
    <t>Documentary</t>
  </si>
  <si>
    <t>2023-10-22</t>
  </si>
  <si>
    <t>Deepika Padukone</t>
  </si>
  <si>
    <t>NFX-100018</t>
  </si>
  <si>
    <t>Burning Legacy</t>
  </si>
  <si>
    <t>Japan</t>
  </si>
  <si>
    <t>2022-06-05</t>
  </si>
  <si>
    <t>Sanjay Leela Bhansali</t>
  </si>
  <si>
    <t>NFX-100019</t>
  </si>
  <si>
    <t>Fading Horizon 1</t>
  </si>
  <si>
    <t>2024-06-25</t>
  </si>
  <si>
    <t>Robert Downey Jr.</t>
  </si>
  <si>
    <t>NFX-100020</t>
  </si>
  <si>
    <t>Fading Echo 3</t>
  </si>
  <si>
    <t>2018-04-16</t>
  </si>
  <si>
    <t>James Cameron</t>
  </si>
  <si>
    <t>NFX-100021</t>
  </si>
  <si>
    <t>Fading Valley</t>
  </si>
  <si>
    <t>2018-05-26</t>
  </si>
  <si>
    <t>NFX-100022</t>
  </si>
  <si>
    <t>Secret Storm 7</t>
  </si>
  <si>
    <t>2018-06-21</t>
  </si>
  <si>
    <t>NFX-100023</t>
  </si>
  <si>
    <t>Secret Journey</t>
  </si>
  <si>
    <t>Comedy</t>
  </si>
  <si>
    <t>2022-05-17</t>
  </si>
  <si>
    <t>NFX-100024</t>
  </si>
  <si>
    <t>Midnight Legacy 3</t>
  </si>
  <si>
    <t>2019-04-29</t>
  </si>
  <si>
    <t>Greta Gerwig</t>
  </si>
  <si>
    <t>NFX-100025</t>
  </si>
  <si>
    <t>Last Protocol 3</t>
  </si>
  <si>
    <t>2022-01-18</t>
  </si>
  <si>
    <t>NFX-100026</t>
  </si>
  <si>
    <t>Last Frontier 8</t>
  </si>
  <si>
    <t>2022-09-04</t>
  </si>
  <si>
    <t>Scarlett Johansson</t>
  </si>
  <si>
    <t>NFX-100027</t>
  </si>
  <si>
    <t>Rising Protocol</t>
  </si>
  <si>
    <t>2018-08-27</t>
  </si>
  <si>
    <t>Ridley Scott</t>
  </si>
  <si>
    <t>Shah Rukh Khan</t>
  </si>
  <si>
    <t>NFX-100028</t>
  </si>
  <si>
    <t>Hidden Code</t>
  </si>
  <si>
    <t>2024-06-12</t>
  </si>
  <si>
    <t>NFX-100029</t>
  </si>
  <si>
    <t>Burning Chronicles 6</t>
  </si>
  <si>
    <t>2018-12-21</t>
  </si>
  <si>
    <t>NFX-100030</t>
  </si>
  <si>
    <t>Broken Chronicles</t>
  </si>
  <si>
    <t>2018-07-15</t>
  </si>
  <si>
    <t>NFX-100031</t>
  </si>
  <si>
    <t>Shadow Journey 6</t>
  </si>
  <si>
    <t>2023-10-18</t>
  </si>
  <si>
    <t>German</t>
  </si>
  <si>
    <t>NFX-100032</t>
  </si>
  <si>
    <t>Shadow Valley 1</t>
  </si>
  <si>
    <t>2024-05-29</t>
  </si>
  <si>
    <t>NFX-100033</t>
  </si>
  <si>
    <t>Dark Frontier</t>
  </si>
  <si>
    <t>2020-08-18</t>
  </si>
  <si>
    <t>Lee Jung-jae</t>
  </si>
  <si>
    <t>NFX-100034</t>
  </si>
  <si>
    <t>Secret Archive</t>
  </si>
  <si>
    <t>Australia</t>
  </si>
  <si>
    <t>2023-04-08</t>
  </si>
  <si>
    <t>NFX-100035</t>
  </si>
  <si>
    <t>Crystal Journey</t>
  </si>
  <si>
    <t>2022-02-17</t>
  </si>
  <si>
    <t>NFX-100036</t>
  </si>
  <si>
    <t>Fading Signal</t>
  </si>
  <si>
    <t>2022-10-09</t>
  </si>
  <si>
    <t>NFX-100037</t>
  </si>
  <si>
    <t>Lost Journey</t>
  </si>
  <si>
    <t>2023-08-06</t>
  </si>
  <si>
    <t>NFX-100038</t>
  </si>
  <si>
    <t>Fading Chronicles</t>
  </si>
  <si>
    <t>2024-06-20</t>
  </si>
  <si>
    <t>NFX-100039</t>
  </si>
  <si>
    <t>Dark Signal</t>
  </si>
  <si>
    <t>2023-06-04</t>
  </si>
  <si>
    <t>NFX-100040</t>
  </si>
  <si>
    <t>Last Journey</t>
  </si>
  <si>
    <t>2021-04-13</t>
  </si>
  <si>
    <t>NFX-100041</t>
  </si>
  <si>
    <t>Silent Empire</t>
  </si>
  <si>
    <t>2024-07-04</t>
  </si>
  <si>
    <t>NFX-100042</t>
  </si>
  <si>
    <t>Iron Legacy</t>
  </si>
  <si>
    <t>2024-03-31</t>
  </si>
  <si>
    <t>NFX-100043</t>
  </si>
  <si>
    <t>Hidden Frontier</t>
  </si>
  <si>
    <t>2020-07-05</t>
  </si>
  <si>
    <t>NFX-100044</t>
  </si>
  <si>
    <t>Rising Signal</t>
  </si>
  <si>
    <t>2023-06-19</t>
  </si>
  <si>
    <t>NFX-100045</t>
  </si>
  <si>
    <t>Fading Frontier</t>
  </si>
  <si>
    <t>2018-10-11</t>
  </si>
  <si>
    <t>NFX-100046</t>
  </si>
  <si>
    <t>Rising Storm</t>
  </si>
  <si>
    <t>2019-11-15</t>
  </si>
  <si>
    <t>NFX-100047</t>
  </si>
  <si>
    <t>Iron Chronicles</t>
  </si>
  <si>
    <t>2018-07-09</t>
  </si>
  <si>
    <t>NFX-100048</t>
  </si>
  <si>
    <t>Lost Frontier 2</t>
  </si>
  <si>
    <t>2023-09-11</t>
  </si>
  <si>
    <t>NFX-100049</t>
  </si>
  <si>
    <t>Secret Horizon 9</t>
  </si>
  <si>
    <t>2021-07-30</t>
  </si>
  <si>
    <t>NFX-100050</t>
  </si>
  <si>
    <t>Silent Signal 9</t>
  </si>
  <si>
    <t>2021-05-13</t>
  </si>
  <si>
    <t>NFX-100051</t>
  </si>
  <si>
    <t>Shadow Frontier</t>
  </si>
  <si>
    <t>2019-09-30</t>
  </si>
  <si>
    <t>NFX-100052</t>
  </si>
  <si>
    <t>Crystal Frontier 9</t>
  </si>
  <si>
    <t>2022-12-04</t>
  </si>
  <si>
    <t>NFX-100053</t>
  </si>
  <si>
    <t>Midnight Odyssey 8</t>
  </si>
  <si>
    <t>2018-01-08</t>
  </si>
  <si>
    <t>NFX-100054</t>
  </si>
  <si>
    <t>Rising Horizon</t>
  </si>
  <si>
    <t>2023-05-28</t>
  </si>
  <si>
    <t>NFX-100055</t>
  </si>
  <si>
    <t>Secret Odyssey</t>
  </si>
  <si>
    <t>2018-08-04</t>
  </si>
  <si>
    <t>NFX-100056</t>
  </si>
  <si>
    <t>Burning Journey 9</t>
  </si>
  <si>
    <t>2023-05-07</t>
  </si>
  <si>
    <t>NFX-100057</t>
  </si>
  <si>
    <t>Secret Valley</t>
  </si>
  <si>
    <t>2022-04-27</t>
  </si>
  <si>
    <t>NFX-100058</t>
  </si>
  <si>
    <t>Shadow Journey</t>
  </si>
  <si>
    <t>2022-02-24</t>
  </si>
  <si>
    <t>NFX-100059</t>
  </si>
  <si>
    <t>Fading Odyssey</t>
  </si>
  <si>
    <t>2022-02-21</t>
  </si>
  <si>
    <t>NFX-100060</t>
  </si>
  <si>
    <t>Shadow Horizon</t>
  </si>
  <si>
    <t>2024-07-15</t>
  </si>
  <si>
    <t>NFX-100061</t>
  </si>
  <si>
    <t>Secret Valley 9</t>
  </si>
  <si>
    <t>2022-06-24</t>
  </si>
  <si>
    <t>NFX-100062</t>
  </si>
  <si>
    <t>Iron Empire</t>
  </si>
  <si>
    <t>2023-07-24</t>
  </si>
  <si>
    <t>NFX-100063</t>
  </si>
  <si>
    <t>Broken Odyssey</t>
  </si>
  <si>
    <t>2019-05-22</t>
  </si>
  <si>
    <t>NFX-100064</t>
  </si>
  <si>
    <t>Dark Chronicles</t>
  </si>
  <si>
    <t>2019-05-04</t>
  </si>
  <si>
    <t>NFX-100065</t>
  </si>
  <si>
    <t>Burning Signal 4</t>
  </si>
  <si>
    <t>2019-04-24</t>
  </si>
  <si>
    <t>NFX-100066</t>
  </si>
  <si>
    <t>Fading Frontier 5</t>
  </si>
  <si>
    <t>2024-02-12</t>
  </si>
  <si>
    <t>NFX-100067</t>
  </si>
  <si>
    <t>Dark Empire</t>
  </si>
  <si>
    <t>2021-09-03</t>
  </si>
  <si>
    <t>NFX-100068</t>
  </si>
  <si>
    <t>Iron Archive</t>
  </si>
  <si>
    <t>2023-03-18</t>
  </si>
  <si>
    <t>NFX-100069</t>
  </si>
  <si>
    <t>Shadow Archive 8</t>
  </si>
  <si>
    <t>NFX-100070</t>
  </si>
  <si>
    <t>Shadow Chronicles</t>
  </si>
  <si>
    <t>2022-10-31</t>
  </si>
  <si>
    <t>NFX-100071</t>
  </si>
  <si>
    <t>Burning Code</t>
  </si>
  <si>
    <t>2019-11-14</t>
  </si>
  <si>
    <t>NFX-100072</t>
  </si>
  <si>
    <t>Hidden Archive</t>
  </si>
  <si>
    <t>2020-01-21</t>
  </si>
  <si>
    <t>NFX-100073</t>
  </si>
  <si>
    <t>Iron Odyssey</t>
  </si>
  <si>
    <t>2024-06-21</t>
  </si>
  <si>
    <t>NFX-100074</t>
  </si>
  <si>
    <t>Dark Odyssey 7</t>
  </si>
  <si>
    <t>2018-08-23</t>
  </si>
  <si>
    <t>NFX-100075</t>
  </si>
  <si>
    <t>Iron Valley 3</t>
  </si>
  <si>
    <t>2022-05-13</t>
  </si>
  <si>
    <t>NFX-100076</t>
  </si>
  <si>
    <t>Golden Valley 3</t>
  </si>
  <si>
    <t>2019-10-09</t>
  </si>
  <si>
    <t>NFX-100077</t>
  </si>
  <si>
    <t>Burning Horizon</t>
  </si>
  <si>
    <t>2020-08-09</t>
  </si>
  <si>
    <t>NFX-100078</t>
  </si>
  <si>
    <t>Broken Horizon 2</t>
  </si>
  <si>
    <t>2023-08-18</t>
  </si>
  <si>
    <t>NFX-100079</t>
  </si>
  <si>
    <t>Shadow City 6</t>
  </si>
  <si>
    <t>2019-04-03</t>
  </si>
  <si>
    <t>NFX-100080</t>
  </si>
  <si>
    <t>Shadow Archive 3</t>
  </si>
  <si>
    <t>2018-08-20</t>
  </si>
  <si>
    <t>NFX-100081</t>
  </si>
  <si>
    <t>Dark Odyssey 9</t>
  </si>
  <si>
    <t>2024-05-10</t>
  </si>
  <si>
    <t>NFX-100082</t>
  </si>
  <si>
    <t>Lost Storm 7</t>
  </si>
  <si>
    <t>2021-06-04</t>
  </si>
  <si>
    <t>NFX-100083</t>
  </si>
  <si>
    <t>Silent Legacy</t>
  </si>
  <si>
    <t>2022-08-22</t>
  </si>
  <si>
    <t>NFX-100084</t>
  </si>
  <si>
    <t>Fading Empire 8</t>
  </si>
  <si>
    <t>2022-02-02</t>
  </si>
  <si>
    <t>NFX-100085</t>
  </si>
  <si>
    <t>Secret Horizon 2</t>
  </si>
  <si>
    <t>2021-09-12</t>
  </si>
  <si>
    <t>NFX-100086</t>
  </si>
  <si>
    <t>Golden Valley</t>
  </si>
  <si>
    <t>2019-04-17</t>
  </si>
  <si>
    <t>NFX-100087</t>
  </si>
  <si>
    <t>Golden Protocol</t>
  </si>
  <si>
    <t>2019-01-22</t>
  </si>
  <si>
    <t>NFX-100088</t>
  </si>
  <si>
    <t>Dark Journey 1</t>
  </si>
  <si>
    <t>NFX-100089</t>
  </si>
  <si>
    <t>Broken Horizon 5</t>
  </si>
  <si>
    <t>2024-05-15</t>
  </si>
  <si>
    <t>NFX-100090</t>
  </si>
  <si>
    <t>Crystal Protocol</t>
  </si>
  <si>
    <t>2021-08-03</t>
  </si>
  <si>
    <t>NFX-100091</t>
  </si>
  <si>
    <t>Hidden Horizon</t>
  </si>
  <si>
    <t>2019-02-20</t>
  </si>
  <si>
    <t>NFX-100092</t>
  </si>
  <si>
    <t>Burning Echo 5</t>
  </si>
  <si>
    <t>2022-05-04</t>
  </si>
  <si>
    <t>NFX-100093</t>
  </si>
  <si>
    <t>Hidden Protocol 2</t>
  </si>
  <si>
    <t>2020-01-16</t>
  </si>
  <si>
    <t>NFX-100094</t>
  </si>
  <si>
    <t>Shadow Frontier 4</t>
  </si>
  <si>
    <t>2019-03-22</t>
  </si>
  <si>
    <t>NFX-100095</t>
  </si>
  <si>
    <t>Midnight Valley 3</t>
  </si>
  <si>
    <t>2020-05-20</t>
  </si>
  <si>
    <t>NFX-100096</t>
  </si>
  <si>
    <t>Last Frontier 4</t>
  </si>
  <si>
    <t>2022-04-22</t>
  </si>
  <si>
    <t>NFX-100097</t>
  </si>
  <si>
    <t>Last Valley 4</t>
  </si>
  <si>
    <t>2023-02-02</t>
  </si>
  <si>
    <t>NFX-100098</t>
  </si>
  <si>
    <t>Golden Horizon 5</t>
  </si>
  <si>
    <t>2022-07-29</t>
  </si>
  <si>
    <t>NFX-100099</t>
  </si>
  <si>
    <t>Golden Legacy 1</t>
  </si>
  <si>
    <t>2022-11-03</t>
  </si>
  <si>
    <t>NFX-100100</t>
  </si>
  <si>
    <t>Silent Odyssey 4</t>
  </si>
  <si>
    <t>2022-01-11</t>
  </si>
  <si>
    <t>NFX-100101</t>
  </si>
  <si>
    <t>Secret Signal</t>
  </si>
  <si>
    <t>2019-03-19</t>
  </si>
  <si>
    <t>NFX-100102</t>
  </si>
  <si>
    <t>Broken Chronicles 1</t>
  </si>
  <si>
    <t>2021-12-06</t>
  </si>
  <si>
    <t>NFX-100103</t>
  </si>
  <si>
    <t>Iron City</t>
  </si>
  <si>
    <t>2024-03-21</t>
  </si>
  <si>
    <t>NFX-100104</t>
  </si>
  <si>
    <t>Iron Echo</t>
  </si>
  <si>
    <t>2020-06-29</t>
  </si>
  <si>
    <t>NFX-100105</t>
  </si>
  <si>
    <t>Crystal Echo</t>
  </si>
  <si>
    <t>2023-06-17</t>
  </si>
  <si>
    <t>NFX-100106</t>
  </si>
  <si>
    <t>Crystal Signal</t>
  </si>
  <si>
    <t>2021-09-18</t>
  </si>
  <si>
    <t>NFX-100107</t>
  </si>
  <si>
    <t>Rising City 2</t>
  </si>
  <si>
    <t>2021-02-02</t>
  </si>
  <si>
    <t>NFX-100108</t>
  </si>
  <si>
    <t>Lost Code 6</t>
  </si>
  <si>
    <t>2020-07-15</t>
  </si>
  <si>
    <t>NFX-100109</t>
  </si>
  <si>
    <t>Hidden Chronicles 4</t>
  </si>
  <si>
    <t>2021-01-03</t>
  </si>
  <si>
    <t>NFX-100110</t>
  </si>
  <si>
    <t>Fading Signal 3</t>
  </si>
  <si>
    <t>2019-04-14</t>
  </si>
  <si>
    <t>NFX-100111</t>
  </si>
  <si>
    <t>Hidden Protocol 5</t>
  </si>
  <si>
    <t>2021-01-17</t>
  </si>
  <si>
    <t>NFX-100112</t>
  </si>
  <si>
    <t>Fading Horizon</t>
  </si>
  <si>
    <t>2024-01-14</t>
  </si>
  <si>
    <t>NFX-100113</t>
  </si>
  <si>
    <t>Fading Signal 9</t>
  </si>
  <si>
    <t>2020-04-17</t>
  </si>
  <si>
    <t>NFX-100114</t>
  </si>
  <si>
    <t>Lost Echo</t>
  </si>
  <si>
    <t>2018-03-16</t>
  </si>
  <si>
    <t>NFX-100115</t>
  </si>
  <si>
    <t>Fading Code</t>
  </si>
  <si>
    <t>2019-03-21</t>
  </si>
  <si>
    <t>NFX-100116</t>
  </si>
  <si>
    <t>Lost Chronicles</t>
  </si>
  <si>
    <t>2021-03-03</t>
  </si>
  <si>
    <t>NFX-100117</t>
  </si>
  <si>
    <t>Shadow Storm</t>
  </si>
  <si>
    <t>NFX-100118</t>
  </si>
  <si>
    <t>Iron Horizon</t>
  </si>
  <si>
    <t>2023-11-23</t>
  </si>
  <si>
    <t>NFX-100119</t>
  </si>
  <si>
    <t>Secret Odyssey 9</t>
  </si>
  <si>
    <t>2018-09-05</t>
  </si>
  <si>
    <t>NFX-100120</t>
  </si>
  <si>
    <t>Golden City</t>
  </si>
  <si>
    <t>2023-08-16</t>
  </si>
  <si>
    <t>NFX-100121</t>
  </si>
  <si>
    <t>Midnight Echo</t>
  </si>
  <si>
    <t>2022-08-11</t>
  </si>
  <si>
    <t>NFX-100122</t>
  </si>
  <si>
    <t>Dark Signal 1</t>
  </si>
  <si>
    <t>2022-07-01</t>
  </si>
  <si>
    <t>NFX-100123</t>
  </si>
  <si>
    <t>Broken Code 9</t>
  </si>
  <si>
    <t>2022-12-31</t>
  </si>
  <si>
    <t>NFX-100124</t>
  </si>
  <si>
    <t>Silent Frontier 5</t>
  </si>
  <si>
    <t>2023-07-19</t>
  </si>
  <si>
    <t>NFX-100125</t>
  </si>
  <si>
    <t>Lost Frontier</t>
  </si>
  <si>
    <t>2019-12-26</t>
  </si>
  <si>
    <t>NFX-100126</t>
  </si>
  <si>
    <t>Crystal Horizon</t>
  </si>
  <si>
    <t>2020-08-06</t>
  </si>
  <si>
    <t>NFX-100127</t>
  </si>
  <si>
    <t>Broken Frontier 3</t>
  </si>
  <si>
    <t>2018-06-25</t>
  </si>
  <si>
    <t>NFX-100128</t>
  </si>
  <si>
    <t>Last Echo 9</t>
  </si>
  <si>
    <t>2023-04-06</t>
  </si>
  <si>
    <t>NFX-100129</t>
  </si>
  <si>
    <t>Secret Archive 1</t>
  </si>
  <si>
    <t>2018-10-27</t>
  </si>
  <si>
    <t>NFX-100130</t>
  </si>
  <si>
    <t>Shadow Frontier 1</t>
  </si>
  <si>
    <t>2020-08-05</t>
  </si>
  <si>
    <t>NFX-100131</t>
  </si>
  <si>
    <t>Golden Odyssey</t>
  </si>
  <si>
    <t>2021-07-02</t>
  </si>
  <si>
    <t>NFX-100132</t>
  </si>
  <si>
    <t>Silent Echo</t>
  </si>
  <si>
    <t>2023-07-20</t>
  </si>
  <si>
    <t>NFX-100133</t>
  </si>
  <si>
    <t>Silent Protocol 6</t>
  </si>
  <si>
    <t>2020-02-22</t>
  </si>
  <si>
    <t>NFX-100134</t>
  </si>
  <si>
    <t>Iron Storm</t>
  </si>
  <si>
    <t>2020-09-23</t>
  </si>
  <si>
    <t>NFX-100135</t>
  </si>
  <si>
    <t>Shadow City</t>
  </si>
  <si>
    <t>2020-01-11</t>
  </si>
  <si>
    <t>NFX-100136</t>
  </si>
  <si>
    <t>Shadow Archive</t>
  </si>
  <si>
    <t>2020-12-30</t>
  </si>
  <si>
    <t>NFX-100137</t>
  </si>
  <si>
    <t>Crystal Chronicles</t>
  </si>
  <si>
    <t>2023-06-01</t>
  </si>
  <si>
    <t>NFX-100138</t>
  </si>
  <si>
    <t>Golden Journey 2</t>
  </si>
  <si>
    <t>2021-06-20</t>
  </si>
  <si>
    <t>NFX-100139</t>
  </si>
  <si>
    <t>Broken Empire 5</t>
  </si>
  <si>
    <t>2024-06-17</t>
  </si>
  <si>
    <t>NFX-100140</t>
  </si>
  <si>
    <t>Dark Odyssey</t>
  </si>
  <si>
    <t>2021-09-04</t>
  </si>
  <si>
    <t>NFX-100141</t>
  </si>
  <si>
    <t>Shadow Archive 6</t>
  </si>
  <si>
    <t>2024-08-29</t>
  </si>
  <si>
    <t>NFX-100142</t>
  </si>
  <si>
    <t>Broken Storm</t>
  </si>
  <si>
    <t>2023-10-21</t>
  </si>
  <si>
    <t>NFX-100143</t>
  </si>
  <si>
    <t>Dark Journey 5</t>
  </si>
  <si>
    <t>2020-04-30</t>
  </si>
  <si>
    <t>NFX-100144</t>
  </si>
  <si>
    <t>Silent Valley</t>
  </si>
  <si>
    <t>2024-07-31</t>
  </si>
  <si>
    <t>NFX-100145</t>
  </si>
  <si>
    <t>Rising Echo</t>
  </si>
  <si>
    <t>2022-07-16</t>
  </si>
  <si>
    <t>NFX-100146</t>
  </si>
  <si>
    <t>Midnight Frontier</t>
  </si>
  <si>
    <t>2022-12-09</t>
  </si>
  <si>
    <t>NFX-100147</t>
  </si>
  <si>
    <t>Golden Echo 9</t>
  </si>
  <si>
    <t>2024-07-22</t>
  </si>
  <si>
    <t>NFX-100148</t>
  </si>
  <si>
    <t>Hidden Frontier 5</t>
  </si>
  <si>
    <t>2018-10-02</t>
  </si>
  <si>
    <t>NFX-100149</t>
  </si>
  <si>
    <t>Iron Horizon 9</t>
  </si>
  <si>
    <t>2019-10-23</t>
  </si>
  <si>
    <t>NFX-100150</t>
  </si>
  <si>
    <t>Crystal Code</t>
  </si>
  <si>
    <t>2023-05-24</t>
  </si>
  <si>
    <t>NFX-100151</t>
  </si>
  <si>
    <t>Crystal Legacy</t>
  </si>
  <si>
    <t>2019-08-12</t>
  </si>
  <si>
    <t>NFX-100152</t>
  </si>
  <si>
    <t>Rising Signal 4</t>
  </si>
  <si>
    <t>2019-01-15</t>
  </si>
  <si>
    <t>NFX-100153</t>
  </si>
  <si>
    <t>Last Archive</t>
  </si>
  <si>
    <t>2024-03-07</t>
  </si>
  <si>
    <t>NFX-100154</t>
  </si>
  <si>
    <t>Rising Valley</t>
  </si>
  <si>
    <t>2023-06-25</t>
  </si>
  <si>
    <t>NFX-100155</t>
  </si>
  <si>
    <t>Secret Chronicles</t>
  </si>
  <si>
    <t>NFX-100156</t>
  </si>
  <si>
    <t>Last Odyssey 9</t>
  </si>
  <si>
    <t>2022-01-01</t>
  </si>
  <si>
    <t>NFX-100157</t>
  </si>
  <si>
    <t>Lost Empire</t>
  </si>
  <si>
    <t>2018-12-04</t>
  </si>
  <si>
    <t>NFX-100158</t>
  </si>
  <si>
    <t>Rising Code</t>
  </si>
  <si>
    <t>2023-05-18</t>
  </si>
  <si>
    <t>NFX-100159</t>
  </si>
  <si>
    <t>Fading City</t>
  </si>
  <si>
    <t>2022-10-30</t>
  </si>
  <si>
    <t>NFX-100160</t>
  </si>
  <si>
    <t>Burning Valley</t>
  </si>
  <si>
    <t>2019-05-01</t>
  </si>
  <si>
    <t>NFX-100161</t>
  </si>
  <si>
    <t>Golden Empire</t>
  </si>
  <si>
    <t>2019-10-03</t>
  </si>
  <si>
    <t>NFX-100162</t>
  </si>
  <si>
    <t>Last Chronicles 3</t>
  </si>
  <si>
    <t>2022-09-06</t>
  </si>
  <si>
    <t>NFX-100163</t>
  </si>
  <si>
    <t>Hidden Empire 4</t>
  </si>
  <si>
    <t>2020-08-11</t>
  </si>
  <si>
    <t>NFX-100164</t>
  </si>
  <si>
    <t>Rising Frontier</t>
  </si>
  <si>
    <t>2021-02-19</t>
  </si>
  <si>
    <t>NFX-100165</t>
  </si>
  <si>
    <t>Fading Journey</t>
  </si>
  <si>
    <t>2018-09-22</t>
  </si>
  <si>
    <t>NFX-100166</t>
  </si>
  <si>
    <t>Fading Storm</t>
  </si>
  <si>
    <t>2023-09-16</t>
  </si>
  <si>
    <t>NFX-100167</t>
  </si>
  <si>
    <t>Broken Protocol 4</t>
  </si>
  <si>
    <t>2022-11-04</t>
  </si>
  <si>
    <t>NFX-100168</t>
  </si>
  <si>
    <t>Burning Archive</t>
  </si>
  <si>
    <t>2019-09-13</t>
  </si>
  <si>
    <t>NFX-100169</t>
  </si>
  <si>
    <t>Golden Code</t>
  </si>
  <si>
    <t>2018-07-08</t>
  </si>
  <si>
    <t>NFX-100170</t>
  </si>
  <si>
    <t>Iron Chronicles 3</t>
  </si>
  <si>
    <t>2019-07-11</t>
  </si>
  <si>
    <t>NFX-100171</t>
  </si>
  <si>
    <t>Fading Chronicles 8</t>
  </si>
  <si>
    <t>NFX-100172</t>
  </si>
  <si>
    <t>Midnight Odyssey 2</t>
  </si>
  <si>
    <t>2024-06-15</t>
  </si>
  <si>
    <t>NFX-100173</t>
  </si>
  <si>
    <t>Secret Empire</t>
  </si>
  <si>
    <t>2020-11-11</t>
  </si>
  <si>
    <t>NFX-100174</t>
  </si>
  <si>
    <t>Midnight Frontier 3</t>
  </si>
  <si>
    <t>2024-03-18</t>
  </si>
  <si>
    <t>NFX-100175</t>
  </si>
  <si>
    <t>Hidden Horizon 5</t>
  </si>
  <si>
    <t>2020-01-01</t>
  </si>
  <si>
    <t>NFX-100176</t>
  </si>
  <si>
    <t>Midnight Empire 9</t>
  </si>
  <si>
    <t>2024-10-23</t>
  </si>
  <si>
    <t>NFX-100177</t>
  </si>
  <si>
    <t>Shadow Valley 3</t>
  </si>
  <si>
    <t>2023-05-29</t>
  </si>
  <si>
    <t>NFX-100178</t>
  </si>
  <si>
    <t>Midnight Protocol</t>
  </si>
  <si>
    <t>2018-01-17</t>
  </si>
  <si>
    <t>NFX-100179</t>
  </si>
  <si>
    <t>Silent Empire 2</t>
  </si>
  <si>
    <t>2024-02-11</t>
  </si>
  <si>
    <t>NFX-100180</t>
  </si>
  <si>
    <t>Rising Echo 8</t>
  </si>
  <si>
    <t>2023-05-09</t>
  </si>
  <si>
    <t>NFX-100181</t>
  </si>
  <si>
    <t>Shadow Legacy</t>
  </si>
  <si>
    <t>2019-09-20</t>
  </si>
  <si>
    <t>NFX-100182</t>
  </si>
  <si>
    <t>Golden Legacy</t>
  </si>
  <si>
    <t>2024-06-14</t>
  </si>
  <si>
    <t>NFX-100183</t>
  </si>
  <si>
    <t>Shadow Frontier 3</t>
  </si>
  <si>
    <t>2019-11-19</t>
  </si>
  <si>
    <t>NFX-100184</t>
  </si>
  <si>
    <t>Midnight Journey</t>
  </si>
  <si>
    <t>2021-04-26</t>
  </si>
  <si>
    <t>NFX-100185</t>
  </si>
  <si>
    <t>Last Code 5</t>
  </si>
  <si>
    <t>2019-08-24</t>
  </si>
  <si>
    <t>NFX-100186</t>
  </si>
  <si>
    <t>Golden Horizon</t>
  </si>
  <si>
    <t>2024-07-13</t>
  </si>
  <si>
    <t>NFX-100187</t>
  </si>
  <si>
    <t>Crystal Empire 9</t>
  </si>
  <si>
    <t>2019-12-03</t>
  </si>
  <si>
    <t>NFX-100188</t>
  </si>
  <si>
    <t>Rising Code 4</t>
  </si>
  <si>
    <t>2018-11-20</t>
  </si>
  <si>
    <t>NFX-100189</t>
  </si>
  <si>
    <t>Fading Journey 7</t>
  </si>
  <si>
    <t>2023-11-10</t>
  </si>
  <si>
    <t>NFX-100190</t>
  </si>
  <si>
    <t>Fading Echo</t>
  </si>
  <si>
    <t>NFX-100191</t>
  </si>
  <si>
    <t>Rising Storm 4</t>
  </si>
  <si>
    <t>2018-05-25</t>
  </si>
  <si>
    <t>NFX-100192</t>
  </si>
  <si>
    <t>Burning Journey 7</t>
  </si>
  <si>
    <t>2023-06-02</t>
  </si>
  <si>
    <t>NFX-100193</t>
  </si>
  <si>
    <t>Burning Valley 7</t>
  </si>
  <si>
    <t>2021-01-01</t>
  </si>
  <si>
    <t>NFX-100194</t>
  </si>
  <si>
    <t>Lost Valley</t>
  </si>
  <si>
    <t>2020-03-24</t>
  </si>
  <si>
    <t>NFX-100195</t>
  </si>
  <si>
    <t>Shadow Storm 3</t>
  </si>
  <si>
    <t>2018-03-19</t>
  </si>
  <si>
    <t>NFX-100196</t>
  </si>
  <si>
    <t>Burning Chronicles</t>
  </si>
  <si>
    <t>2023-04-22</t>
  </si>
  <si>
    <t>NFX-100197</t>
  </si>
  <si>
    <t>Crystal Storm</t>
  </si>
  <si>
    <t>2018-06-05</t>
  </si>
  <si>
    <t>NFX-100198</t>
  </si>
  <si>
    <t>Dark Storm</t>
  </si>
  <si>
    <t>2018-07-13</t>
  </si>
  <si>
    <t>NFX-100199</t>
  </si>
  <si>
    <t>Secret City 2</t>
  </si>
  <si>
    <t>2023-08-28</t>
  </si>
  <si>
    <t>NFX-100200</t>
  </si>
  <si>
    <t>Shadow Signal 2</t>
  </si>
  <si>
    <t>2022-06-29</t>
  </si>
  <si>
    <t>NFX-100201</t>
  </si>
  <si>
    <t>Broken City</t>
  </si>
  <si>
    <t>2022-09-30</t>
  </si>
  <si>
    <t>NFX-100202</t>
  </si>
  <si>
    <t>Hidden Signal</t>
  </si>
  <si>
    <t>2024-10-16</t>
  </si>
  <si>
    <t>NFX-100203</t>
  </si>
  <si>
    <t>Fading Legacy</t>
  </si>
  <si>
    <t>2020-02-14</t>
  </si>
  <si>
    <t>NFX-100204</t>
  </si>
  <si>
    <t>Burning Legacy 2</t>
  </si>
  <si>
    <t>2023-02-04</t>
  </si>
  <si>
    <t>NFX-100205</t>
  </si>
  <si>
    <t>Hidden Echo 7</t>
  </si>
  <si>
    <t>2018-06-29</t>
  </si>
  <si>
    <t>NFX-100206</t>
  </si>
  <si>
    <t>Golden Signal 9</t>
  </si>
  <si>
    <t>2018-12-26</t>
  </si>
  <si>
    <t>NFX-100207</t>
  </si>
  <si>
    <t>Dark Horizon</t>
  </si>
  <si>
    <t>2019-07-06</t>
  </si>
  <si>
    <t>NFX-100208</t>
  </si>
  <si>
    <t>Burning Empire</t>
  </si>
  <si>
    <t>2022-01-19</t>
  </si>
  <si>
    <t>NFX-100209</t>
  </si>
  <si>
    <t>Iron Protocol</t>
  </si>
  <si>
    <t>2022-12-22</t>
  </si>
  <si>
    <t>NFX-100210</t>
  </si>
  <si>
    <t>Hidden Echo 4</t>
  </si>
  <si>
    <t>2020-04-13</t>
  </si>
  <si>
    <t>NFX-100211</t>
  </si>
  <si>
    <t>Broken Valley</t>
  </si>
  <si>
    <t>2020-10-29</t>
  </si>
  <si>
    <t>NFX-100212</t>
  </si>
  <si>
    <t>Rising Storm 1</t>
  </si>
  <si>
    <t>2020-01-07</t>
  </si>
  <si>
    <t>NFX-100213</t>
  </si>
  <si>
    <t>Fading Protocol 9</t>
  </si>
  <si>
    <t>2018-01-14</t>
  </si>
  <si>
    <t>NFX-100214</t>
  </si>
  <si>
    <t>Dark City 6</t>
  </si>
  <si>
    <t>2020-08-08</t>
  </si>
  <si>
    <t>NFX-100215</t>
  </si>
  <si>
    <t>Burning Echo</t>
  </si>
  <si>
    <t>2018-04-11</t>
  </si>
  <si>
    <t>NFX-100216</t>
  </si>
  <si>
    <t>Midnight Storm 2</t>
  </si>
  <si>
    <t>2020-10-09</t>
  </si>
  <si>
    <t>NFX-100217</t>
  </si>
  <si>
    <t>Crystal City</t>
  </si>
  <si>
    <t>2021-06-11</t>
  </si>
  <si>
    <t>NFX-100218</t>
  </si>
  <si>
    <t>Midnight Horizon 5</t>
  </si>
  <si>
    <t>2022-11-13</t>
  </si>
  <si>
    <t>NFX-100219</t>
  </si>
  <si>
    <t>Broken Valley 3</t>
  </si>
  <si>
    <t>2020-03-26</t>
  </si>
  <si>
    <t>NFX-100220</t>
  </si>
  <si>
    <t>Golden Archive 4</t>
  </si>
  <si>
    <t>2020-02-18</t>
  </si>
  <si>
    <t>NFX-100221</t>
  </si>
  <si>
    <t>Rising Odyssey 9</t>
  </si>
  <si>
    <t>2022-08-12</t>
  </si>
  <si>
    <t>NFX-100222</t>
  </si>
  <si>
    <t>Secret Horizon 4</t>
  </si>
  <si>
    <t>2018-10-13</t>
  </si>
  <si>
    <t>NFX-100223</t>
  </si>
  <si>
    <t>Lost Legacy 2</t>
  </si>
  <si>
    <t>NFX-100224</t>
  </si>
  <si>
    <t>Secret Storm</t>
  </si>
  <si>
    <t>2022-07-12</t>
  </si>
  <si>
    <t>NFX-100225</t>
  </si>
  <si>
    <t>Last Signal 5</t>
  </si>
  <si>
    <t>2022-08-21</t>
  </si>
  <si>
    <t>NFX-100226</t>
  </si>
  <si>
    <t>Burning Frontier 3</t>
  </si>
  <si>
    <t>2020-02-26</t>
  </si>
  <si>
    <t>NFX-100227</t>
  </si>
  <si>
    <t>Fading Frontier 4</t>
  </si>
  <si>
    <t>2019-06-29</t>
  </si>
  <si>
    <t>NFX-100228</t>
  </si>
  <si>
    <t>Lost Odyssey 5</t>
  </si>
  <si>
    <t>2022-12-11</t>
  </si>
  <si>
    <t>NFX-100229</t>
  </si>
  <si>
    <t>Dark Archive 5</t>
  </si>
  <si>
    <t>2020-09-08</t>
  </si>
  <si>
    <t>NFX-100230</t>
  </si>
  <si>
    <t>Hidden Archive 5</t>
  </si>
  <si>
    <t>2020-10-08</t>
  </si>
  <si>
    <t>NFX-100231</t>
  </si>
  <si>
    <t>Golden Chronicles 3</t>
  </si>
  <si>
    <t>2018-12-15</t>
  </si>
  <si>
    <t>NFX-100232</t>
  </si>
  <si>
    <t>Last Horizon</t>
  </si>
  <si>
    <t>2019-07-07</t>
  </si>
  <si>
    <t>NFX-100233</t>
  </si>
  <si>
    <t>Midnight Signal</t>
  </si>
  <si>
    <t>2024-09-06</t>
  </si>
  <si>
    <t>NFX-100234</t>
  </si>
  <si>
    <t>Burning Frontier</t>
  </si>
  <si>
    <t>2021-11-27</t>
  </si>
  <si>
    <t>NFX-100235</t>
  </si>
  <si>
    <t>Secret City</t>
  </si>
  <si>
    <t>2021-02-27</t>
  </si>
  <si>
    <t>NFX-100236</t>
  </si>
  <si>
    <t>Broken Archive</t>
  </si>
  <si>
    <t>2024-04-13</t>
  </si>
  <si>
    <t>NFX-100237</t>
  </si>
  <si>
    <t>Midnight Archive</t>
  </si>
  <si>
    <t>2023-09-07</t>
  </si>
  <si>
    <t>NFX-100238</t>
  </si>
  <si>
    <t>Silent Odyssey 6</t>
  </si>
  <si>
    <t>2019-07-01</t>
  </si>
  <si>
    <t>NFX-100239</t>
  </si>
  <si>
    <t>Broken Legacy 2</t>
  </si>
  <si>
    <t>2022-03-30</t>
  </si>
  <si>
    <t>NFX-100240</t>
  </si>
  <si>
    <t>Midnight Signal 2</t>
  </si>
  <si>
    <t>2023-03-22</t>
  </si>
  <si>
    <t>NFX-100241</t>
  </si>
  <si>
    <t>Broken Code</t>
  </si>
  <si>
    <t>2018-01-23</t>
  </si>
  <si>
    <t>NFX-100242</t>
  </si>
  <si>
    <t>Fading Archive 6</t>
  </si>
  <si>
    <t>2024-04-24</t>
  </si>
  <si>
    <t>NFX-100243</t>
  </si>
  <si>
    <t>Last Protocol</t>
  </si>
  <si>
    <t>2020-04-10</t>
  </si>
  <si>
    <t>NFX-100244</t>
  </si>
  <si>
    <t>Silent Horizon 2</t>
  </si>
  <si>
    <t>2023-11-18</t>
  </si>
  <si>
    <t>NFX-100245</t>
  </si>
  <si>
    <t>Burning Journey 1</t>
  </si>
  <si>
    <t>2023-10-20</t>
  </si>
  <si>
    <t>NFX-100246</t>
  </si>
  <si>
    <t>Broken Archive 1</t>
  </si>
  <si>
    <t>2020-07-26</t>
  </si>
  <si>
    <t>NFX-100247</t>
  </si>
  <si>
    <t>Rising Legacy 3</t>
  </si>
  <si>
    <t>2024-02-16</t>
  </si>
  <si>
    <t>NFX-100248</t>
  </si>
  <si>
    <t>Shadow Valley</t>
  </si>
  <si>
    <t>2018-04-14</t>
  </si>
  <si>
    <t>NFX-100249</t>
  </si>
  <si>
    <t>Crystal Echo 6</t>
  </si>
  <si>
    <t>2020-02-23</t>
  </si>
  <si>
    <t>NFX-100250</t>
  </si>
  <si>
    <t>Silent City</t>
  </si>
  <si>
    <t>2024-01-04</t>
  </si>
  <si>
    <t>NFX-100251</t>
  </si>
  <si>
    <t>Dark City</t>
  </si>
  <si>
    <t>2020-07-14</t>
  </si>
  <si>
    <t>NFX-100252</t>
  </si>
  <si>
    <t>Rising Frontier 7</t>
  </si>
  <si>
    <t>NFX-100253</t>
  </si>
  <si>
    <t>Silent Chronicles</t>
  </si>
  <si>
    <t>2019-04-18</t>
  </si>
  <si>
    <t>NFX-100254</t>
  </si>
  <si>
    <t>Golden Archive</t>
  </si>
  <si>
    <t>2021-05-29</t>
  </si>
  <si>
    <t>NFX-100255</t>
  </si>
  <si>
    <t>Lost Signal</t>
  </si>
  <si>
    <t>2020-12-31</t>
  </si>
  <si>
    <t>NFX-100256</t>
  </si>
  <si>
    <t>Hidden Echo</t>
  </si>
  <si>
    <t>2018-02-15</t>
  </si>
  <si>
    <t>NFX-100257</t>
  </si>
  <si>
    <t>Last Valley</t>
  </si>
  <si>
    <t>2020-10-23</t>
  </si>
  <si>
    <t>NFX-100258</t>
  </si>
  <si>
    <t>Hidden Code 5</t>
  </si>
  <si>
    <t>2021-10-05</t>
  </si>
  <si>
    <t>NFX-100259</t>
  </si>
  <si>
    <t>Hidden Legacy 5</t>
  </si>
  <si>
    <t>2019-12-09</t>
  </si>
  <si>
    <t>NFX-100260</t>
  </si>
  <si>
    <t>Midnight Odyssey 9</t>
  </si>
  <si>
    <t>2018-01-01</t>
  </si>
  <si>
    <t>NFX-100261</t>
  </si>
  <si>
    <t>Last Code 7</t>
  </si>
  <si>
    <t>2023-10-08</t>
  </si>
  <si>
    <t>NFX-100262</t>
  </si>
  <si>
    <t>Fading Journey 3</t>
  </si>
  <si>
    <t>2019-09-28</t>
  </si>
  <si>
    <t>NFX-100263</t>
  </si>
  <si>
    <t>Broken Horizon</t>
  </si>
  <si>
    <t>2022-11-27</t>
  </si>
  <si>
    <t>NFX-100264</t>
  </si>
  <si>
    <t>Dark Code</t>
  </si>
  <si>
    <t>2019-08-06</t>
  </si>
  <si>
    <t>NFX-100265</t>
  </si>
  <si>
    <t>Burning Storm 4</t>
  </si>
  <si>
    <t>2024-10-12</t>
  </si>
  <si>
    <t>NFX-100266</t>
  </si>
  <si>
    <t>Rising Protocol 9</t>
  </si>
  <si>
    <t>2021-11-01</t>
  </si>
  <si>
    <t>NFX-100267</t>
  </si>
  <si>
    <t>Broken Protocol</t>
  </si>
  <si>
    <t>2021-10-02</t>
  </si>
  <si>
    <t>NFX-100268</t>
  </si>
  <si>
    <t>Rising Valley 9</t>
  </si>
  <si>
    <t>NFX-100269</t>
  </si>
  <si>
    <t>Hidden Journey</t>
  </si>
  <si>
    <t>2021-05-10</t>
  </si>
  <si>
    <t>NFX-100270</t>
  </si>
  <si>
    <t>Hidden Protocol 3</t>
  </si>
  <si>
    <t>NFX-100271</t>
  </si>
  <si>
    <t>Lost Odyssey</t>
  </si>
  <si>
    <t>2019-06-16</t>
  </si>
  <si>
    <t>NFX-100272</t>
  </si>
  <si>
    <t>Silent Echo 3</t>
  </si>
  <si>
    <t>2018-09-13</t>
  </si>
  <si>
    <t>NFX-100273</t>
  </si>
  <si>
    <t>Burning Signal 9</t>
  </si>
  <si>
    <t>2021-12-16</t>
  </si>
  <si>
    <t>NFX-100274</t>
  </si>
  <si>
    <t>Midnight Frontier 4</t>
  </si>
  <si>
    <t>2023-03-31</t>
  </si>
  <si>
    <t>NFX-100275</t>
  </si>
  <si>
    <t>Secret Legacy</t>
  </si>
  <si>
    <t>2020-01-30</t>
  </si>
  <si>
    <t>NFX-100276</t>
  </si>
  <si>
    <t>Hidden Storm</t>
  </si>
  <si>
    <t>2019-01-11</t>
  </si>
  <si>
    <t>NFX-100277</t>
  </si>
  <si>
    <t>Lost City 8</t>
  </si>
  <si>
    <t>2020-02-20</t>
  </si>
  <si>
    <t>NFX-100278</t>
  </si>
  <si>
    <t>Dark Code 7</t>
  </si>
  <si>
    <t>2021-08-16</t>
  </si>
  <si>
    <t>NFX-100279</t>
  </si>
  <si>
    <t>Secret Code 3</t>
  </si>
  <si>
    <t>2021-12-03</t>
  </si>
  <si>
    <t>NFX-100280</t>
  </si>
  <si>
    <t>Last Code</t>
  </si>
  <si>
    <t>2022-08-16</t>
  </si>
  <si>
    <t>NFX-100281</t>
  </si>
  <si>
    <t>Silent Echo 1</t>
  </si>
  <si>
    <t>2021-03-19</t>
  </si>
  <si>
    <t>NFX-100282</t>
  </si>
  <si>
    <t>Silent Storm</t>
  </si>
  <si>
    <t>2019-08-23</t>
  </si>
  <si>
    <t>NFX-100283</t>
  </si>
  <si>
    <t>Silent City 3</t>
  </si>
  <si>
    <t>2024-07-14</t>
  </si>
  <si>
    <t>NFX-100284</t>
  </si>
  <si>
    <t>Burning Echo 1</t>
  </si>
  <si>
    <t>2018-10-10</t>
  </si>
  <si>
    <t>NFX-100285</t>
  </si>
  <si>
    <t>Fading Protocol 2</t>
  </si>
  <si>
    <t>NFX-100286</t>
  </si>
  <si>
    <t>Golden Horizon 8</t>
  </si>
  <si>
    <t>2019-06-02</t>
  </si>
  <si>
    <t>NFX-100287</t>
  </si>
  <si>
    <t>Rising Code 2</t>
  </si>
  <si>
    <t>2023-01-28</t>
  </si>
  <si>
    <t>NFX-100288</t>
  </si>
  <si>
    <t>Broken Signal 5</t>
  </si>
  <si>
    <t>2021-06-12</t>
  </si>
  <si>
    <t>NFX-100289</t>
  </si>
  <si>
    <t>Iron City 6</t>
  </si>
  <si>
    <t>2021-01-18</t>
  </si>
  <si>
    <t>NFX-100290</t>
  </si>
  <si>
    <t>Lost Echo 9</t>
  </si>
  <si>
    <t>2023-05-06</t>
  </si>
  <si>
    <t>NFX-100291</t>
  </si>
  <si>
    <t>Silent Code</t>
  </si>
  <si>
    <t>2024-04-12</t>
  </si>
  <si>
    <t>NFX-100292</t>
  </si>
  <si>
    <t>Silent Protocol</t>
  </si>
  <si>
    <t>2018-03-10</t>
  </si>
  <si>
    <t>NFX-100293</t>
  </si>
  <si>
    <t>Shadow Protocol 8</t>
  </si>
  <si>
    <t>2018-11-19</t>
  </si>
  <si>
    <t>NFX-100294</t>
  </si>
  <si>
    <t>Silent Frontier</t>
  </si>
  <si>
    <t>2024-08-19</t>
  </si>
  <si>
    <t>NFX-100295</t>
  </si>
  <si>
    <t>Fading Empire 7</t>
  </si>
  <si>
    <t>2019-07-08</t>
  </si>
  <si>
    <t>NFX-100296</t>
  </si>
  <si>
    <t>Hidden Valley</t>
  </si>
  <si>
    <t>2024-10-28</t>
  </si>
  <si>
    <t>NFX-100297</t>
  </si>
  <si>
    <t>Secret Horizon 3</t>
  </si>
  <si>
    <t>2022-06-25</t>
  </si>
  <si>
    <t>NFX-100298</t>
  </si>
  <si>
    <t>Hidden Horizon 2</t>
  </si>
  <si>
    <t>2021-12-26</t>
  </si>
  <si>
    <t>NFX-100299</t>
  </si>
  <si>
    <t>Golden Valley 5</t>
  </si>
  <si>
    <t>NFX-100300</t>
  </si>
  <si>
    <t>Fading Legacy 7</t>
  </si>
  <si>
    <t>2023-11-29</t>
  </si>
  <si>
    <t>NFX-100301</t>
  </si>
  <si>
    <t>Hidden Chronicles 8</t>
  </si>
  <si>
    <t>NFX-100302</t>
  </si>
  <si>
    <t>Silent Storm 7</t>
  </si>
  <si>
    <t>2018-02-26</t>
  </si>
  <si>
    <t>NFX-100303</t>
  </si>
  <si>
    <t>Crystal Empire</t>
  </si>
  <si>
    <t>2020-11-25</t>
  </si>
  <si>
    <t>NFX-100304</t>
  </si>
  <si>
    <t>Rising Legacy 1</t>
  </si>
  <si>
    <t>2019-12-27</t>
  </si>
  <si>
    <t>NFX-100305</t>
  </si>
  <si>
    <t>Last Journey 8</t>
  </si>
  <si>
    <t>2023-02-25</t>
  </si>
  <si>
    <t>NFX-100306</t>
  </si>
  <si>
    <t>Shadow Empire</t>
  </si>
  <si>
    <t>2018-11-12</t>
  </si>
  <si>
    <t>NFX-100307</t>
  </si>
  <si>
    <t>Last Empire</t>
  </si>
  <si>
    <t>2018-10-22</t>
  </si>
  <si>
    <t>NFX-100308</t>
  </si>
  <si>
    <t>Secret Chronicles 8</t>
  </si>
  <si>
    <t>2022-09-26</t>
  </si>
  <si>
    <t>NFX-100309</t>
  </si>
  <si>
    <t>Hidden City 9</t>
  </si>
  <si>
    <t>2020-12-24</t>
  </si>
  <si>
    <t>NFX-100310</t>
  </si>
  <si>
    <t>Rising Journey 2</t>
  </si>
  <si>
    <t>2018-03-24</t>
  </si>
  <si>
    <t>NFX-100311</t>
  </si>
  <si>
    <t>Broken Echo</t>
  </si>
  <si>
    <t>2020-12-03</t>
  </si>
  <si>
    <t>NFX-100312</t>
  </si>
  <si>
    <t>Dark Protocol</t>
  </si>
  <si>
    <t>2020-10-13</t>
  </si>
  <si>
    <t>NFX-100313</t>
  </si>
  <si>
    <t>Broken Frontier 5</t>
  </si>
  <si>
    <t>2023-03-19</t>
  </si>
  <si>
    <t>NFX-100314</t>
  </si>
  <si>
    <t>Silent Odyssey</t>
  </si>
  <si>
    <t>2019-09-06</t>
  </si>
  <si>
    <t>NFX-100315</t>
  </si>
  <si>
    <t>Dark Archive 4</t>
  </si>
  <si>
    <t>2020-07-08</t>
  </si>
  <si>
    <t>NFX-100316</t>
  </si>
  <si>
    <t>Iron Archive 7</t>
  </si>
  <si>
    <t>2018-11-06</t>
  </si>
  <si>
    <t>NFX-100317</t>
  </si>
  <si>
    <t>Rising Legacy</t>
  </si>
  <si>
    <t>2019-04-13</t>
  </si>
  <si>
    <t>NFX-100318</t>
  </si>
  <si>
    <t>Golden Signal</t>
  </si>
  <si>
    <t>2019-08-16</t>
  </si>
  <si>
    <t>NFX-100319</t>
  </si>
  <si>
    <t>Dark City 3</t>
  </si>
  <si>
    <t>NFX-100320</t>
  </si>
  <si>
    <t>Silent Code 1</t>
  </si>
  <si>
    <t>2020-10-01</t>
  </si>
  <si>
    <t>NFX-100321</t>
  </si>
  <si>
    <t>Broken Frontier</t>
  </si>
  <si>
    <t>2019-12-29</t>
  </si>
  <si>
    <t>NFX-100322</t>
  </si>
  <si>
    <t>Midnight Journey 8</t>
  </si>
  <si>
    <t>2020-05-16</t>
  </si>
  <si>
    <t>NFX-100323</t>
  </si>
  <si>
    <t>Iron Horizon 5</t>
  </si>
  <si>
    <t>2023-09-15</t>
  </si>
  <si>
    <t>NFX-100324</t>
  </si>
  <si>
    <t>Hidden Frontier 9</t>
  </si>
  <si>
    <t>2023-10-11</t>
  </si>
  <si>
    <t>NFX-100325</t>
  </si>
  <si>
    <t>Hidden Valley 8</t>
  </si>
  <si>
    <t>2023-09-25</t>
  </si>
  <si>
    <t>NFX-100326</t>
  </si>
  <si>
    <t>Hidden Empire 2</t>
  </si>
  <si>
    <t>2020-03-28</t>
  </si>
  <si>
    <t>NFX-100327</t>
  </si>
  <si>
    <t>Rising Empire 4</t>
  </si>
  <si>
    <t>2018-12-06</t>
  </si>
  <si>
    <t>NFX-100328</t>
  </si>
  <si>
    <t>Last Odyssey</t>
  </si>
  <si>
    <t>2024-01-28</t>
  </si>
  <si>
    <t>NFX-100329</t>
  </si>
  <si>
    <t>Secret Code</t>
  </si>
  <si>
    <t>2023-01-03</t>
  </si>
  <si>
    <t>NFX-100330</t>
  </si>
  <si>
    <t>Crystal Empire 4</t>
  </si>
  <si>
    <t>2020-11-05</t>
  </si>
  <si>
    <t>NFX-100331</t>
  </si>
  <si>
    <t>Dark Journey 9</t>
  </si>
  <si>
    <t>2024-07-20</t>
  </si>
  <si>
    <t>NFX-100332</t>
  </si>
  <si>
    <t>Silent Journey 5</t>
  </si>
  <si>
    <t>2020-04-28</t>
  </si>
  <si>
    <t>NFX-100333</t>
  </si>
  <si>
    <t>Broken Horizon 9</t>
  </si>
  <si>
    <t>NFX-100334</t>
  </si>
  <si>
    <t>Dark Archive</t>
  </si>
  <si>
    <t>2020-09-13</t>
  </si>
  <si>
    <t>NFX-100335</t>
  </si>
  <si>
    <t>Dark Legacy 3</t>
  </si>
  <si>
    <t>2024-04-30</t>
  </si>
  <si>
    <t>NFX-100336</t>
  </si>
  <si>
    <t>Silent Journey</t>
  </si>
  <si>
    <t>2024-03-24</t>
  </si>
  <si>
    <t>NFX-100337</t>
  </si>
  <si>
    <t>Lost Protocol</t>
  </si>
  <si>
    <t>2024-02-17</t>
  </si>
  <si>
    <t>NFX-100338</t>
  </si>
  <si>
    <t>Last Storm</t>
  </si>
  <si>
    <t>2024-04-17</t>
  </si>
  <si>
    <t>NFX-100339</t>
  </si>
  <si>
    <t>Burning Empire 1</t>
  </si>
  <si>
    <t>NFX-100340</t>
  </si>
  <si>
    <t>Shadow Protocol</t>
  </si>
  <si>
    <t>NFX-100341</t>
  </si>
  <si>
    <t>Fading Storm 7</t>
  </si>
  <si>
    <t>2018-01-12</t>
  </si>
  <si>
    <t>NFX-100342</t>
  </si>
  <si>
    <t>Hidden Legacy 4</t>
  </si>
  <si>
    <t>2018-06-20</t>
  </si>
  <si>
    <t>NFX-100343</t>
  </si>
  <si>
    <t>Midnight Horizon 3</t>
  </si>
  <si>
    <t>2024-09-20</t>
  </si>
  <si>
    <t>NFX-100344</t>
  </si>
  <si>
    <t>Silent Archive 1</t>
  </si>
  <si>
    <t>2022-10-11</t>
  </si>
  <si>
    <t>NFX-100345</t>
  </si>
  <si>
    <t>Hidden Code 4</t>
  </si>
  <si>
    <t>2020-05-25</t>
  </si>
  <si>
    <t>NFX-100346</t>
  </si>
  <si>
    <t>Crystal Empire 1</t>
  </si>
  <si>
    <t>2019-01-04</t>
  </si>
  <si>
    <t>NFX-100347</t>
  </si>
  <si>
    <t>Secret Frontier 4</t>
  </si>
  <si>
    <t>2023-02-08</t>
  </si>
  <si>
    <t>NFX-100348</t>
  </si>
  <si>
    <t>Secret Empire 2</t>
  </si>
  <si>
    <t>2023-10-24</t>
  </si>
  <si>
    <t>NFX-100349</t>
  </si>
  <si>
    <t>Golden Storm</t>
  </si>
  <si>
    <t>2018-10-12</t>
  </si>
  <si>
    <t>NFX-100350</t>
  </si>
  <si>
    <t>Crystal Archive</t>
  </si>
  <si>
    <t>2019-07-19</t>
  </si>
  <si>
    <t>NFX-100351</t>
  </si>
  <si>
    <t>Midnight Valley 7</t>
  </si>
  <si>
    <t>2022-01-27</t>
  </si>
  <si>
    <t>NFX-100352</t>
  </si>
  <si>
    <t>Burning Journey</t>
  </si>
  <si>
    <t>2019-03-16</t>
  </si>
  <si>
    <t>NFX-100353</t>
  </si>
  <si>
    <t>Dark Echo 9</t>
  </si>
  <si>
    <t>NFX-100354</t>
  </si>
  <si>
    <t>Fading Empire</t>
  </si>
  <si>
    <t>2018-06-10</t>
  </si>
  <si>
    <t>NFX-100355</t>
  </si>
  <si>
    <t>Broken Journey 2</t>
  </si>
  <si>
    <t>2023-04-27</t>
  </si>
  <si>
    <t>NFX-100356</t>
  </si>
  <si>
    <t>Rising Odyssey 6</t>
  </si>
  <si>
    <t>2024-10-24</t>
  </si>
  <si>
    <t>NFX-100357</t>
  </si>
  <si>
    <t>Silent Valley 9</t>
  </si>
  <si>
    <t>NFX-100358</t>
  </si>
  <si>
    <t>Golden Journey</t>
  </si>
  <si>
    <t>2018-04-03</t>
  </si>
  <si>
    <t>NFX-100359</t>
  </si>
  <si>
    <t>Midnight City</t>
  </si>
  <si>
    <t>2023-12-09</t>
  </si>
  <si>
    <t>NFX-100360</t>
  </si>
  <si>
    <t>Burning Echo 6</t>
  </si>
  <si>
    <t>2022-04-26</t>
  </si>
  <si>
    <t>NFX-100361</t>
  </si>
  <si>
    <t>Hidden Chronicles 6</t>
  </si>
  <si>
    <t>2022-09-28</t>
  </si>
  <si>
    <t>NFX-100362</t>
  </si>
  <si>
    <t>Golden Echo 2</t>
  </si>
  <si>
    <t>2020-03-18</t>
  </si>
  <si>
    <t>NFX-100363</t>
  </si>
  <si>
    <t>Secret Chronicles 9</t>
  </si>
  <si>
    <t>NFX-100364</t>
  </si>
  <si>
    <t>Shadow Legacy 4</t>
  </si>
  <si>
    <t>2024-03-02</t>
  </si>
  <si>
    <t>NFX-100365</t>
  </si>
  <si>
    <t>Secret Frontier 2</t>
  </si>
  <si>
    <t>NFX-100366</t>
  </si>
  <si>
    <t>Iron Valley 1</t>
  </si>
  <si>
    <t>NFX-100367</t>
  </si>
  <si>
    <t>Shadow Journey 2</t>
  </si>
  <si>
    <t>2018-06-09</t>
  </si>
  <si>
    <t>NFX-100368</t>
  </si>
  <si>
    <t>Rising Echo 7</t>
  </si>
  <si>
    <t>2022-04-20</t>
  </si>
  <si>
    <t>NFX-100369</t>
  </si>
  <si>
    <t>Lost Horizon 4</t>
  </si>
  <si>
    <t>2020-08-12</t>
  </si>
  <si>
    <t>NFX-100370</t>
  </si>
  <si>
    <t>Midnight Legacy 5</t>
  </si>
  <si>
    <t>NFX-100371</t>
  </si>
  <si>
    <t>Hidden Signal 9</t>
  </si>
  <si>
    <t>2024-09-12</t>
  </si>
  <si>
    <t>NFX-100372</t>
  </si>
  <si>
    <t>Rising City</t>
  </si>
  <si>
    <t>2022-12-14</t>
  </si>
  <si>
    <t>NFX-100373</t>
  </si>
  <si>
    <t>Secret Code 1</t>
  </si>
  <si>
    <t>NFX-100374</t>
  </si>
  <si>
    <t>Midnight Empire 1</t>
  </si>
  <si>
    <t>2020-08-29</t>
  </si>
  <si>
    <t>NFX-100375</t>
  </si>
  <si>
    <t>Rising Archive</t>
  </si>
  <si>
    <t>NFX-100376</t>
  </si>
  <si>
    <t>Fading Horizon 5</t>
  </si>
  <si>
    <t>2018-02-06</t>
  </si>
  <si>
    <t>NFX-100377</t>
  </si>
  <si>
    <t>Rising Odyssey</t>
  </si>
  <si>
    <t>2022-08-13</t>
  </si>
  <si>
    <t>NFX-100378</t>
  </si>
  <si>
    <t>Secret Odyssey 3</t>
  </si>
  <si>
    <t>2018-10-20</t>
  </si>
  <si>
    <t>NFX-100379</t>
  </si>
  <si>
    <t>Shadow Odyssey</t>
  </si>
  <si>
    <t>2020-02-21</t>
  </si>
  <si>
    <t>NFX-100380</t>
  </si>
  <si>
    <t>Midnight Code 9</t>
  </si>
  <si>
    <t>NFX-100381</t>
  </si>
  <si>
    <t>Rising City 4</t>
  </si>
  <si>
    <t>2022-11-08</t>
  </si>
  <si>
    <t>NFX-100382</t>
  </si>
  <si>
    <t>Fading Empire 1</t>
  </si>
  <si>
    <t>2021-08-10</t>
  </si>
  <si>
    <t>NFX-100383</t>
  </si>
  <si>
    <t>Shadow Echo 1</t>
  </si>
  <si>
    <t>2018-10-06</t>
  </si>
  <si>
    <t>NFX-100384</t>
  </si>
  <si>
    <t>Lost Archive</t>
  </si>
  <si>
    <t>NFX-100385</t>
  </si>
  <si>
    <t>Golden Echo</t>
  </si>
  <si>
    <t>2019-11-01</t>
  </si>
  <si>
    <t>NFX-100386</t>
  </si>
  <si>
    <t>Burning Storm</t>
  </si>
  <si>
    <t>2024-05-05</t>
  </si>
  <si>
    <t>NFX-100387</t>
  </si>
  <si>
    <t>Hidden Empire</t>
  </si>
  <si>
    <t>2019-06-20</t>
  </si>
  <si>
    <t>NFX-100388</t>
  </si>
  <si>
    <t>Midnight Chronicles</t>
  </si>
  <si>
    <t>NFX-100389</t>
  </si>
  <si>
    <t>Burning Signal 5</t>
  </si>
  <si>
    <t>2020-04-22</t>
  </si>
  <si>
    <t>NFX-100390</t>
  </si>
  <si>
    <t>Midnight Frontier 7</t>
  </si>
  <si>
    <t>NFX-100391</t>
  </si>
  <si>
    <t>Burning City 5</t>
  </si>
  <si>
    <t>NFX-100392</t>
  </si>
  <si>
    <t>Dark Odyssey 3</t>
  </si>
  <si>
    <t>2024-09-16</t>
  </si>
  <si>
    <t>NFX-100393</t>
  </si>
  <si>
    <t>Midnight Frontier 8</t>
  </si>
  <si>
    <t>2021-04-15</t>
  </si>
  <si>
    <t>NFX-100394</t>
  </si>
  <si>
    <t>Iron Echo 3</t>
  </si>
  <si>
    <t>2018-12-08</t>
  </si>
  <si>
    <t>NFX-100395</t>
  </si>
  <si>
    <t>Last City</t>
  </si>
  <si>
    <t>2021-12-30</t>
  </si>
  <si>
    <t>NFX-100396</t>
  </si>
  <si>
    <t>Midnight City 7</t>
  </si>
  <si>
    <t>2018-05-18</t>
  </si>
  <si>
    <t>NFX-100397</t>
  </si>
  <si>
    <t>Rising Horizon 5</t>
  </si>
  <si>
    <t>2023-02-06</t>
  </si>
  <si>
    <t>NFX-100398</t>
  </si>
  <si>
    <t>Broken Frontier 2</t>
  </si>
  <si>
    <t>2019-08-09</t>
  </si>
  <si>
    <t>NFX-100399</t>
  </si>
  <si>
    <t>Broken Valley 5</t>
  </si>
  <si>
    <t>2024-03-12</t>
  </si>
  <si>
    <t>NFX-100400</t>
  </si>
  <si>
    <t>Burning Protocol</t>
  </si>
  <si>
    <t>2020-03-25</t>
  </si>
  <si>
    <t>NFX-100401</t>
  </si>
  <si>
    <t>Broken Chronicles 6</t>
  </si>
  <si>
    <t>2024-10-08</t>
  </si>
  <si>
    <t>NFX-100402</t>
  </si>
  <si>
    <t>Hidden Code 2</t>
  </si>
  <si>
    <t>2018-06-22</t>
  </si>
  <si>
    <t>NFX-100403</t>
  </si>
  <si>
    <t>Shadow Code</t>
  </si>
  <si>
    <t>2021-09-24</t>
  </si>
  <si>
    <t>NFX-100404</t>
  </si>
  <si>
    <t>Lost Chronicles 1</t>
  </si>
  <si>
    <t>2021-12-09</t>
  </si>
  <si>
    <t>NFX-100405</t>
  </si>
  <si>
    <t>Golden Valley 8</t>
  </si>
  <si>
    <t>2018-03-04</t>
  </si>
  <si>
    <t>NFX-100406</t>
  </si>
  <si>
    <t>Shadow Storm 1</t>
  </si>
  <si>
    <t>NFX-100407</t>
  </si>
  <si>
    <t>Burning Valley 1</t>
  </si>
  <si>
    <t>2021-08-12</t>
  </si>
  <si>
    <t>NFX-100408</t>
  </si>
  <si>
    <t>Last Chronicles</t>
  </si>
  <si>
    <t>NFX-100409</t>
  </si>
  <si>
    <t>Secret City 9</t>
  </si>
  <si>
    <t>NFX-100410</t>
  </si>
  <si>
    <t>Golden Signal 2</t>
  </si>
  <si>
    <t>2019-10-15</t>
  </si>
  <si>
    <t>NFX-100411</t>
  </si>
  <si>
    <t>Rising Journey</t>
  </si>
  <si>
    <t>2024-02-26</t>
  </si>
  <si>
    <t>NFX-100412</t>
  </si>
  <si>
    <t>Burning Valley 2</t>
  </si>
  <si>
    <t>2021-06-29</t>
  </si>
  <si>
    <t>NFX-100413</t>
  </si>
  <si>
    <t>Dark Journey 4</t>
  </si>
  <si>
    <t>NFX-100414</t>
  </si>
  <si>
    <t>Fading Frontier 9</t>
  </si>
  <si>
    <t>2023-04-25</t>
  </si>
  <si>
    <t>NFX-100415</t>
  </si>
  <si>
    <t>Dark Protocol 1</t>
  </si>
  <si>
    <t>2023-12-17</t>
  </si>
  <si>
    <t>NFX-100416</t>
  </si>
  <si>
    <t>Lost City 9</t>
  </si>
  <si>
    <t>2024-05-14</t>
  </si>
  <si>
    <t>NFX-100417</t>
  </si>
  <si>
    <t>Golden Protocol 2</t>
  </si>
  <si>
    <t>2022-07-28</t>
  </si>
  <si>
    <t>NFX-100418</t>
  </si>
  <si>
    <t>Crystal City 1</t>
  </si>
  <si>
    <t>2019-02-03</t>
  </si>
  <si>
    <t>NFX-100419</t>
  </si>
  <si>
    <t>Broken Horizon 7</t>
  </si>
  <si>
    <t>2021-01-13</t>
  </si>
  <si>
    <t>NFX-100420</t>
  </si>
  <si>
    <t>Shadow Signal 1</t>
  </si>
  <si>
    <t>NFX-100421</t>
  </si>
  <si>
    <t>Secret Horizon</t>
  </si>
  <si>
    <t>2020-07-11</t>
  </si>
  <si>
    <t>NFX-100422</t>
  </si>
  <si>
    <t>Midnight Journey 5</t>
  </si>
  <si>
    <t>2018-01-21</t>
  </si>
  <si>
    <t>NFX-100423</t>
  </si>
  <si>
    <t>Lost Horizon</t>
  </si>
  <si>
    <t>2018-04-19</t>
  </si>
  <si>
    <t>NFX-100424</t>
  </si>
  <si>
    <t>Fading Journey 2</t>
  </si>
  <si>
    <t>2022-11-20</t>
  </si>
  <si>
    <t>NFX-100425</t>
  </si>
  <si>
    <t>Lost Storm 3</t>
  </si>
  <si>
    <t>2021-10-18</t>
  </si>
  <si>
    <t>NFX-100426</t>
  </si>
  <si>
    <t>Midnight Odyssey</t>
  </si>
  <si>
    <t>2021-04-24</t>
  </si>
  <si>
    <t>NFX-100427</t>
  </si>
  <si>
    <t>Midnight Code</t>
  </si>
  <si>
    <t>2021-05-06</t>
  </si>
  <si>
    <t>NFX-100428</t>
  </si>
  <si>
    <t>Crystal Echo 3</t>
  </si>
  <si>
    <t>2020-09-27</t>
  </si>
  <si>
    <t>NFX-100429</t>
  </si>
  <si>
    <t>Silent Echo 6</t>
  </si>
  <si>
    <t>2020-09-11</t>
  </si>
  <si>
    <t>NFX-100430</t>
  </si>
  <si>
    <t>Lost Protocol 5</t>
  </si>
  <si>
    <t>2022-08-18</t>
  </si>
  <si>
    <t>NFX-100431</t>
  </si>
  <si>
    <t>Iron Signal</t>
  </si>
  <si>
    <t>2019-05-17</t>
  </si>
  <si>
    <t>NFX-100432</t>
  </si>
  <si>
    <t>Iron Frontier 3</t>
  </si>
  <si>
    <t>2018-04-20</t>
  </si>
  <si>
    <t>NFX-100433</t>
  </si>
  <si>
    <t>Silent Empire 9</t>
  </si>
  <si>
    <t>NFX-100434</t>
  </si>
  <si>
    <t>Dark Valley</t>
  </si>
  <si>
    <t>2021-11-16</t>
  </si>
  <si>
    <t>NFX-100435</t>
  </si>
  <si>
    <t>Broken Valley 1</t>
  </si>
  <si>
    <t>NFX-100436</t>
  </si>
  <si>
    <t>Broken Horizon 6</t>
  </si>
  <si>
    <t>NFX-100437</t>
  </si>
  <si>
    <t>Dark Protocol 8</t>
  </si>
  <si>
    <t>NFX-100438</t>
  </si>
  <si>
    <t>Hidden Horizon 3</t>
  </si>
  <si>
    <t>2024-08-01</t>
  </si>
  <si>
    <t>NFX-100439</t>
  </si>
  <si>
    <t>Hidden Horizon 7</t>
  </si>
  <si>
    <t>2024-05-25</t>
  </si>
  <si>
    <t>NFX-100440</t>
  </si>
  <si>
    <t>Fading Protocol</t>
  </si>
  <si>
    <t>2022-09-01</t>
  </si>
  <si>
    <t>NFX-100441</t>
  </si>
  <si>
    <t>Silent Legacy 1</t>
  </si>
  <si>
    <t>2023-05-16</t>
  </si>
  <si>
    <t>NFX-100442</t>
  </si>
  <si>
    <t>Shadow Storm 5</t>
  </si>
  <si>
    <t>2024-10-09</t>
  </si>
  <si>
    <t>NFX-100443</t>
  </si>
  <si>
    <t>Hidden Journey 9</t>
  </si>
  <si>
    <t>2019-04-04</t>
  </si>
  <si>
    <t>NFX-100444</t>
  </si>
  <si>
    <t>Rising Empire 8</t>
  </si>
  <si>
    <t>2018-04-17</t>
  </si>
  <si>
    <t>NFX-100445</t>
  </si>
  <si>
    <t>Secret Frontier</t>
  </si>
  <si>
    <t>NFX-100446</t>
  </si>
  <si>
    <t>Lost Echo 6</t>
  </si>
  <si>
    <t>2019-05-25</t>
  </si>
  <si>
    <t>NFX-100447</t>
  </si>
  <si>
    <t>Lost Valley 8</t>
  </si>
  <si>
    <t>2024-04-09</t>
  </si>
  <si>
    <t>NFX-100448</t>
  </si>
  <si>
    <t>Silent Storm 5</t>
  </si>
  <si>
    <t>2020-05-03</t>
  </si>
  <si>
    <t>NFX-100449</t>
  </si>
  <si>
    <t>Lost Signal 5</t>
  </si>
  <si>
    <t>2022-10-17</t>
  </si>
  <si>
    <t>NFX-100450</t>
  </si>
  <si>
    <t>Shadow Journey 3</t>
  </si>
  <si>
    <t>2021-08-28</t>
  </si>
  <si>
    <t>NFX-100451</t>
  </si>
  <si>
    <t>Fading Archive</t>
  </si>
  <si>
    <t>NFX-100452</t>
  </si>
  <si>
    <t>Hidden City</t>
  </si>
  <si>
    <t>2021-08-21</t>
  </si>
  <si>
    <t>NFX-100453</t>
  </si>
  <si>
    <t>Lost Journey 4</t>
  </si>
  <si>
    <t>2020-09-29</t>
  </si>
  <si>
    <t>NFX-100454</t>
  </si>
  <si>
    <t>Fading Frontier 3</t>
  </si>
  <si>
    <t>2024-02-09</t>
  </si>
  <si>
    <t>NFX-100455</t>
  </si>
  <si>
    <t>Golden Frontier 8</t>
  </si>
  <si>
    <t>2021-04-22</t>
  </si>
  <si>
    <t>NFX-100456</t>
  </si>
  <si>
    <t>Hidden Legacy</t>
  </si>
  <si>
    <t>NFX-100457</t>
  </si>
  <si>
    <t>Last Archive 8</t>
  </si>
  <si>
    <t>2024-07-26</t>
  </si>
  <si>
    <t>NFX-100458</t>
  </si>
  <si>
    <t>Fading Archive 2</t>
  </si>
  <si>
    <t>2018-03-07</t>
  </si>
  <si>
    <t>NFX-100459</t>
  </si>
  <si>
    <t>Burning Signal</t>
  </si>
  <si>
    <t>2018-12-11</t>
  </si>
  <si>
    <t>NFX-100460</t>
  </si>
  <si>
    <t>Fading City 7</t>
  </si>
  <si>
    <t>NFX-100461</t>
  </si>
  <si>
    <t>Fading City 8</t>
  </si>
  <si>
    <t>NFX-100462</t>
  </si>
  <si>
    <t>Broken Valley 4</t>
  </si>
  <si>
    <t>2020-04-29</t>
  </si>
  <si>
    <t>NFX-100463</t>
  </si>
  <si>
    <t>Lost Chronicles 2</t>
  </si>
  <si>
    <t>NFX-100464</t>
  </si>
  <si>
    <t>Midnight Empire</t>
  </si>
  <si>
    <t>2019-03-17</t>
  </si>
  <si>
    <t>NFX-100465</t>
  </si>
  <si>
    <t>Rising Empire</t>
  </si>
  <si>
    <t>2021-02-05</t>
  </si>
  <si>
    <t>NFX-100466</t>
  </si>
  <si>
    <t>Dark Protocol 7</t>
  </si>
  <si>
    <t>2020-02-04</t>
  </si>
  <si>
    <t>NFX-100467</t>
  </si>
  <si>
    <t>Secret Signal 5</t>
  </si>
  <si>
    <t>NFX-100468</t>
  </si>
  <si>
    <t>Last Echo 2</t>
  </si>
  <si>
    <t>2022-03-26</t>
  </si>
  <si>
    <t>NFX-100469</t>
  </si>
  <si>
    <t>Iron Frontier 9</t>
  </si>
  <si>
    <t>NFX-100470</t>
  </si>
  <si>
    <t>Iron Horizon 4</t>
  </si>
  <si>
    <t>2024-08-21</t>
  </si>
  <si>
    <t>NFX-100471</t>
  </si>
  <si>
    <t>Silent City 2</t>
  </si>
  <si>
    <t>NFX-100472</t>
  </si>
  <si>
    <t>Golden Legacy 6</t>
  </si>
  <si>
    <t>2023-03-04</t>
  </si>
  <si>
    <t>NFX-100473</t>
  </si>
  <si>
    <t>Hidden Chronicles 2</t>
  </si>
  <si>
    <t>2021-02-11</t>
  </si>
  <si>
    <t>NFX-100474</t>
  </si>
  <si>
    <t>Lost Protocol 2</t>
  </si>
  <si>
    <t>2019-06-24</t>
  </si>
  <si>
    <t>NFX-100475</t>
  </si>
  <si>
    <t>Iron Frontier 6</t>
  </si>
  <si>
    <t>2019-06-08</t>
  </si>
  <si>
    <t>NFX-100476</t>
  </si>
  <si>
    <t>Burning City</t>
  </si>
  <si>
    <t>2024-01-11</t>
  </si>
  <si>
    <t>NFX-100477</t>
  </si>
  <si>
    <t>Hidden Horizon 8</t>
  </si>
  <si>
    <t>NFX-100478</t>
  </si>
  <si>
    <t>Broken Archive 2</t>
  </si>
  <si>
    <t>NFX-100479</t>
  </si>
  <si>
    <t>Crystal Storm 5</t>
  </si>
  <si>
    <t>2021-11-12</t>
  </si>
  <si>
    <t>NFX-100480</t>
  </si>
  <si>
    <t>Burning Chronicles 9</t>
  </si>
  <si>
    <t>2020-09-24</t>
  </si>
  <si>
    <t>NFX-100481</t>
  </si>
  <si>
    <t>Iron Code</t>
  </si>
  <si>
    <t>2020-09-03</t>
  </si>
  <si>
    <t>NFX-100482</t>
  </si>
  <si>
    <t>Midnight Protocol 7</t>
  </si>
  <si>
    <t>2021-05-16</t>
  </si>
  <si>
    <t>NFX-100483</t>
  </si>
  <si>
    <t>Silent Journey 4</t>
  </si>
  <si>
    <t>2018-02-27</t>
  </si>
  <si>
    <t>NFX-100484</t>
  </si>
  <si>
    <t>Iron Odyssey 1</t>
  </si>
  <si>
    <t>NFX-100485</t>
  </si>
  <si>
    <t>Last City 6</t>
  </si>
  <si>
    <t>2020-02-03</t>
  </si>
  <si>
    <t>NFX-100486</t>
  </si>
  <si>
    <t>Broken Archive 8</t>
  </si>
  <si>
    <t>NFX-100487</t>
  </si>
  <si>
    <t>Last Chronicles 6</t>
  </si>
  <si>
    <t>2024-06-18</t>
  </si>
  <si>
    <t>NFX-100488</t>
  </si>
  <si>
    <t>Burning Valley 3</t>
  </si>
  <si>
    <t>2021-09-25</t>
  </si>
  <si>
    <t>NFX-100489</t>
  </si>
  <si>
    <t>Secret Journey 7</t>
  </si>
  <si>
    <t>NFX-100490</t>
  </si>
  <si>
    <t>Fading Code 2</t>
  </si>
  <si>
    <t>2023-07-28</t>
  </si>
  <si>
    <t>NFX-100491</t>
  </si>
  <si>
    <t>Rising Echo 6</t>
  </si>
  <si>
    <t>2021-10-03</t>
  </si>
  <si>
    <t>NFX-100492</t>
  </si>
  <si>
    <t>Iron Chronicles 8</t>
  </si>
  <si>
    <t>2018-07-12</t>
  </si>
  <si>
    <t>NFX-100493</t>
  </si>
  <si>
    <t>Dark Legacy 9</t>
  </si>
  <si>
    <t>2023-10-23</t>
  </si>
  <si>
    <t>NFX-100494</t>
  </si>
  <si>
    <t>Golden City 4</t>
  </si>
  <si>
    <t>2024-06-30</t>
  </si>
  <si>
    <t>NFX-100495</t>
  </si>
  <si>
    <t>Lost Odyssey 6</t>
  </si>
  <si>
    <t>2018-05-02</t>
  </si>
  <si>
    <t>NFX-100496</t>
  </si>
  <si>
    <t>Iron Signal 7</t>
  </si>
  <si>
    <t>2023-01-13</t>
  </si>
  <si>
    <t>NFX-100497</t>
  </si>
  <si>
    <t>Shadow Empire 2</t>
  </si>
  <si>
    <t>2024-07-11</t>
  </si>
  <si>
    <t>NFX-100498</t>
  </si>
  <si>
    <t>Rising Archive 1</t>
  </si>
  <si>
    <t>2020-12-23</t>
  </si>
  <si>
    <t>NFX-100499</t>
  </si>
  <si>
    <t>Last Echo</t>
  </si>
  <si>
    <t>NFX-100500</t>
  </si>
  <si>
    <t>Midnight Legacy</t>
  </si>
  <si>
    <t>2021-02-22</t>
  </si>
  <si>
    <t>NFX-100501</t>
  </si>
  <si>
    <t>Burning Chronicles 8</t>
  </si>
  <si>
    <t>2020-10-24</t>
  </si>
  <si>
    <t>NFX-100502</t>
  </si>
  <si>
    <t>Secret Protocol</t>
  </si>
  <si>
    <t>2018-04-12</t>
  </si>
  <si>
    <t>NFX-100503</t>
  </si>
  <si>
    <t>Midnight Legacy 1</t>
  </si>
  <si>
    <t>2024-01-09</t>
  </si>
  <si>
    <t>NFX-100504</t>
  </si>
  <si>
    <t>Shadow Echo 5</t>
  </si>
  <si>
    <t>2023-11-20</t>
  </si>
  <si>
    <t>NFX-100505</t>
  </si>
  <si>
    <t>Last Chronicles 2</t>
  </si>
  <si>
    <t>2024-08-09</t>
  </si>
  <si>
    <t>NFX-100506</t>
  </si>
  <si>
    <t>Hidden Chronicles 9</t>
  </si>
  <si>
    <t>NFX-100507</t>
  </si>
  <si>
    <t>Hidden Echo 6</t>
  </si>
  <si>
    <t>2020-03-31</t>
  </si>
  <si>
    <t>NFX-100508</t>
  </si>
  <si>
    <t>Lost Chronicles 5</t>
  </si>
  <si>
    <t>2021-10-07</t>
  </si>
  <si>
    <t>NFX-100509</t>
  </si>
  <si>
    <t>Last Legacy 8</t>
  </si>
  <si>
    <t>NFX-100510</t>
  </si>
  <si>
    <t>Lost Signal 6</t>
  </si>
  <si>
    <t>2021-02-26</t>
  </si>
  <si>
    <t>NFX-100511</t>
  </si>
  <si>
    <t>Golden City 3</t>
  </si>
  <si>
    <t>NFX-100512</t>
  </si>
  <si>
    <t>Midnight Signal 7</t>
  </si>
  <si>
    <t>2023-10-28</t>
  </si>
  <si>
    <t>NFX-100513</t>
  </si>
  <si>
    <t>Lost Protocol 8</t>
  </si>
  <si>
    <t>2018-07-27</t>
  </si>
  <si>
    <t>NFX-100514</t>
  </si>
  <si>
    <t>Broken Journey 5</t>
  </si>
  <si>
    <t>2024-02-14</t>
  </si>
  <si>
    <t>NFX-100515</t>
  </si>
  <si>
    <t>Broken Archive 9</t>
  </si>
  <si>
    <t>2022-01-12</t>
  </si>
  <si>
    <t>NFX-100516</t>
  </si>
  <si>
    <t>Hidden Journey 5</t>
  </si>
  <si>
    <t>2019-10-06</t>
  </si>
  <si>
    <t>NFX-100517</t>
  </si>
  <si>
    <t>Shadow Archive 4</t>
  </si>
  <si>
    <t>2022-03-22</t>
  </si>
  <si>
    <t>NFX-100518</t>
  </si>
  <si>
    <t>Hidden Protocol</t>
  </si>
  <si>
    <t>NFX-100519</t>
  </si>
  <si>
    <t>Secret Echo</t>
  </si>
  <si>
    <t>2021-06-18</t>
  </si>
  <si>
    <t>NFX-100520</t>
  </si>
  <si>
    <t>Last City 5</t>
  </si>
  <si>
    <t>NFX-100521</t>
  </si>
  <si>
    <t>Crystal Echo 8</t>
  </si>
  <si>
    <t>2022-02-26</t>
  </si>
  <si>
    <t>NFX-100522</t>
  </si>
  <si>
    <t>Hidden Signal 8</t>
  </si>
  <si>
    <t>NFX-100523</t>
  </si>
  <si>
    <t>Hidden City 7</t>
  </si>
  <si>
    <t>2018-06-19</t>
  </si>
  <si>
    <t>NFX-100524</t>
  </si>
  <si>
    <t>Shadow Journey 7</t>
  </si>
  <si>
    <t>2024-05-28</t>
  </si>
  <si>
    <t>NFX-100525</t>
  </si>
  <si>
    <t>Shadow Archive 5</t>
  </si>
  <si>
    <t>NFX-100526</t>
  </si>
  <si>
    <t>Golden Journey 1</t>
  </si>
  <si>
    <t>2021-09-30</t>
  </si>
  <si>
    <t>NFX-100527</t>
  </si>
  <si>
    <t>Midnight Horizon</t>
  </si>
  <si>
    <t>2019-09-29</t>
  </si>
  <si>
    <t>NFX-100528</t>
  </si>
  <si>
    <t>Burning Frontier 6</t>
  </si>
  <si>
    <t>2022-03-19</t>
  </si>
  <si>
    <t>NFX-100529</t>
  </si>
  <si>
    <t>Fading Odyssey 1</t>
  </si>
  <si>
    <t>2022-02-19</t>
  </si>
  <si>
    <t>NFX-100530</t>
  </si>
  <si>
    <t>Golden Odyssey 5</t>
  </si>
  <si>
    <t>2024-10-06</t>
  </si>
  <si>
    <t>NFX-100531</t>
  </si>
  <si>
    <t>Secret Odyssey 5</t>
  </si>
  <si>
    <t>2021-02-15</t>
  </si>
  <si>
    <t>NFX-100532</t>
  </si>
  <si>
    <t>Dark Frontier 5</t>
  </si>
  <si>
    <t>2019-04-15</t>
  </si>
  <si>
    <t>NFX-100533</t>
  </si>
  <si>
    <t>Dark Signal 7</t>
  </si>
  <si>
    <t>2024-03-14</t>
  </si>
  <si>
    <t>NFX-100534</t>
  </si>
  <si>
    <t>Golden Legacy 7</t>
  </si>
  <si>
    <t>2018-11-11</t>
  </si>
  <si>
    <t>NFX-100535</t>
  </si>
  <si>
    <t>Silent Code 6</t>
  </si>
  <si>
    <t>2020-10-02</t>
  </si>
  <si>
    <t>NFX-100536</t>
  </si>
  <si>
    <t>Hidden City 4</t>
  </si>
  <si>
    <t>NFX-100537</t>
  </si>
  <si>
    <t>Hidden Odyssey</t>
  </si>
  <si>
    <t>2023-05-11</t>
  </si>
  <si>
    <t>NFX-100538</t>
  </si>
  <si>
    <t>Secret Echo 5</t>
  </si>
  <si>
    <t>NFX-100539</t>
  </si>
  <si>
    <t>Broken Odyssey 6</t>
  </si>
  <si>
    <t>2018-02-18</t>
  </si>
  <si>
    <t>NFX-100540</t>
  </si>
  <si>
    <t>Broken Echo 1</t>
  </si>
  <si>
    <t>2024-10-29</t>
  </si>
  <si>
    <t>NFX-100541</t>
  </si>
  <si>
    <t>Shadow Empire 1</t>
  </si>
  <si>
    <t>2019-05-13</t>
  </si>
  <si>
    <t>NFX-100542</t>
  </si>
  <si>
    <t>Lost Chronicles 3</t>
  </si>
  <si>
    <t>2018-09-18</t>
  </si>
  <si>
    <t>NFX-100543</t>
  </si>
  <si>
    <t>Golden Odyssey 7</t>
  </si>
  <si>
    <t>NFX-100544</t>
  </si>
  <si>
    <t>Fading Odyssey 3</t>
  </si>
  <si>
    <t>NFX-100545</t>
  </si>
  <si>
    <t>Dark Echo 2</t>
  </si>
  <si>
    <t>2024-02-10</t>
  </si>
  <si>
    <t>NFX-100546</t>
  </si>
  <si>
    <t>Silent Echo 9</t>
  </si>
  <si>
    <t>2019-04-07</t>
  </si>
  <si>
    <t>NFX-100547</t>
  </si>
  <si>
    <t>Silent Storm 3</t>
  </si>
  <si>
    <t>2018-11-26</t>
  </si>
  <si>
    <t>NFX-100548</t>
  </si>
  <si>
    <t>Iron Legacy 6</t>
  </si>
  <si>
    <t>NFX-100549</t>
  </si>
  <si>
    <t>Fading Horizon 8</t>
  </si>
  <si>
    <t>NFX-100550</t>
  </si>
  <si>
    <t>Lost Code 1</t>
  </si>
  <si>
    <t>NFX-100551</t>
  </si>
  <si>
    <t>Broken Journey</t>
  </si>
  <si>
    <t>2020-06-27</t>
  </si>
  <si>
    <t>NFX-100552</t>
  </si>
  <si>
    <t>Lost Signal 2</t>
  </si>
  <si>
    <t>2018-06-23</t>
  </si>
  <si>
    <t>NFX-100553</t>
  </si>
  <si>
    <t>Last Valley 5</t>
  </si>
  <si>
    <t>NFX-100554</t>
  </si>
  <si>
    <t>Shadow Signal</t>
  </si>
  <si>
    <t>2023-07-03</t>
  </si>
  <si>
    <t>NFX-100555</t>
  </si>
  <si>
    <t>Hidden Legacy 3</t>
  </si>
  <si>
    <t>2020-01-28</t>
  </si>
  <si>
    <t>NFX-100556</t>
  </si>
  <si>
    <t>Burning Legacy 4</t>
  </si>
  <si>
    <t>2019-10-14</t>
  </si>
  <si>
    <t>NFX-100557</t>
  </si>
  <si>
    <t>Broken Chronicles 3</t>
  </si>
  <si>
    <t>NFX-100558</t>
  </si>
  <si>
    <t>Silent Frontier 7</t>
  </si>
  <si>
    <t>2018-03-27</t>
  </si>
  <si>
    <t>NFX-100559</t>
  </si>
  <si>
    <t>Broken Frontier 9</t>
  </si>
  <si>
    <t>2024-03-05</t>
  </si>
  <si>
    <t>NFX-100560</t>
  </si>
  <si>
    <t>Dark Empire 5</t>
  </si>
  <si>
    <t>NFX-100561</t>
  </si>
  <si>
    <t>Silent Archive</t>
  </si>
  <si>
    <t>NFX-100562</t>
  </si>
  <si>
    <t>Secret Empire 9</t>
  </si>
  <si>
    <t>2024-03-16</t>
  </si>
  <si>
    <t>NFX-100563</t>
  </si>
  <si>
    <t>Iron Valley</t>
  </si>
  <si>
    <t>2018-01-09</t>
  </si>
  <si>
    <t>NFX-100564</t>
  </si>
  <si>
    <t>Dark Journey</t>
  </si>
  <si>
    <t>2019-04-30</t>
  </si>
  <si>
    <t>NFX-100565</t>
  </si>
  <si>
    <t>Iron Echo 4</t>
  </si>
  <si>
    <t>2023-10-15</t>
  </si>
  <si>
    <t>NFX-100566</t>
  </si>
  <si>
    <t>Golden Chronicles</t>
  </si>
  <si>
    <t>2019-12-31</t>
  </si>
  <si>
    <t>NFX-100567</t>
  </si>
  <si>
    <t>Iron Journey</t>
  </si>
  <si>
    <t>2023-12-30</t>
  </si>
  <si>
    <t>NFX-100568</t>
  </si>
  <si>
    <t>Burning Code 7</t>
  </si>
  <si>
    <t>NFX-100569</t>
  </si>
  <si>
    <t>Last Valley 7</t>
  </si>
  <si>
    <t>2023-09-17</t>
  </si>
  <si>
    <t>NFX-100570</t>
  </si>
  <si>
    <t>Silent Signal</t>
  </si>
  <si>
    <t>2022-09-21</t>
  </si>
  <si>
    <t>NFX-100571</t>
  </si>
  <si>
    <t>Last Legacy 1</t>
  </si>
  <si>
    <t>NFX-100572</t>
  </si>
  <si>
    <t>Lost Journey 8</t>
  </si>
  <si>
    <t>2018-10-14</t>
  </si>
  <si>
    <t>NFX-100573</t>
  </si>
  <si>
    <t>Dark Empire 6</t>
  </si>
  <si>
    <t>2020-06-23</t>
  </si>
  <si>
    <t>NFX-100574</t>
  </si>
  <si>
    <t>Last Storm 2</t>
  </si>
  <si>
    <t>2024-10-18</t>
  </si>
  <si>
    <t>NFX-100575</t>
  </si>
  <si>
    <t>Broken Echo 9</t>
  </si>
  <si>
    <t>NFX-100576</t>
  </si>
  <si>
    <t>Last Valley 6</t>
  </si>
  <si>
    <t>2022-09-18</t>
  </si>
  <si>
    <t>NFX-100577</t>
  </si>
  <si>
    <t>Silent Legacy 9</t>
  </si>
  <si>
    <t>2019-09-01</t>
  </si>
  <si>
    <t>NFX-100578</t>
  </si>
  <si>
    <t>Last Signal</t>
  </si>
  <si>
    <t>2021-12-25</t>
  </si>
  <si>
    <t>NFX-100579</t>
  </si>
  <si>
    <t>Lost Legacy</t>
  </si>
  <si>
    <t>2024-05-09</t>
  </si>
  <si>
    <t>NFX-100580</t>
  </si>
  <si>
    <t>Secret Empire 6</t>
  </si>
  <si>
    <t>2023-10-16</t>
  </si>
  <si>
    <t>NFX-100581</t>
  </si>
  <si>
    <t>Shadow Echo</t>
  </si>
  <si>
    <t>2020-05-05</t>
  </si>
  <si>
    <t>NFX-100582</t>
  </si>
  <si>
    <t>Shadow Chronicles 3</t>
  </si>
  <si>
    <t>2024-07-12</t>
  </si>
  <si>
    <t>NFX-100583</t>
  </si>
  <si>
    <t>Hidden Chronicles</t>
  </si>
  <si>
    <t>2021-11-30</t>
  </si>
  <si>
    <t>NFX-100584</t>
  </si>
  <si>
    <t>Rising Chronicles 4</t>
  </si>
  <si>
    <t>2020-11-13</t>
  </si>
  <si>
    <t>NFX-100585</t>
  </si>
  <si>
    <t>Rising Archive 5</t>
  </si>
  <si>
    <t>2021-12-05</t>
  </si>
  <si>
    <t>NFX-100586</t>
  </si>
  <si>
    <t>Lost Legacy 6</t>
  </si>
  <si>
    <t>NFX-100587</t>
  </si>
  <si>
    <t>Midnight Legacy 7</t>
  </si>
  <si>
    <t>2021-05-27</t>
  </si>
  <si>
    <t>NFX-100588</t>
  </si>
  <si>
    <t>Broken Legacy 8</t>
  </si>
  <si>
    <t>2020-01-31</t>
  </si>
  <si>
    <t>NFX-100589</t>
  </si>
  <si>
    <t>Silent Storm 2</t>
  </si>
  <si>
    <t>2022-08-23</t>
  </si>
  <si>
    <t>NFX-100590</t>
  </si>
  <si>
    <t>Last Horizon 9</t>
  </si>
  <si>
    <t>NFX-100591</t>
  </si>
  <si>
    <t>Silent Code 4</t>
  </si>
  <si>
    <t>NFX-100592</t>
  </si>
  <si>
    <t>Lost Legacy 5</t>
  </si>
  <si>
    <t>2022-07-10</t>
  </si>
  <si>
    <t>NFX-100593</t>
  </si>
  <si>
    <t>Crystal Code 3</t>
  </si>
  <si>
    <t>2020-03-19</t>
  </si>
  <si>
    <t>NFX-100594</t>
  </si>
  <si>
    <t>Rising Code 5</t>
  </si>
  <si>
    <t>2023-06-28</t>
  </si>
  <si>
    <t>NFX-100595</t>
  </si>
  <si>
    <t>Golden Frontier</t>
  </si>
  <si>
    <t>2021-07-24</t>
  </si>
  <si>
    <t>NFX-100596</t>
  </si>
  <si>
    <t>Last Odyssey 7</t>
  </si>
  <si>
    <t>2024-04-19</t>
  </si>
  <si>
    <t>NFX-100597</t>
  </si>
  <si>
    <t>Dark Archive 3</t>
  </si>
  <si>
    <t>2020-05-12</t>
  </si>
  <si>
    <t>NFX-100598</t>
  </si>
  <si>
    <t>Iron City 9</t>
  </si>
  <si>
    <t>2021-10-11</t>
  </si>
  <si>
    <t>NFX-100599</t>
  </si>
  <si>
    <t>Lost Archive 6</t>
  </si>
  <si>
    <t>2023-11-05</t>
  </si>
  <si>
    <t>NFX-100600</t>
  </si>
  <si>
    <t>Lost Protocol 3</t>
  </si>
  <si>
    <t>2021-06-13</t>
  </si>
  <si>
    <t>NFX-100601</t>
  </si>
  <si>
    <t>Lost Journey 1</t>
  </si>
  <si>
    <t>2021-02-16</t>
  </si>
  <si>
    <t>NFX-100602</t>
  </si>
  <si>
    <t>Midnight Storm</t>
  </si>
  <si>
    <t>2019-10-24</t>
  </si>
  <si>
    <t>NFX-100603</t>
  </si>
  <si>
    <t>Rising City 7</t>
  </si>
  <si>
    <t>2020-11-18</t>
  </si>
  <si>
    <t>NFX-100604</t>
  </si>
  <si>
    <t>Rising Frontier 8</t>
  </si>
  <si>
    <t>NFX-100605</t>
  </si>
  <si>
    <t>Crystal Signal 4</t>
  </si>
  <si>
    <t>2018-12-22</t>
  </si>
  <si>
    <t>NFX-100606</t>
  </si>
  <si>
    <t>Secret Legacy 8</t>
  </si>
  <si>
    <t>2022-04-24</t>
  </si>
  <si>
    <t>NFX-100607</t>
  </si>
  <si>
    <t>Lost Chronicles 4</t>
  </si>
  <si>
    <t>2019-10-07</t>
  </si>
  <si>
    <t>NFX-100608</t>
  </si>
  <si>
    <t>Burning Archive 3</t>
  </si>
  <si>
    <t>2022-10-25</t>
  </si>
  <si>
    <t>NFX-100609</t>
  </si>
  <si>
    <t>Rising Archive 6</t>
  </si>
  <si>
    <t>2021-05-11</t>
  </si>
  <si>
    <t>NFX-100610</t>
  </si>
  <si>
    <t>Silent Legacy 4</t>
  </si>
  <si>
    <t>2019-03-20</t>
  </si>
  <si>
    <t>NFX-100611</t>
  </si>
  <si>
    <t>Broken City 1</t>
  </si>
  <si>
    <t>2023-04-11</t>
  </si>
  <si>
    <t>NFX-100612</t>
  </si>
  <si>
    <t>Burning Horizon 7</t>
  </si>
  <si>
    <t>NFX-100613</t>
  </si>
  <si>
    <t>Crystal Valley</t>
  </si>
  <si>
    <t>2019-01-06</t>
  </si>
  <si>
    <t>NFX-100614</t>
  </si>
  <si>
    <t>Golden Echo 3</t>
  </si>
  <si>
    <t>2020-05-28</t>
  </si>
  <si>
    <t>NFX-100615</t>
  </si>
  <si>
    <t>Midnight Empire 2</t>
  </si>
  <si>
    <t>2018-09-25</t>
  </si>
  <si>
    <t>NFX-100616</t>
  </si>
  <si>
    <t>Burning City 8</t>
  </si>
  <si>
    <t>2021-08-30</t>
  </si>
  <si>
    <t>NFX-100617</t>
  </si>
  <si>
    <t>Hidden Odyssey 4</t>
  </si>
  <si>
    <t>2020-01-06</t>
  </si>
  <si>
    <t>NFX-100618</t>
  </si>
  <si>
    <t>Crystal Storm 4</t>
  </si>
  <si>
    <t>NFX-100619</t>
  </si>
  <si>
    <t>Shadow Chronicles 1</t>
  </si>
  <si>
    <t>2022-05-08</t>
  </si>
  <si>
    <t>NFX-100620</t>
  </si>
  <si>
    <t>Secret City 5</t>
  </si>
  <si>
    <t>2019-07-26</t>
  </si>
  <si>
    <t>NFX-100621</t>
  </si>
  <si>
    <t>Lost Protocol 7</t>
  </si>
  <si>
    <t>2019-11-29</t>
  </si>
  <si>
    <t>NFX-100622</t>
  </si>
  <si>
    <t>Rising Archive 8</t>
  </si>
  <si>
    <t>2020-04-07</t>
  </si>
  <si>
    <t>NFX-100623</t>
  </si>
  <si>
    <t>Golden Code 6</t>
  </si>
  <si>
    <t>2021-02-23</t>
  </si>
  <si>
    <t>NFX-100624</t>
  </si>
  <si>
    <t>Broken City 4</t>
  </si>
  <si>
    <t>NFX-100625</t>
  </si>
  <si>
    <t>Broken Signal 6</t>
  </si>
  <si>
    <t>2021-04-27</t>
  </si>
  <si>
    <t>NFX-100626</t>
  </si>
  <si>
    <t>Fading Storm 4</t>
  </si>
  <si>
    <t>2024-09-28</t>
  </si>
  <si>
    <t>NFX-100627</t>
  </si>
  <si>
    <t>Golden Signal 4</t>
  </si>
  <si>
    <t>2022-09-29</t>
  </si>
  <si>
    <t>NFX-100628</t>
  </si>
  <si>
    <t>Golden Storm 3</t>
  </si>
  <si>
    <t>2024-09-22</t>
  </si>
  <si>
    <t>NFX-100629</t>
  </si>
  <si>
    <t>Iron Valley 2</t>
  </si>
  <si>
    <t>2020-12-27</t>
  </si>
  <si>
    <t>NFX-100630</t>
  </si>
  <si>
    <t>Burning Odyssey 5</t>
  </si>
  <si>
    <t>NFX-100631</t>
  </si>
  <si>
    <t>Iron Code 3</t>
  </si>
  <si>
    <t>2023-07-27</t>
  </si>
  <si>
    <t>NFX-100632</t>
  </si>
  <si>
    <t>Dark Archive 7</t>
  </si>
  <si>
    <t>2024-01-18</t>
  </si>
  <si>
    <t>NFX-100633</t>
  </si>
  <si>
    <t>Shadow Horizon 2</t>
  </si>
  <si>
    <t>2019-08-18</t>
  </si>
  <si>
    <t>NFX-100634</t>
  </si>
  <si>
    <t>Dark Horizon 3</t>
  </si>
  <si>
    <t>2018-06-28</t>
  </si>
  <si>
    <t>NFX-100635</t>
  </si>
  <si>
    <t>Shadow Odyssey 6</t>
  </si>
  <si>
    <t>2020-08-28</t>
  </si>
  <si>
    <t>NFX-100636</t>
  </si>
  <si>
    <t>Last Echo 4</t>
  </si>
  <si>
    <t>2018-01-31</t>
  </si>
  <si>
    <t>NFX-100637</t>
  </si>
  <si>
    <t>Iron Chronicles 6</t>
  </si>
  <si>
    <t>2018-01-26</t>
  </si>
  <si>
    <t>NFX-100638</t>
  </si>
  <si>
    <t>Dark Echo 8</t>
  </si>
  <si>
    <t>2018-11-27</t>
  </si>
  <si>
    <t>NFX-100639</t>
  </si>
  <si>
    <t>Shadow Protocol 6</t>
  </si>
  <si>
    <t>2023-05-03</t>
  </si>
  <si>
    <t>NFX-100640</t>
  </si>
  <si>
    <t>Broken Signal 4</t>
  </si>
  <si>
    <t>2020-06-09</t>
  </si>
  <si>
    <t>NFX-100641</t>
  </si>
  <si>
    <t>Crystal Journey 1</t>
  </si>
  <si>
    <t>2024-04-11</t>
  </si>
  <si>
    <t>NFX-100642</t>
  </si>
  <si>
    <t>Silent Chronicles 6</t>
  </si>
  <si>
    <t>2024-09-15</t>
  </si>
  <si>
    <t>NFX-100643</t>
  </si>
  <si>
    <t>Golden Legacy 4</t>
  </si>
  <si>
    <t>NFX-100644</t>
  </si>
  <si>
    <t>Shadow Journey 1</t>
  </si>
  <si>
    <t>NFX-100645</t>
  </si>
  <si>
    <t>Hidden City 5</t>
  </si>
  <si>
    <t>2022-02-18</t>
  </si>
  <si>
    <t>NFX-100646</t>
  </si>
  <si>
    <t>Crystal City 4</t>
  </si>
  <si>
    <t>2021-01-26</t>
  </si>
  <si>
    <t>NFX-100647</t>
  </si>
  <si>
    <t>Crystal Horizon 8</t>
  </si>
  <si>
    <t>NFX-100648</t>
  </si>
  <si>
    <t>Fading Signal 4</t>
  </si>
  <si>
    <t>2024-04-07</t>
  </si>
  <si>
    <t>NFX-100649</t>
  </si>
  <si>
    <t>Burning Storm 7</t>
  </si>
  <si>
    <t>2023-06-12</t>
  </si>
  <si>
    <t>NFX-100650</t>
  </si>
  <si>
    <t>Last Journey 9</t>
  </si>
  <si>
    <t>NFX-100651</t>
  </si>
  <si>
    <t>Shadow Legacy 9</t>
  </si>
  <si>
    <t>2018-12-28</t>
  </si>
  <si>
    <t>NFX-100652</t>
  </si>
  <si>
    <t>Rising Protocol 8</t>
  </si>
  <si>
    <t>2024-02-20</t>
  </si>
  <si>
    <t>NFX-100653</t>
  </si>
  <si>
    <t>Secret Valley 5</t>
  </si>
  <si>
    <t>2020-05-01</t>
  </si>
  <si>
    <t>NFX-100654</t>
  </si>
  <si>
    <t>Shadow Storm 4</t>
  </si>
  <si>
    <t>2022-12-18</t>
  </si>
  <si>
    <t>NFX-100655</t>
  </si>
  <si>
    <t>Fading Protocol 1</t>
  </si>
  <si>
    <t>2024-06-24</t>
  </si>
  <si>
    <t>NFX-100656</t>
  </si>
  <si>
    <t>Rising Chronicles</t>
  </si>
  <si>
    <t>2021-06-26</t>
  </si>
  <si>
    <t>NFX-100657</t>
  </si>
  <si>
    <t>Silent Horizon 4</t>
  </si>
  <si>
    <t>2022-02-05</t>
  </si>
  <si>
    <t>NFX-100658</t>
  </si>
  <si>
    <t>Shadow Odyssey 7</t>
  </si>
  <si>
    <t>NFX-100659</t>
  </si>
  <si>
    <t>Golden Code 7</t>
  </si>
  <si>
    <t>2022-11-29</t>
  </si>
  <si>
    <t>NFX-100660</t>
  </si>
  <si>
    <t>Fading Protocol 4</t>
  </si>
  <si>
    <t>NFX-100661</t>
  </si>
  <si>
    <t>Crystal Horizon 6</t>
  </si>
  <si>
    <t>2023-02-09</t>
  </si>
  <si>
    <t>NFX-100662</t>
  </si>
  <si>
    <t>Secret Odyssey 4</t>
  </si>
  <si>
    <t>NFX-100663</t>
  </si>
  <si>
    <t>Midnight Protocol 2</t>
  </si>
  <si>
    <t>NFX-100664</t>
  </si>
  <si>
    <t>Silent Journey 8</t>
  </si>
  <si>
    <t>2020-01-19</t>
  </si>
  <si>
    <t>NFX-100665</t>
  </si>
  <si>
    <t>Silent Protocol 1</t>
  </si>
  <si>
    <t>2022-03-15</t>
  </si>
  <si>
    <t>NFX-100666</t>
  </si>
  <si>
    <t>Silent Odyssey 5</t>
  </si>
  <si>
    <t>2023-08-22</t>
  </si>
  <si>
    <t>NFX-100667</t>
  </si>
  <si>
    <t>Shadow City 5</t>
  </si>
  <si>
    <t>NFX-100668</t>
  </si>
  <si>
    <t>Rising Legacy 4</t>
  </si>
  <si>
    <t>2020-02-19</t>
  </si>
  <si>
    <t>NFX-100669</t>
  </si>
  <si>
    <t>Broken Protocol 5</t>
  </si>
  <si>
    <t>2023-07-04</t>
  </si>
  <si>
    <t>NFX-100670</t>
  </si>
  <si>
    <t>Secret Valley 1</t>
  </si>
  <si>
    <t>NFX-100671</t>
  </si>
  <si>
    <t>Rising Horizon 4</t>
  </si>
  <si>
    <t>2023-12-07</t>
  </si>
  <si>
    <t>NFX-100672</t>
  </si>
  <si>
    <t>Lost Code 2</t>
  </si>
  <si>
    <t>2019-11-12</t>
  </si>
  <si>
    <t>NFX-100673</t>
  </si>
  <si>
    <t>Iron Signal 6</t>
  </si>
  <si>
    <t>2023-06-06</t>
  </si>
  <si>
    <t>NFX-100674</t>
  </si>
  <si>
    <t>Fading Odyssey 9</t>
  </si>
  <si>
    <t>2024-01-06</t>
  </si>
  <si>
    <t>NFX-100675</t>
  </si>
  <si>
    <t>Shadow City 7</t>
  </si>
  <si>
    <t>NFX-100676</t>
  </si>
  <si>
    <t>Iron Code 7</t>
  </si>
  <si>
    <t>2023-07-10</t>
  </si>
  <si>
    <t>NFX-100677</t>
  </si>
  <si>
    <t>Broken Legacy 3</t>
  </si>
  <si>
    <t>2024-08-05</t>
  </si>
  <si>
    <t>NFX-100678</t>
  </si>
  <si>
    <t>Iron Storm 5</t>
  </si>
  <si>
    <t>2018-12-30</t>
  </si>
  <si>
    <t>NFX-100679</t>
  </si>
  <si>
    <t>Secret Chronicles 1</t>
  </si>
  <si>
    <t>NFX-100680</t>
  </si>
  <si>
    <t>Broken City 9</t>
  </si>
  <si>
    <t>NFX-100681</t>
  </si>
  <si>
    <t>Rising Storm 2</t>
  </si>
  <si>
    <t>2019-04-23</t>
  </si>
  <si>
    <t>NFX-100682</t>
  </si>
  <si>
    <t>Iron Echo 8</t>
  </si>
  <si>
    <t>2021-02-14</t>
  </si>
  <si>
    <t>NFX-100683</t>
  </si>
  <si>
    <t>Lost City</t>
  </si>
  <si>
    <t>NFX-100684</t>
  </si>
  <si>
    <t>Broken Journey 4</t>
  </si>
  <si>
    <t>2022-03-07</t>
  </si>
  <si>
    <t>NFX-100685</t>
  </si>
  <si>
    <t>Fading Echo 8</t>
  </si>
  <si>
    <t>2021-06-27</t>
  </si>
  <si>
    <t>NFX-100686</t>
  </si>
  <si>
    <t>Last Frontier 3</t>
  </si>
  <si>
    <t>NFX-100687</t>
  </si>
  <si>
    <t>Iron Storm 8</t>
  </si>
  <si>
    <t>NFX-100688</t>
  </si>
  <si>
    <t>Lost City 5</t>
  </si>
  <si>
    <t>2021-01-22</t>
  </si>
  <si>
    <t>NFX-100689</t>
  </si>
  <si>
    <t>Lost Legacy 9</t>
  </si>
  <si>
    <t>NFX-100690</t>
  </si>
  <si>
    <t>Burning Protocol 8</t>
  </si>
  <si>
    <t>2018-07-28</t>
  </si>
  <si>
    <t>NFX-100691</t>
  </si>
  <si>
    <t>Hidden Odyssey 8</t>
  </si>
  <si>
    <t>2024-06-03</t>
  </si>
  <si>
    <t>NFX-100692</t>
  </si>
  <si>
    <t>Midnight Protocol 4</t>
  </si>
  <si>
    <t>NFX-100693</t>
  </si>
  <si>
    <t>Midnight Storm 5</t>
  </si>
  <si>
    <t>2023-01-29</t>
  </si>
  <si>
    <t>NFX-100694</t>
  </si>
  <si>
    <t>Crystal Code 5</t>
  </si>
  <si>
    <t>2019-01-13</t>
  </si>
  <si>
    <t>NFX-100695</t>
  </si>
  <si>
    <t>Crystal Empire 6</t>
  </si>
  <si>
    <t>2022-04-09</t>
  </si>
  <si>
    <t>NFX-100696</t>
  </si>
  <si>
    <t>Crystal Archive 5</t>
  </si>
  <si>
    <t>2020-12-06</t>
  </si>
  <si>
    <t>NFX-100697</t>
  </si>
  <si>
    <t>Lost Valley 3</t>
  </si>
  <si>
    <t>2019-01-09</t>
  </si>
  <si>
    <t>NFX-100698</t>
  </si>
  <si>
    <t>Fading Legacy 5</t>
  </si>
  <si>
    <t>2020-08-23</t>
  </si>
  <si>
    <t>NFX-100699</t>
  </si>
  <si>
    <t>Crystal Legacy 9</t>
  </si>
  <si>
    <t>NFX-100700</t>
  </si>
  <si>
    <t>Fading Legacy 8</t>
  </si>
  <si>
    <t>2019-09-07</t>
  </si>
  <si>
    <t>NFX-100701</t>
  </si>
  <si>
    <t>Broken City 6</t>
  </si>
  <si>
    <t>2018-03-03</t>
  </si>
  <si>
    <t>NFX-100702</t>
  </si>
  <si>
    <t>Lost Protocol 6</t>
  </si>
  <si>
    <t>2023-06-29</t>
  </si>
  <si>
    <t>NFX-100703</t>
  </si>
  <si>
    <t>Dark Echo 3</t>
  </si>
  <si>
    <t>2023-10-04</t>
  </si>
  <si>
    <t>NFX-100704</t>
  </si>
  <si>
    <t>Fading Chronicles 1</t>
  </si>
  <si>
    <t>2018-10-03</t>
  </si>
  <si>
    <t>NFX-100705</t>
  </si>
  <si>
    <t>Broken Chronicles 2</t>
  </si>
  <si>
    <t>NFX-100706</t>
  </si>
  <si>
    <t>Midnight City 5</t>
  </si>
  <si>
    <t>2021-04-30</t>
  </si>
  <si>
    <t>NFX-100707</t>
  </si>
  <si>
    <t>Hidden Valley 2</t>
  </si>
  <si>
    <t>2023-09-01</t>
  </si>
  <si>
    <t>NFX-100708</t>
  </si>
  <si>
    <t>Broken Valley 2</t>
  </si>
  <si>
    <t>2023-11-30</t>
  </si>
  <si>
    <t>NFX-100709</t>
  </si>
  <si>
    <t>Lost Journey 9</t>
  </si>
  <si>
    <t>NFX-100710</t>
  </si>
  <si>
    <t>Midnight Valley 9</t>
  </si>
  <si>
    <t>2024-06-19</t>
  </si>
  <si>
    <t>NFX-100711</t>
  </si>
  <si>
    <t>Shadow Signal 3</t>
  </si>
  <si>
    <t>2020-11-23</t>
  </si>
  <si>
    <t>NFX-100712</t>
  </si>
  <si>
    <t>Shadow Horizon 7</t>
  </si>
  <si>
    <t>2020-08-04</t>
  </si>
  <si>
    <t>NFX-100713</t>
  </si>
  <si>
    <t>Lost Code 8</t>
  </si>
  <si>
    <t>NFX-100714</t>
  </si>
  <si>
    <t>Last Archive 5</t>
  </si>
  <si>
    <t>NFX-100715</t>
  </si>
  <si>
    <t>Midnight Code 4</t>
  </si>
  <si>
    <t>2023-08-02</t>
  </si>
  <si>
    <t>NFX-100716</t>
  </si>
  <si>
    <t>Last Frontier 1</t>
  </si>
  <si>
    <t>2024-07-29</t>
  </si>
  <si>
    <t>NFX-100717</t>
  </si>
  <si>
    <t>Dark City 8</t>
  </si>
  <si>
    <t>2021-07-12</t>
  </si>
  <si>
    <t>NFX-100718</t>
  </si>
  <si>
    <t>Burning Code 5</t>
  </si>
  <si>
    <t>2019-01-02</t>
  </si>
  <si>
    <t>NFX-100719</t>
  </si>
  <si>
    <t>Iron Odyssey 4</t>
  </si>
  <si>
    <t>2018-05-29</t>
  </si>
  <si>
    <t>NFX-100720</t>
  </si>
  <si>
    <t>Midnight Code 7</t>
  </si>
  <si>
    <t>2020-12-22</t>
  </si>
  <si>
    <t>NFX-100721</t>
  </si>
  <si>
    <t>Broken Empire 1</t>
  </si>
  <si>
    <t>NFX-100722</t>
  </si>
  <si>
    <t>Midnight Horizon 4</t>
  </si>
  <si>
    <t>2021-04-20</t>
  </si>
  <si>
    <t>NFX-100723</t>
  </si>
  <si>
    <t>Golden Signal 7</t>
  </si>
  <si>
    <t>2018-06-14</t>
  </si>
  <si>
    <t>NFX-100724</t>
  </si>
  <si>
    <t>Midnight Legacy 9</t>
  </si>
  <si>
    <t>2020-06-17</t>
  </si>
  <si>
    <t>NFX-100725</t>
  </si>
  <si>
    <t>Midnight Archive 6</t>
  </si>
  <si>
    <t>2018-09-04</t>
  </si>
  <si>
    <t>NFX-100726</t>
  </si>
  <si>
    <t>Crystal Odyssey 5</t>
  </si>
  <si>
    <t>NFX-100727</t>
  </si>
  <si>
    <t>Lost Echo 5</t>
  </si>
  <si>
    <t>2023-03-01</t>
  </si>
  <si>
    <t>NFX-100728</t>
  </si>
  <si>
    <t>Broken Storm 2</t>
  </si>
  <si>
    <t>2023-11-27</t>
  </si>
  <si>
    <t>NFX-100729</t>
  </si>
  <si>
    <t>Hidden Journey 8</t>
  </si>
  <si>
    <t>2022-06-14</t>
  </si>
  <si>
    <t>NFX-100730</t>
  </si>
  <si>
    <t>Silent Horizon 5</t>
  </si>
  <si>
    <t>2021-09-19</t>
  </si>
  <si>
    <t>NFX-100731</t>
  </si>
  <si>
    <t>Broken Protocol 1</t>
  </si>
  <si>
    <t>2023-11-07</t>
  </si>
  <si>
    <t>NFX-100732</t>
  </si>
  <si>
    <t>Lost Chronicles 9</t>
  </si>
  <si>
    <t>2018-09-20</t>
  </si>
  <si>
    <t>NFX-100733</t>
  </si>
  <si>
    <t>Fading Legacy 1</t>
  </si>
  <si>
    <t>2018-05-23</t>
  </si>
  <si>
    <t>NFX-100734</t>
  </si>
  <si>
    <t>Broken Journey 7</t>
  </si>
  <si>
    <t>2018-02-01</t>
  </si>
  <si>
    <t>NFX-100735</t>
  </si>
  <si>
    <t>Lost Journey 7</t>
  </si>
  <si>
    <t>2022-11-19</t>
  </si>
  <si>
    <t>NFX-100736</t>
  </si>
  <si>
    <t>Golden Empire 8</t>
  </si>
  <si>
    <t>2021-08-11</t>
  </si>
  <si>
    <t>NFX-100737</t>
  </si>
  <si>
    <t>Iron Protocol 9</t>
  </si>
  <si>
    <t>2022-05-21</t>
  </si>
  <si>
    <t>NFX-100738</t>
  </si>
  <si>
    <t>Shadow Valley 5</t>
  </si>
  <si>
    <t>2023-02-03</t>
  </si>
  <si>
    <t>NFX-100739</t>
  </si>
  <si>
    <t>Dark Legacy 2</t>
  </si>
  <si>
    <t>2018-03-23</t>
  </si>
  <si>
    <t>NFX-100740</t>
  </si>
  <si>
    <t>Last Odyssey 5</t>
  </si>
  <si>
    <t>2018-07-22</t>
  </si>
  <si>
    <t>NFX-100741</t>
  </si>
  <si>
    <t>Crystal Valley 6</t>
  </si>
  <si>
    <t>2022-11-16</t>
  </si>
  <si>
    <t>NFX-100742</t>
  </si>
  <si>
    <t>Lost City 6</t>
  </si>
  <si>
    <t>NFX-100743</t>
  </si>
  <si>
    <t>Hidden Storm 4</t>
  </si>
  <si>
    <t>2023-08-23</t>
  </si>
  <si>
    <t>NFX-100744</t>
  </si>
  <si>
    <t>Midnight Odyssey 4</t>
  </si>
  <si>
    <t>2022-03-21</t>
  </si>
  <si>
    <t>NFX-100745</t>
  </si>
  <si>
    <t>Broken Odyssey 5</t>
  </si>
  <si>
    <t>2019-06-09</t>
  </si>
  <si>
    <t>NFX-100746</t>
  </si>
  <si>
    <t>Golden Empire 5</t>
  </si>
  <si>
    <t>NFX-100747</t>
  </si>
  <si>
    <t>Golden Chronicles 1</t>
  </si>
  <si>
    <t>NFX-100748</t>
  </si>
  <si>
    <t>Rising Empire 3</t>
  </si>
  <si>
    <t>2022-07-05</t>
  </si>
  <si>
    <t>NFX-100749</t>
  </si>
  <si>
    <t>Secret Echo 6</t>
  </si>
  <si>
    <t>NFX-100750</t>
  </si>
  <si>
    <t>Iron City 1</t>
  </si>
  <si>
    <t>2019-01-21</t>
  </si>
  <si>
    <t>NFX-100751</t>
  </si>
  <si>
    <t>Last Archive 4</t>
  </si>
  <si>
    <t>NFX-100752</t>
  </si>
  <si>
    <t>Secret Code 4</t>
  </si>
  <si>
    <t>2019-03-10</t>
  </si>
  <si>
    <t>NFX-100753</t>
  </si>
  <si>
    <t>Iron Journey 8</t>
  </si>
  <si>
    <t>2021-11-13</t>
  </si>
  <si>
    <t>NFX-100754</t>
  </si>
  <si>
    <t>Dark Code 5</t>
  </si>
  <si>
    <t>2024-02-06</t>
  </si>
  <si>
    <t>NFX-100755</t>
  </si>
  <si>
    <t>Fading Journey 4</t>
  </si>
  <si>
    <t>2022-01-03</t>
  </si>
  <si>
    <t>NFX-100756</t>
  </si>
  <si>
    <t>Iron Chronicles 4</t>
  </si>
  <si>
    <t>2020-05-07</t>
  </si>
  <si>
    <t>NFX-100757</t>
  </si>
  <si>
    <t>Crystal Code 4</t>
  </si>
  <si>
    <t>NFX-100758</t>
  </si>
  <si>
    <t>Shadow Journey 5</t>
  </si>
  <si>
    <t>2022-07-13</t>
  </si>
  <si>
    <t>NFX-100759</t>
  </si>
  <si>
    <t>Dark City 2</t>
  </si>
  <si>
    <t>2021-01-12</t>
  </si>
  <si>
    <t>NFX-100760</t>
  </si>
  <si>
    <t>Iron Storm 7</t>
  </si>
  <si>
    <t>2021-03-18</t>
  </si>
  <si>
    <t>NFX-100761</t>
  </si>
  <si>
    <t>Hidden Storm 5</t>
  </si>
  <si>
    <t>2024-04-28</t>
  </si>
  <si>
    <t>NFX-100762</t>
  </si>
  <si>
    <t>Crystal Echo 7</t>
  </si>
  <si>
    <t>2019-09-19</t>
  </si>
  <si>
    <t>NFX-100763</t>
  </si>
  <si>
    <t>Crystal Frontier 7</t>
  </si>
  <si>
    <t>2021-08-13</t>
  </si>
  <si>
    <t>NFX-100764</t>
  </si>
  <si>
    <t>Secret Odyssey 2</t>
  </si>
  <si>
    <t>2023-08-26</t>
  </si>
  <si>
    <t>NFX-100765</t>
  </si>
  <si>
    <t>Hidden Valley 4</t>
  </si>
  <si>
    <t>2019-05-23</t>
  </si>
  <si>
    <t>NFX-100766</t>
  </si>
  <si>
    <t>Hidden Chronicles 7</t>
  </si>
  <si>
    <t>2022-08-02</t>
  </si>
  <si>
    <t>NFX-100767</t>
  </si>
  <si>
    <t>Midnight Valley 6</t>
  </si>
  <si>
    <t>NFX-100768</t>
  </si>
  <si>
    <t>Silent Empire 4</t>
  </si>
  <si>
    <t>NFX-100769</t>
  </si>
  <si>
    <t>Rising Valley 7</t>
  </si>
  <si>
    <t>2020-10-11</t>
  </si>
  <si>
    <t>NFX-100770</t>
  </si>
  <si>
    <t>Secret Storm 1</t>
  </si>
  <si>
    <t>NFX-100771</t>
  </si>
  <si>
    <t>Shadow Valley 6</t>
  </si>
  <si>
    <t>2018-12-14</t>
  </si>
  <si>
    <t>NFX-100772</t>
  </si>
  <si>
    <t>Iron Protocol 7</t>
  </si>
  <si>
    <t>NFX-100773</t>
  </si>
  <si>
    <t>Last Horizon 3</t>
  </si>
  <si>
    <t>2024-06-09</t>
  </si>
  <si>
    <t>NFX-100774</t>
  </si>
  <si>
    <t>Last Archive 9</t>
  </si>
  <si>
    <t>2019-01-30</t>
  </si>
  <si>
    <t>NFX-100775</t>
  </si>
  <si>
    <t>Silent Echo 4</t>
  </si>
  <si>
    <t>2023-05-12</t>
  </si>
  <si>
    <t>NFX-100776</t>
  </si>
  <si>
    <t>Last Empire 3</t>
  </si>
  <si>
    <t>2019-10-08</t>
  </si>
  <si>
    <t>NFX-100777</t>
  </si>
  <si>
    <t>Dark Frontier 7</t>
  </si>
  <si>
    <t>NFX-100778</t>
  </si>
  <si>
    <t>Burning Archive 8</t>
  </si>
  <si>
    <t>2023-10-19</t>
  </si>
  <si>
    <t>NFX-100779</t>
  </si>
  <si>
    <t>Fading Frontier 6</t>
  </si>
  <si>
    <t>NFX-100780</t>
  </si>
  <si>
    <t>Dark Valley 1</t>
  </si>
  <si>
    <t>2020-12-26</t>
  </si>
  <si>
    <t>NFX-100781</t>
  </si>
  <si>
    <t>Last Horizon 1</t>
  </si>
  <si>
    <t>2023-08-07</t>
  </si>
  <si>
    <t>NFX-100782</t>
  </si>
  <si>
    <t>Hidden City 2</t>
  </si>
  <si>
    <t>NFX-100783</t>
  </si>
  <si>
    <t>Midnight City 6</t>
  </si>
  <si>
    <t>NFX-100784</t>
  </si>
  <si>
    <t>Golden Storm 8</t>
  </si>
  <si>
    <t>2021-05-02</t>
  </si>
  <si>
    <t>NFX-100785</t>
  </si>
  <si>
    <t>Secret Chronicles 5</t>
  </si>
  <si>
    <t>2024-10-17</t>
  </si>
  <si>
    <t>NFX-100786</t>
  </si>
  <si>
    <t>Crystal City 3</t>
  </si>
  <si>
    <t>NFX-100787</t>
  </si>
  <si>
    <t>Silent Frontier 6</t>
  </si>
  <si>
    <t>2020-11-10</t>
  </si>
  <si>
    <t>NFX-100788</t>
  </si>
  <si>
    <t>Shadow Empire 7</t>
  </si>
  <si>
    <t>2023-06-03</t>
  </si>
  <si>
    <t>NFX-100789</t>
  </si>
  <si>
    <t>Iron Storm 6</t>
  </si>
  <si>
    <t>2019-07-03</t>
  </si>
  <si>
    <t>NFX-100790</t>
  </si>
  <si>
    <t>Silent Echo 5</t>
  </si>
  <si>
    <t>2023-08-05</t>
  </si>
  <si>
    <t>NFX-100791</t>
  </si>
  <si>
    <t>Last Code 4</t>
  </si>
  <si>
    <t>2022-10-01</t>
  </si>
  <si>
    <t>NFX-100792</t>
  </si>
  <si>
    <t>Crystal Frontier 2</t>
  </si>
  <si>
    <t>2023-08-14</t>
  </si>
  <si>
    <t>NFX-100793</t>
  </si>
  <si>
    <t>Hidden Archive 7</t>
  </si>
  <si>
    <t>2018-07-30</t>
  </si>
  <si>
    <t>NFX-100794</t>
  </si>
  <si>
    <t>Midnight Odyssey 5</t>
  </si>
  <si>
    <t>NFX-100795</t>
  </si>
  <si>
    <t>Silent Protocol 5</t>
  </si>
  <si>
    <t>2023-06-27</t>
  </si>
  <si>
    <t>NFX-100796</t>
  </si>
  <si>
    <t>Lost Frontier 6</t>
  </si>
  <si>
    <t>NFX-100797</t>
  </si>
  <si>
    <t>Shadow Storm 7</t>
  </si>
  <si>
    <t>2019-08-30</t>
  </si>
  <si>
    <t>NFX-100798</t>
  </si>
  <si>
    <t>Lost Legacy 1</t>
  </si>
  <si>
    <t>2022-08-07</t>
  </si>
  <si>
    <t>NFX-100799</t>
  </si>
  <si>
    <t>Burning Empire 9</t>
  </si>
  <si>
    <t>2020-09-17</t>
  </si>
  <si>
    <t>NFX-100800</t>
  </si>
  <si>
    <t>Dark Frontier 2</t>
  </si>
  <si>
    <t>2020-03-23</t>
  </si>
  <si>
    <t>NFX-100801</t>
  </si>
  <si>
    <t>Fading Valley 5</t>
  </si>
  <si>
    <t>2022-05-24</t>
  </si>
  <si>
    <t>NFX-100802</t>
  </si>
  <si>
    <t>Iron Archive 4</t>
  </si>
  <si>
    <t>2023-09-24</t>
  </si>
  <si>
    <t>NFX-100803</t>
  </si>
  <si>
    <t>Shadow Horizon 1</t>
  </si>
  <si>
    <t>2018-02-28</t>
  </si>
  <si>
    <t>NFX-100804</t>
  </si>
  <si>
    <t>Dark Code 9</t>
  </si>
  <si>
    <t>2024-03-25</t>
  </si>
  <si>
    <t>NFX-100805</t>
  </si>
  <si>
    <t>Broken Empire 7</t>
  </si>
  <si>
    <t>2018-07-14</t>
  </si>
  <si>
    <t>NFX-100806</t>
  </si>
  <si>
    <t>Broken Signal</t>
  </si>
  <si>
    <t>2022-10-26</t>
  </si>
  <si>
    <t>NFX-100807</t>
  </si>
  <si>
    <t>Shadow Protocol 1</t>
  </si>
  <si>
    <t>2023-08-21</t>
  </si>
  <si>
    <t>NFX-100808</t>
  </si>
  <si>
    <t>Hidden Valley 6</t>
  </si>
  <si>
    <t>2023-10-10</t>
  </si>
  <si>
    <t>NFX-100809</t>
  </si>
  <si>
    <t>Secret Frontier 8</t>
  </si>
  <si>
    <t>NFX-100810</t>
  </si>
  <si>
    <t>Midnight Valley</t>
  </si>
  <si>
    <t>NFX-100811</t>
  </si>
  <si>
    <t>Crystal City 2</t>
  </si>
  <si>
    <t>2022-07-27</t>
  </si>
  <si>
    <t>NFX-100812</t>
  </si>
  <si>
    <t>Crystal Archive 9</t>
  </si>
  <si>
    <t>2019-11-18</t>
  </si>
  <si>
    <t>NFX-100813</t>
  </si>
  <si>
    <t>Secret Frontier 3</t>
  </si>
  <si>
    <t>2022-06-16</t>
  </si>
  <si>
    <t>NFX-100814</t>
  </si>
  <si>
    <t>Silent Protocol 8</t>
  </si>
  <si>
    <t>2018-07-11</t>
  </si>
  <si>
    <t>NFX-100815</t>
  </si>
  <si>
    <t>Dark Code 3</t>
  </si>
  <si>
    <t>2019-12-21</t>
  </si>
  <si>
    <t>NFX-100816</t>
  </si>
  <si>
    <t>Last Signal 4</t>
  </si>
  <si>
    <t>2019-04-06</t>
  </si>
  <si>
    <t>NFX-100817</t>
  </si>
  <si>
    <t>Lost Journey 5</t>
  </si>
  <si>
    <t>2020-05-31</t>
  </si>
  <si>
    <t>NFX-100818</t>
  </si>
  <si>
    <t>Hidden Journey 7</t>
  </si>
  <si>
    <t>2020-10-06</t>
  </si>
  <si>
    <t>NFX-100819</t>
  </si>
  <si>
    <t>Dark Echo 7</t>
  </si>
  <si>
    <t>NFX-100820</t>
  </si>
  <si>
    <t>Lost Code 9</t>
  </si>
  <si>
    <t>NFX-100821</t>
  </si>
  <si>
    <t>Burning Horizon 2</t>
  </si>
  <si>
    <t>2018-05-13</t>
  </si>
  <si>
    <t>NFX-100822</t>
  </si>
  <si>
    <t>Rising Empire 6</t>
  </si>
  <si>
    <t>2019-07-02</t>
  </si>
  <si>
    <t>NFX-100823</t>
  </si>
  <si>
    <t>Hidden Protocol 1</t>
  </si>
  <si>
    <t>2022-06-02</t>
  </si>
  <si>
    <t>NFX-100824</t>
  </si>
  <si>
    <t>Silent Chronicles 4</t>
  </si>
  <si>
    <t>NFX-100825</t>
  </si>
  <si>
    <t>Shadow Horizon 8</t>
  </si>
  <si>
    <t>2023-07-21</t>
  </si>
  <si>
    <t>NFX-100826</t>
  </si>
  <si>
    <t>Burning Empire 7</t>
  </si>
  <si>
    <t>2021-12-10</t>
  </si>
  <si>
    <t>NFX-100827</t>
  </si>
  <si>
    <t>Midnight City 1</t>
  </si>
  <si>
    <t>NFX-100828</t>
  </si>
  <si>
    <t>Midnight Horizon 9</t>
  </si>
  <si>
    <t>2023-02-19</t>
  </si>
  <si>
    <t>NFX-100829</t>
  </si>
  <si>
    <t>Golden Chronicles 2</t>
  </si>
  <si>
    <t>2023-04-15</t>
  </si>
  <si>
    <t>NFX-100830</t>
  </si>
  <si>
    <t>Lost Protocol 4</t>
  </si>
  <si>
    <t>NFX-100831</t>
  </si>
  <si>
    <t>Lost Code</t>
  </si>
  <si>
    <t>NFX-100832</t>
  </si>
  <si>
    <t>Silent Empire 6</t>
  </si>
  <si>
    <t>2019-04-20</t>
  </si>
  <si>
    <t>NFX-100833</t>
  </si>
  <si>
    <t>Dark Echo 5</t>
  </si>
  <si>
    <t>2024-02-08</t>
  </si>
  <si>
    <t>NFX-100834</t>
  </si>
  <si>
    <t>Burning Signal 8</t>
  </si>
  <si>
    <t>2018-01-06</t>
  </si>
  <si>
    <t>NFX-100835</t>
  </si>
  <si>
    <t>Hidden Protocol 9</t>
  </si>
  <si>
    <t>2023-10-07</t>
  </si>
  <si>
    <t>NFX-100836</t>
  </si>
  <si>
    <t>Hidden Horizon 4</t>
  </si>
  <si>
    <t>2018-05-11</t>
  </si>
  <si>
    <t>NFX-100837</t>
  </si>
  <si>
    <t>Fading Archive 4</t>
  </si>
  <si>
    <t>2019-10-27</t>
  </si>
  <si>
    <t>NFX-100838</t>
  </si>
  <si>
    <t>Lost Frontier 4</t>
  </si>
  <si>
    <t>2018-06-02</t>
  </si>
  <si>
    <t>NFX-100839</t>
  </si>
  <si>
    <t>Burning Odyssey</t>
  </si>
  <si>
    <t>2024-09-27</t>
  </si>
  <si>
    <t>NFX-100840</t>
  </si>
  <si>
    <t>Lost Frontier 8</t>
  </si>
  <si>
    <t>2019-07-21</t>
  </si>
  <si>
    <t>NFX-100841</t>
  </si>
  <si>
    <t>Lost Storm 2</t>
  </si>
  <si>
    <t>2020-03-16</t>
  </si>
  <si>
    <t>NFX-100842</t>
  </si>
  <si>
    <t>Midnight Echo 8</t>
  </si>
  <si>
    <t>2021-06-03</t>
  </si>
  <si>
    <t>NFX-100843</t>
  </si>
  <si>
    <t>Last Storm 8</t>
  </si>
  <si>
    <t>2020-04-23</t>
  </si>
  <si>
    <t>NFX-100844</t>
  </si>
  <si>
    <t>Broken Echo 3</t>
  </si>
  <si>
    <t>2024-08-13</t>
  </si>
  <si>
    <t>NFX-100845</t>
  </si>
  <si>
    <t>Golden Odyssey 1</t>
  </si>
  <si>
    <t>2021-05-22</t>
  </si>
  <si>
    <t>NFX-100846</t>
  </si>
  <si>
    <t>Golden Echo 8</t>
  </si>
  <si>
    <t>2022-12-25</t>
  </si>
  <si>
    <t>NFX-100847</t>
  </si>
  <si>
    <t>Last Journey 4</t>
  </si>
  <si>
    <t>2020-06-01</t>
  </si>
  <si>
    <t>NFX-100848</t>
  </si>
  <si>
    <t>Lost City 7</t>
  </si>
  <si>
    <t>NFX-100849</t>
  </si>
  <si>
    <t>Iron Journey 7</t>
  </si>
  <si>
    <t>2018-08-18</t>
  </si>
  <si>
    <t>NFX-100850</t>
  </si>
  <si>
    <t>Fading Echo 5</t>
  </si>
  <si>
    <t>2021-12-04</t>
  </si>
  <si>
    <t>NFX-100851</t>
  </si>
  <si>
    <t>Fading City 3</t>
  </si>
  <si>
    <t>2023-04-03</t>
  </si>
  <si>
    <t>NFX-100852</t>
  </si>
  <si>
    <t>Shadow Code 8</t>
  </si>
  <si>
    <t>2019-03-28</t>
  </si>
  <si>
    <t>NFX-100853</t>
  </si>
  <si>
    <t>Midnight Valley 4</t>
  </si>
  <si>
    <t>2024-03-10</t>
  </si>
  <si>
    <t>NFX-100854</t>
  </si>
  <si>
    <t>Midnight Code 3</t>
  </si>
  <si>
    <t>2021-12-13</t>
  </si>
  <si>
    <t>NFX-100855</t>
  </si>
  <si>
    <t>Burning Echo 7</t>
  </si>
  <si>
    <t>2018-01-04</t>
  </si>
  <si>
    <t>NFX-100856</t>
  </si>
  <si>
    <t>Secret Code 2</t>
  </si>
  <si>
    <t>2021-09-06</t>
  </si>
  <si>
    <t>NFX-100857</t>
  </si>
  <si>
    <t>Iron City 3</t>
  </si>
  <si>
    <t>2023-02-12</t>
  </si>
  <si>
    <t>NFX-100858</t>
  </si>
  <si>
    <t>Fading Empire 5</t>
  </si>
  <si>
    <t>2024-07-30</t>
  </si>
  <si>
    <t>NFX-100859</t>
  </si>
  <si>
    <t>Hidden Frontier 6</t>
  </si>
  <si>
    <t>2024-03-23</t>
  </si>
  <si>
    <t>NFX-100860</t>
  </si>
  <si>
    <t>Secret Protocol 8</t>
  </si>
  <si>
    <t>2018-05-15</t>
  </si>
  <si>
    <t>NFX-100861</t>
  </si>
  <si>
    <t>Crystal Odyssey 4</t>
  </si>
  <si>
    <t>2023-03-12</t>
  </si>
  <si>
    <t>NFX-100862</t>
  </si>
  <si>
    <t>Golden Code 4</t>
  </si>
  <si>
    <t>NFX-100863</t>
  </si>
  <si>
    <t>Crystal Archive 6</t>
  </si>
  <si>
    <t>2019-12-12</t>
  </si>
  <si>
    <t>NFX-100864</t>
  </si>
  <si>
    <t>Silent Legacy 3</t>
  </si>
  <si>
    <t>2018-09-21</t>
  </si>
  <si>
    <t>NFX-100865</t>
  </si>
  <si>
    <t>Last Chronicles 4</t>
  </si>
  <si>
    <t>NFX-100866</t>
  </si>
  <si>
    <t>Last Legacy 9</t>
  </si>
  <si>
    <t>2018-04-13</t>
  </si>
  <si>
    <t>NFX-100867</t>
  </si>
  <si>
    <t>Rising Frontier 9</t>
  </si>
  <si>
    <t>2019-12-01</t>
  </si>
  <si>
    <t>NFX-100868</t>
  </si>
  <si>
    <t>Dark Echo</t>
  </si>
  <si>
    <t>2020-07-18</t>
  </si>
  <si>
    <t>NFX-100869</t>
  </si>
  <si>
    <t>Silent Chronicles 5</t>
  </si>
  <si>
    <t>2019-10-30</t>
  </si>
  <si>
    <t>NFX-100870</t>
  </si>
  <si>
    <t>Silent Odyssey 7</t>
  </si>
  <si>
    <t>2018-03-13</t>
  </si>
  <si>
    <t>NFX-100871</t>
  </si>
  <si>
    <t>Golden Storm 7</t>
  </si>
  <si>
    <t>2024-08-18</t>
  </si>
  <si>
    <t>NFX-100872</t>
  </si>
  <si>
    <t>Broken Empire 8</t>
  </si>
  <si>
    <t>2018-10-24</t>
  </si>
  <si>
    <t>NFX-100873</t>
  </si>
  <si>
    <t>Shadow Valley 8</t>
  </si>
  <si>
    <t>2023-09-04</t>
  </si>
  <si>
    <t>NFX-100874</t>
  </si>
  <si>
    <t>Iron Echo 9</t>
  </si>
  <si>
    <t>2021-12-19</t>
  </si>
  <si>
    <t>NFX-100875</t>
  </si>
  <si>
    <t>Burning City 1</t>
  </si>
  <si>
    <t>NFX-100876</t>
  </si>
  <si>
    <t>Broken Code 2</t>
  </si>
  <si>
    <t>2022-05-26</t>
  </si>
  <si>
    <t>NFX-100877</t>
  </si>
  <si>
    <t>Silent Legacy 5</t>
  </si>
  <si>
    <t>NFX-100878</t>
  </si>
  <si>
    <t>Silent Code 8</t>
  </si>
  <si>
    <t>2019-09-21</t>
  </si>
  <si>
    <t>NFX-100879</t>
  </si>
  <si>
    <t>Burning Empire 6</t>
  </si>
  <si>
    <t>2022-04-29</t>
  </si>
  <si>
    <t>NFX-100880</t>
  </si>
  <si>
    <t>Dark Odyssey 2</t>
  </si>
  <si>
    <t>2020-12-09</t>
  </si>
  <si>
    <t>NFX-100881</t>
  </si>
  <si>
    <t>Dark Legacy 1</t>
  </si>
  <si>
    <t>NFX-100882</t>
  </si>
  <si>
    <t>Secret Empire 8</t>
  </si>
  <si>
    <t>NFX-100883</t>
  </si>
  <si>
    <t>Dark Empire 2</t>
  </si>
  <si>
    <t>2021-09-05</t>
  </si>
  <si>
    <t>NFX-100884</t>
  </si>
  <si>
    <t>Iron Frontier</t>
  </si>
  <si>
    <t>2023-06-07</t>
  </si>
  <si>
    <t>NFX-100885</t>
  </si>
  <si>
    <t>Shadow Legacy 5</t>
  </si>
  <si>
    <t>NFX-100886</t>
  </si>
  <si>
    <t>Silent Storm 8</t>
  </si>
  <si>
    <t>2024-02-18</t>
  </si>
  <si>
    <t>NFX-100887</t>
  </si>
  <si>
    <t>Rising Signal 1</t>
  </si>
  <si>
    <t>2024-09-25</t>
  </si>
  <si>
    <t>NFX-100888</t>
  </si>
  <si>
    <t>Lost Odyssey 1</t>
  </si>
  <si>
    <t>2019-11-26</t>
  </si>
  <si>
    <t>NFX-100889</t>
  </si>
  <si>
    <t>Shadow City 8</t>
  </si>
  <si>
    <t>2023-07-22</t>
  </si>
  <si>
    <t>NFX-100890</t>
  </si>
  <si>
    <t>Iron Legacy 1</t>
  </si>
  <si>
    <t>2022-04-11</t>
  </si>
  <si>
    <t>NFX-100891</t>
  </si>
  <si>
    <t>Secret Journey 3</t>
  </si>
  <si>
    <t>2021-11-23</t>
  </si>
  <si>
    <t>NFX-100892</t>
  </si>
  <si>
    <t>Silent Journey 1</t>
  </si>
  <si>
    <t>2024-09-18</t>
  </si>
  <si>
    <t>NFX-100893</t>
  </si>
  <si>
    <t>Burning Protocol 9</t>
  </si>
  <si>
    <t>2024-10-14</t>
  </si>
  <si>
    <t>NFX-100894</t>
  </si>
  <si>
    <t>Burning Archive 2</t>
  </si>
  <si>
    <t>NFX-100895</t>
  </si>
  <si>
    <t>Last Frontier 5</t>
  </si>
  <si>
    <t>2021-05-20</t>
  </si>
  <si>
    <t>NFX-100896</t>
  </si>
  <si>
    <t>Shadow Odyssey 2</t>
  </si>
  <si>
    <t>NFX-100897</t>
  </si>
  <si>
    <t>Iron Journey 2</t>
  </si>
  <si>
    <t>NFX-100898</t>
  </si>
  <si>
    <t>Midnight City 3</t>
  </si>
  <si>
    <t>NFX-100899</t>
  </si>
  <si>
    <t>Midnight Protocol 8</t>
  </si>
  <si>
    <t>2021-10-12</t>
  </si>
  <si>
    <t>NFX-100900</t>
  </si>
  <si>
    <t>Fading Signal 2</t>
  </si>
  <si>
    <t>2023-11-14</t>
  </si>
  <si>
    <t>NFX-100901</t>
  </si>
  <si>
    <t>Silent Protocol 3</t>
  </si>
  <si>
    <t>2019-12-18</t>
  </si>
  <si>
    <t>NFX-100902</t>
  </si>
  <si>
    <t>Golden Journey 4</t>
  </si>
  <si>
    <t>2022-04-03</t>
  </si>
  <si>
    <t>NFX-100903</t>
  </si>
  <si>
    <t>Burning Empire 4</t>
  </si>
  <si>
    <t>2023-12-10</t>
  </si>
  <si>
    <t>NFX-100904</t>
  </si>
  <si>
    <t>Rising City 8</t>
  </si>
  <si>
    <t>2018-05-31</t>
  </si>
  <si>
    <t>NFX-100905</t>
  </si>
  <si>
    <t>Dark Signal 4</t>
  </si>
  <si>
    <t>NFX-100906</t>
  </si>
  <si>
    <t>Fading Frontier 8</t>
  </si>
  <si>
    <t>2023-07-06</t>
  </si>
  <si>
    <t>NFX-100907</t>
  </si>
  <si>
    <t>Silent Storm 6</t>
  </si>
  <si>
    <t>2019-08-10</t>
  </si>
  <si>
    <t>NFX-100908</t>
  </si>
  <si>
    <t>Broken Echo 6</t>
  </si>
  <si>
    <t>2021-07-03</t>
  </si>
  <si>
    <t>NFX-100909</t>
  </si>
  <si>
    <t>Fading Signal 8</t>
  </si>
  <si>
    <t>2021-07-07</t>
  </si>
  <si>
    <t>NFX-100910</t>
  </si>
  <si>
    <t>Lost Frontier 1</t>
  </si>
  <si>
    <t>2021-12-18</t>
  </si>
  <si>
    <t>NFX-100911</t>
  </si>
  <si>
    <t>Crystal Legacy 5</t>
  </si>
  <si>
    <t>NFX-100912</t>
  </si>
  <si>
    <t>Hidden Frontier 4</t>
  </si>
  <si>
    <t>2021-07-26</t>
  </si>
  <si>
    <t>NFX-100913</t>
  </si>
  <si>
    <t>Crystal Protocol 7</t>
  </si>
  <si>
    <t>NFX-100914</t>
  </si>
  <si>
    <t>Iron Journey 5</t>
  </si>
  <si>
    <t>NFX-100915</t>
  </si>
  <si>
    <t>Secret Valley 6</t>
  </si>
  <si>
    <t>2020-11-14</t>
  </si>
  <si>
    <t>NFX-100916</t>
  </si>
  <si>
    <t>Last Chronicles 5</t>
  </si>
  <si>
    <t>NFX-100917</t>
  </si>
  <si>
    <t>Fading Odyssey 8</t>
  </si>
  <si>
    <t>2021-02-08</t>
  </si>
  <si>
    <t>NFX-100918</t>
  </si>
  <si>
    <t>Iron Odyssey 5</t>
  </si>
  <si>
    <t>NFX-100919</t>
  </si>
  <si>
    <t>Fading Signal 5</t>
  </si>
  <si>
    <t>2023-04-05</t>
  </si>
  <si>
    <t>NFX-100920</t>
  </si>
  <si>
    <t>Crystal Protocol 6</t>
  </si>
  <si>
    <t>2020-10-15</t>
  </si>
  <si>
    <t>NFX-100921</t>
  </si>
  <si>
    <t>Midnight Valley 2</t>
  </si>
  <si>
    <t>2023-09-05</t>
  </si>
  <si>
    <t>NFX-100922</t>
  </si>
  <si>
    <t>Silent Protocol 2</t>
  </si>
  <si>
    <t>2023-03-14</t>
  </si>
  <si>
    <t>NFX-100923</t>
  </si>
  <si>
    <t>Secret Protocol 6</t>
  </si>
  <si>
    <t>2023-10-13</t>
  </si>
  <si>
    <t>NFX-100924</t>
  </si>
  <si>
    <t>Silent Valley 4</t>
  </si>
  <si>
    <t>2022-04-18</t>
  </si>
  <si>
    <t>NFX-100925</t>
  </si>
  <si>
    <t>Secret Protocol 5</t>
  </si>
  <si>
    <t>NFX-100926</t>
  </si>
  <si>
    <t>Rising Signal 2</t>
  </si>
  <si>
    <t>2020-04-02</t>
  </si>
  <si>
    <t>NFX-100927</t>
  </si>
  <si>
    <t>Burning Odyssey 8</t>
  </si>
  <si>
    <t>2018-12-13</t>
  </si>
  <si>
    <t>NFX-100928</t>
  </si>
  <si>
    <t>Midnight Echo 9</t>
  </si>
  <si>
    <t>2021-04-10</t>
  </si>
  <si>
    <t>NFX-100929</t>
  </si>
  <si>
    <t>Burning Storm 1</t>
  </si>
  <si>
    <t>NFX-100930</t>
  </si>
  <si>
    <t>Dark Echo 1</t>
  </si>
  <si>
    <t>NFX-100931</t>
  </si>
  <si>
    <t>Crystal Horizon 4</t>
  </si>
  <si>
    <t>2019-04-26</t>
  </si>
  <si>
    <t>NFX-100932</t>
  </si>
  <si>
    <t>Midnight Empire 6</t>
  </si>
  <si>
    <t>NFX-100933</t>
  </si>
  <si>
    <t>Silent Chronicles 8</t>
  </si>
  <si>
    <t>2018-05-08</t>
  </si>
  <si>
    <t>NFX-100934</t>
  </si>
  <si>
    <t>Burning Frontier 1</t>
  </si>
  <si>
    <t>NFX-100935</t>
  </si>
  <si>
    <t>Dark Archive 6</t>
  </si>
  <si>
    <t>2018-12-20</t>
  </si>
  <si>
    <t>NFX-100936</t>
  </si>
  <si>
    <t>Golden Protocol 1</t>
  </si>
  <si>
    <t>NFX-100937</t>
  </si>
  <si>
    <t>Lost Empire 5</t>
  </si>
  <si>
    <t>2023-07-09</t>
  </si>
  <si>
    <t>NFX-100938</t>
  </si>
  <si>
    <t>Hidden Empire 1</t>
  </si>
  <si>
    <t>2019-08-19</t>
  </si>
  <si>
    <t>NFX-100939</t>
  </si>
  <si>
    <t>Burning Journey 8</t>
  </si>
  <si>
    <t>NFX-100940</t>
  </si>
  <si>
    <t>Rising Code 7</t>
  </si>
  <si>
    <t>2022-05-03</t>
  </si>
  <si>
    <t>NFX-100941</t>
  </si>
  <si>
    <t>Shadow Code 3</t>
  </si>
  <si>
    <t>2020-06-21</t>
  </si>
  <si>
    <t>NFX-100942</t>
  </si>
  <si>
    <t>Hidden Odyssey 3</t>
  </si>
  <si>
    <t>NFX-100943</t>
  </si>
  <si>
    <t>Last Journey 7</t>
  </si>
  <si>
    <t>2021-07-23</t>
  </si>
  <si>
    <t>NFX-100944</t>
  </si>
  <si>
    <t>Shadow Valley 4</t>
  </si>
  <si>
    <t>2020-01-22</t>
  </si>
  <si>
    <t>NFX-100945</t>
  </si>
  <si>
    <t>Shadow Odyssey 9</t>
  </si>
  <si>
    <t>2024-01-29</t>
  </si>
  <si>
    <t>NFX-100946</t>
  </si>
  <si>
    <t>Fading Code 4</t>
  </si>
  <si>
    <t>2024-05-19</t>
  </si>
  <si>
    <t>NFX-100947</t>
  </si>
  <si>
    <t>Broken Empire 2</t>
  </si>
  <si>
    <t>2024-01-19</t>
  </si>
  <si>
    <t>NFX-100948</t>
  </si>
  <si>
    <t>Hidden Protocol 7</t>
  </si>
  <si>
    <t>NFX-100949</t>
  </si>
  <si>
    <t>Iron Signal 1</t>
  </si>
  <si>
    <t>2019-03-29</t>
  </si>
  <si>
    <t>NFX-100950</t>
  </si>
  <si>
    <t>Dark Signal 8</t>
  </si>
  <si>
    <t>NFX-100951</t>
  </si>
  <si>
    <t>Broken Storm 8</t>
  </si>
  <si>
    <t>2023-09-28</t>
  </si>
  <si>
    <t>NFX-100952</t>
  </si>
  <si>
    <t>Crystal Horizon 5</t>
  </si>
  <si>
    <t>2020-01-20</t>
  </si>
  <si>
    <t>NFX-100953</t>
  </si>
  <si>
    <t>Dark City 9</t>
  </si>
  <si>
    <t>2019-09-24</t>
  </si>
  <si>
    <t>NFX-100954</t>
  </si>
  <si>
    <t>Last Horizon 5</t>
  </si>
  <si>
    <t>NFX-100955</t>
  </si>
  <si>
    <t>Hidden Signal 5</t>
  </si>
  <si>
    <t>2019-10-31</t>
  </si>
  <si>
    <t>NFX-100956</t>
  </si>
  <si>
    <t>Last Odyssey 8</t>
  </si>
  <si>
    <t>NFX-100957</t>
  </si>
  <si>
    <t>Hidden Journey 4</t>
  </si>
  <si>
    <t>2023-06-26</t>
  </si>
  <si>
    <t>NFX-100958</t>
  </si>
  <si>
    <t>Lost Horizon 2</t>
  </si>
  <si>
    <t>NFX-100959</t>
  </si>
  <si>
    <t>Golden Code 2</t>
  </si>
  <si>
    <t>2019-11-16</t>
  </si>
  <si>
    <t>NFX-100960</t>
  </si>
  <si>
    <t>Burning Valley 4</t>
  </si>
  <si>
    <t>2022-03-11</t>
  </si>
  <si>
    <t>NFX-100961</t>
  </si>
  <si>
    <t>Silent Legacy 2</t>
  </si>
  <si>
    <t>NFX-100962</t>
  </si>
  <si>
    <t>Shadow Echo 4</t>
  </si>
  <si>
    <t>2022-07-04</t>
  </si>
  <si>
    <t>NFX-100963</t>
  </si>
  <si>
    <t>Secret Legacy 9</t>
  </si>
  <si>
    <t>2018-09-23</t>
  </si>
  <si>
    <t>NFX-100964</t>
  </si>
  <si>
    <t>Golden Horizon 7</t>
  </si>
  <si>
    <t>NFX-100965</t>
  </si>
  <si>
    <t>Shadow Code 1</t>
  </si>
  <si>
    <t>NFX-100966</t>
  </si>
  <si>
    <t>Crystal Storm 1</t>
  </si>
  <si>
    <t>2022-05-12</t>
  </si>
  <si>
    <t>NFX-100967</t>
  </si>
  <si>
    <t>Broken Legacy 5</t>
  </si>
  <si>
    <t>2022-03-18</t>
  </si>
  <si>
    <t>NFX-100968</t>
  </si>
  <si>
    <t>Rising Chronicles 9</t>
  </si>
  <si>
    <t>2021-01-07</t>
  </si>
  <si>
    <t>NFX-100969</t>
  </si>
  <si>
    <t>Midnight Journey 6</t>
  </si>
  <si>
    <t>2024-05-02</t>
  </si>
  <si>
    <t>NFX-100970</t>
  </si>
  <si>
    <t>Shadow Signal 8</t>
  </si>
  <si>
    <t>NFX-100971</t>
  </si>
  <si>
    <t>Burning Archive 9</t>
  </si>
  <si>
    <t>2021-03-02</t>
  </si>
  <si>
    <t>NFX-100972</t>
  </si>
  <si>
    <t>Broken Empire 4</t>
  </si>
  <si>
    <t>NFX-100973</t>
  </si>
  <si>
    <t>Last City 3</t>
  </si>
  <si>
    <t>2022-08-03</t>
  </si>
  <si>
    <t>NFX-100974</t>
  </si>
  <si>
    <t>Crystal Storm 8</t>
  </si>
  <si>
    <t>2018-11-04</t>
  </si>
  <si>
    <t>NFX-100975</t>
  </si>
  <si>
    <t>Dark Storm 3</t>
  </si>
  <si>
    <t>2023-05-30</t>
  </si>
  <si>
    <t>NFX-100976</t>
  </si>
  <si>
    <t>Silent Empire 1</t>
  </si>
  <si>
    <t>2020-11-27</t>
  </si>
  <si>
    <t>NFX-100977</t>
  </si>
  <si>
    <t>Hidden Empire 5</t>
  </si>
  <si>
    <t>2020-04-27</t>
  </si>
  <si>
    <t>NFX-100978</t>
  </si>
  <si>
    <t>Hidden Archive 1</t>
  </si>
  <si>
    <t>2018-10-25</t>
  </si>
  <si>
    <t>NFX-100979</t>
  </si>
  <si>
    <t>Golden Signal 6</t>
  </si>
  <si>
    <t>2019-10-05</t>
  </si>
  <si>
    <t>NFX-100980</t>
  </si>
  <si>
    <t>Crystal Protocol 4</t>
  </si>
  <si>
    <t>2024-04-18</t>
  </si>
  <si>
    <t>NFX-100981</t>
  </si>
  <si>
    <t>Iron Archive 2</t>
  </si>
  <si>
    <t>NFX-100982</t>
  </si>
  <si>
    <t>Silent Signal 6</t>
  </si>
  <si>
    <t>NFX-100983</t>
  </si>
  <si>
    <t>Shadow Code 6</t>
  </si>
  <si>
    <t>2022-11-25</t>
  </si>
  <si>
    <t>NFX-100984</t>
  </si>
  <si>
    <t>Dark Chronicles 4</t>
  </si>
  <si>
    <t>2023-07-14</t>
  </si>
  <si>
    <t>NFX-100985</t>
  </si>
  <si>
    <t>Iron Signal 9</t>
  </si>
  <si>
    <t>NFX-100986</t>
  </si>
  <si>
    <t>Burning City 7</t>
  </si>
  <si>
    <t>NFX-100987</t>
  </si>
  <si>
    <t>Dark Valley 6</t>
  </si>
  <si>
    <t>2018-10-21</t>
  </si>
  <si>
    <t>NFX-100988</t>
  </si>
  <si>
    <t>Silent Empire 7</t>
  </si>
  <si>
    <t>2019-02-06</t>
  </si>
  <si>
    <t>NFX-100989</t>
  </si>
  <si>
    <t>Dark Valley 4</t>
  </si>
  <si>
    <t>2018-11-18</t>
  </si>
  <si>
    <t>NFX-100990</t>
  </si>
  <si>
    <t>Midnight Valley 8</t>
  </si>
  <si>
    <t>NFX-100991</t>
  </si>
  <si>
    <t>Golden Protocol 6</t>
  </si>
  <si>
    <t>2018-01-25</t>
  </si>
  <si>
    <t>NFX-100992</t>
  </si>
  <si>
    <t>Crystal Chronicles 7</t>
  </si>
  <si>
    <t>2023-12-21</t>
  </si>
  <si>
    <t>NFX-100993</t>
  </si>
  <si>
    <t>Lost Chronicles 6</t>
  </si>
  <si>
    <t>NFX-100994</t>
  </si>
  <si>
    <t>Iron Signal 5</t>
  </si>
  <si>
    <t>2021-10-28</t>
  </si>
  <si>
    <t>NFX-100995</t>
  </si>
  <si>
    <t>Shadow Archive 2</t>
  </si>
  <si>
    <t>2023-12-26</t>
  </si>
  <si>
    <t>NFX-100996</t>
  </si>
  <si>
    <t>Golden Empire 4</t>
  </si>
  <si>
    <t>2024-06-06</t>
  </si>
  <si>
    <t>NFX-100997</t>
  </si>
  <si>
    <t>Secret Empire 5</t>
  </si>
  <si>
    <t>NFX-100998</t>
  </si>
  <si>
    <t>Broken Journey 1</t>
  </si>
  <si>
    <t>2021-12-29</t>
  </si>
  <si>
    <t>NFX-100999</t>
  </si>
  <si>
    <t>Hidden Odyssey 5</t>
  </si>
  <si>
    <t>2020-11-28</t>
  </si>
  <si>
    <t>NFX-101000</t>
  </si>
  <si>
    <t>Crystal Echo 4</t>
  </si>
  <si>
    <t>2021-12-22</t>
  </si>
  <si>
    <t>NFX-101001</t>
  </si>
  <si>
    <t>Iron Code 2</t>
  </si>
  <si>
    <t>NFX-101002</t>
  </si>
  <si>
    <t>Midnight Signal 1</t>
  </si>
  <si>
    <t>NFX-101003</t>
  </si>
  <si>
    <t>Hidden Echo 2</t>
  </si>
  <si>
    <t>2023-04-01</t>
  </si>
  <si>
    <t>NFX-101004</t>
  </si>
  <si>
    <t>Dark Chronicles 3</t>
  </si>
  <si>
    <t>2023-07-29</t>
  </si>
  <si>
    <t>NFX-101005</t>
  </si>
  <si>
    <t>Last Echo 7</t>
  </si>
  <si>
    <t>2023-11-08</t>
  </si>
  <si>
    <t>NFX-101006</t>
  </si>
  <si>
    <t>Rising Odyssey 1</t>
  </si>
  <si>
    <t>2021-11-06</t>
  </si>
  <si>
    <t>NFX-101007</t>
  </si>
  <si>
    <t>Last Signal 7</t>
  </si>
  <si>
    <t>NFX-101008</t>
  </si>
  <si>
    <t>Shadow Empire 4</t>
  </si>
  <si>
    <t>2018-04-22</t>
  </si>
  <si>
    <t>NFX-101009</t>
  </si>
  <si>
    <t>Lost Chronicles 7</t>
  </si>
  <si>
    <t>2022-07-18</t>
  </si>
  <si>
    <t>NFX-101010</t>
  </si>
  <si>
    <t>Crystal Empire 2</t>
  </si>
  <si>
    <t>2024-09-04</t>
  </si>
  <si>
    <t>NFX-101011</t>
  </si>
  <si>
    <t>Midnight Storm 3</t>
  </si>
  <si>
    <t>NFX-101012</t>
  </si>
  <si>
    <t>Silent Storm 9</t>
  </si>
  <si>
    <t>2020-09-16</t>
  </si>
  <si>
    <t>NFX-101013</t>
  </si>
  <si>
    <t>Silent Frontier 3</t>
  </si>
  <si>
    <t>NFX-101014</t>
  </si>
  <si>
    <t>Golden Horizon 9</t>
  </si>
  <si>
    <t>NFX-101015</t>
  </si>
  <si>
    <t>Crystal Signal 2</t>
  </si>
  <si>
    <t>NFX-101016</t>
  </si>
  <si>
    <t>Last Chronicles 9</t>
  </si>
  <si>
    <t>NFX-101017</t>
  </si>
  <si>
    <t>Lost Journey 2</t>
  </si>
  <si>
    <t>2024-10-07</t>
  </si>
  <si>
    <t>NFX-101018</t>
  </si>
  <si>
    <t>Midnight Horizon 1</t>
  </si>
  <si>
    <t>2023-07-01</t>
  </si>
  <si>
    <t>NFX-101019</t>
  </si>
  <si>
    <t>Shadow Valley 9</t>
  </si>
  <si>
    <t>2019-11-25</t>
  </si>
  <si>
    <t>NFX-101020</t>
  </si>
  <si>
    <t>Golden Odyssey 3</t>
  </si>
  <si>
    <t>2024-07-01</t>
  </si>
  <si>
    <t>NFX-101021</t>
  </si>
  <si>
    <t>Rising Empire 7</t>
  </si>
  <si>
    <t>2018-07-01</t>
  </si>
  <si>
    <t>NFX-101022</t>
  </si>
  <si>
    <t>Last Odyssey 4</t>
  </si>
  <si>
    <t>2018-12-05</t>
  </si>
  <si>
    <t>NFX-101023</t>
  </si>
  <si>
    <t>Crystal Journey 9</t>
  </si>
  <si>
    <t>2023-01-21</t>
  </si>
  <si>
    <t>NFX-101024</t>
  </si>
  <si>
    <t>Midnight Archive 7</t>
  </si>
  <si>
    <t>2019-07-10</t>
  </si>
  <si>
    <t>NFX-101025</t>
  </si>
  <si>
    <t>Iron Valley 5</t>
  </si>
  <si>
    <t>2022-01-25</t>
  </si>
  <si>
    <t>NFX-101026</t>
  </si>
  <si>
    <t>Midnight Signal 5</t>
  </si>
  <si>
    <t>2021-07-13</t>
  </si>
  <si>
    <t>NFX-101027</t>
  </si>
  <si>
    <t>Rising Odyssey 5</t>
  </si>
  <si>
    <t>2019-01-10</t>
  </si>
  <si>
    <t>NFX-101028</t>
  </si>
  <si>
    <t>Fading Journey 1</t>
  </si>
  <si>
    <t>2022-03-14</t>
  </si>
  <si>
    <t>NFX-101029</t>
  </si>
  <si>
    <t>Hidden Storm 9</t>
  </si>
  <si>
    <t>NFX-101030</t>
  </si>
  <si>
    <t>Rising Signal 6</t>
  </si>
  <si>
    <t>2021-04-11</t>
  </si>
  <si>
    <t>NFX-101031</t>
  </si>
  <si>
    <t>Silent Odyssey 9</t>
  </si>
  <si>
    <t>NFX-101032</t>
  </si>
  <si>
    <t>Lost Chronicles 8</t>
  </si>
  <si>
    <t>2018-06-12</t>
  </si>
  <si>
    <t>NFX-101033</t>
  </si>
  <si>
    <t>Crystal Odyssey 6</t>
  </si>
  <si>
    <t>NFX-101034</t>
  </si>
  <si>
    <t>Crystal Code 8</t>
  </si>
  <si>
    <t>2022-11-17</t>
  </si>
  <si>
    <t>NFX-101035</t>
  </si>
  <si>
    <t>Broken Chronicles 7</t>
  </si>
  <si>
    <t>NFX-101036</t>
  </si>
  <si>
    <t>Golden Protocol 9</t>
  </si>
  <si>
    <t>2020-08-03</t>
  </si>
  <si>
    <t>NFX-101037</t>
  </si>
  <si>
    <t>Broken Legacy 4</t>
  </si>
  <si>
    <t>2022-11-24</t>
  </si>
  <si>
    <t>NFX-101038</t>
  </si>
  <si>
    <t>Broken Valley 6</t>
  </si>
  <si>
    <t>2018-12-17</t>
  </si>
  <si>
    <t>NFX-101039</t>
  </si>
  <si>
    <t>Burning Protocol 4</t>
  </si>
  <si>
    <t>2021-08-08</t>
  </si>
  <si>
    <t>NFX-101040</t>
  </si>
  <si>
    <t>Fading Empire 6</t>
  </si>
  <si>
    <t>2019-12-11</t>
  </si>
  <si>
    <t>NFX-101041</t>
  </si>
  <si>
    <t>Silent Valley 2</t>
  </si>
  <si>
    <t>2020-09-14</t>
  </si>
  <si>
    <t>NFX-101042</t>
  </si>
  <si>
    <t>Secret Journey 9</t>
  </si>
  <si>
    <t>NFX-101043</t>
  </si>
  <si>
    <t>Silent Chronicles 1</t>
  </si>
  <si>
    <t>NFX-101044</t>
  </si>
  <si>
    <t>Dark Horizon 2</t>
  </si>
  <si>
    <t>2018-02-14</t>
  </si>
  <si>
    <t>NFX-101045</t>
  </si>
  <si>
    <t>Golden City 2</t>
  </si>
  <si>
    <t>2024-03-15</t>
  </si>
  <si>
    <t>NFX-101046</t>
  </si>
  <si>
    <t>Golden Protocol 5</t>
  </si>
  <si>
    <t>2018-05-22</t>
  </si>
  <si>
    <t>NFX-101047</t>
  </si>
  <si>
    <t>Dark Storm 2</t>
  </si>
  <si>
    <t>NFX-101048</t>
  </si>
  <si>
    <t>Midnight Signal 3</t>
  </si>
  <si>
    <t>2024-10-10</t>
  </si>
  <si>
    <t>NFX-101049</t>
  </si>
  <si>
    <t>Crystal Signal 9</t>
  </si>
  <si>
    <t>2024-06-02</t>
  </si>
  <si>
    <t>NFX-101050</t>
  </si>
  <si>
    <t>Lost Journey 3</t>
  </si>
  <si>
    <t>NFX-101051</t>
  </si>
  <si>
    <t>Crystal Journey 3</t>
  </si>
  <si>
    <t>2021-12-27</t>
  </si>
  <si>
    <t>NFX-101052</t>
  </si>
  <si>
    <t>Rising Signal 8</t>
  </si>
  <si>
    <t>2021-04-04</t>
  </si>
  <si>
    <t>NFX-101053</t>
  </si>
  <si>
    <t>Lost Valley 4</t>
  </si>
  <si>
    <t>NFX-101054</t>
  </si>
  <si>
    <t>Shadow Storm 9</t>
  </si>
  <si>
    <t>2022-03-20</t>
  </si>
  <si>
    <t>NFX-101055</t>
  </si>
  <si>
    <t>Fading Chronicles 9</t>
  </si>
  <si>
    <t>2021-09-27</t>
  </si>
  <si>
    <t>NFX-101056</t>
  </si>
  <si>
    <t>Midnight Horizon 2</t>
  </si>
  <si>
    <t>2024-08-26</t>
  </si>
  <si>
    <t>NFX-101057</t>
  </si>
  <si>
    <t>Last Journey 5</t>
  </si>
  <si>
    <t>NFX-101058</t>
  </si>
  <si>
    <t>Hidden Frontier 7</t>
  </si>
  <si>
    <t>2022-09-07</t>
  </si>
  <si>
    <t>NFX-101059</t>
  </si>
  <si>
    <t>Crystal Code 9</t>
  </si>
  <si>
    <t>2018-11-14</t>
  </si>
  <si>
    <t>NFX-101060</t>
  </si>
  <si>
    <t>Crystal Echo 2</t>
  </si>
  <si>
    <t>NFX-101061</t>
  </si>
  <si>
    <t>Lost Archive 7</t>
  </si>
  <si>
    <t>NFX-101062</t>
  </si>
  <si>
    <t>Fading Archive 1</t>
  </si>
  <si>
    <t>2018-07-03</t>
  </si>
  <si>
    <t>NFX-101063</t>
  </si>
  <si>
    <t>Last Valley 1</t>
  </si>
  <si>
    <t>2024-05-26</t>
  </si>
  <si>
    <t>NFX-101064</t>
  </si>
  <si>
    <t>Golden Storm 2</t>
  </si>
  <si>
    <t>2018-02-17</t>
  </si>
  <si>
    <t>NFX-101065</t>
  </si>
  <si>
    <t>Burning Legacy 7</t>
  </si>
  <si>
    <t>NFX-101066</t>
  </si>
  <si>
    <t>Crystal Signal 5</t>
  </si>
  <si>
    <t>NFX-101067</t>
  </si>
  <si>
    <t>Rising City 9</t>
  </si>
  <si>
    <t>2021-08-25</t>
  </si>
  <si>
    <t>NFX-101068</t>
  </si>
  <si>
    <t>Burning Protocol 3</t>
  </si>
  <si>
    <t>2018-02-04</t>
  </si>
  <si>
    <t>NFX-101069</t>
  </si>
  <si>
    <t>Broken City 3</t>
  </si>
  <si>
    <t>2023-02-23</t>
  </si>
  <si>
    <t>NFX-101070</t>
  </si>
  <si>
    <t>Burning City 4</t>
  </si>
  <si>
    <t>2021-02-12</t>
  </si>
  <si>
    <t>NFX-101071</t>
  </si>
  <si>
    <t>Hidden Horizon 1</t>
  </si>
  <si>
    <t>NFX-101072</t>
  </si>
  <si>
    <t>Fading Frontier 2</t>
  </si>
  <si>
    <t>NFX-101073</t>
  </si>
  <si>
    <t>Burning Chronicles 5</t>
  </si>
  <si>
    <t>2024-06-28</t>
  </si>
  <si>
    <t>NFX-101074</t>
  </si>
  <si>
    <t>Dark Chronicles 9</t>
  </si>
  <si>
    <t>2018-08-14</t>
  </si>
  <si>
    <t>NFX-101075</t>
  </si>
  <si>
    <t>Shadow Horizon 3</t>
  </si>
  <si>
    <t>NFX-101076</t>
  </si>
  <si>
    <t>Crystal Empire 7</t>
  </si>
  <si>
    <t>2018-03-05</t>
  </si>
  <si>
    <t>NFX-101077</t>
  </si>
  <si>
    <t>Broken Archive 7</t>
  </si>
  <si>
    <t>NFX-101078</t>
  </si>
  <si>
    <t>Iron Odyssey 2</t>
  </si>
  <si>
    <t>2023-01-30</t>
  </si>
  <si>
    <t>NFX-101079</t>
  </si>
  <si>
    <t>Golden Code 8</t>
  </si>
  <si>
    <t>2020-11-01</t>
  </si>
  <si>
    <t>NFX-101080</t>
  </si>
  <si>
    <t>Broken City 5</t>
  </si>
  <si>
    <t>2020-01-15</t>
  </si>
  <si>
    <t>NFX-101081</t>
  </si>
  <si>
    <t>Shadow Legacy 2</t>
  </si>
  <si>
    <t>2020-08-02</t>
  </si>
  <si>
    <t>NFX-101082</t>
  </si>
  <si>
    <t>Iron Echo 5</t>
  </si>
  <si>
    <t>NFX-101083</t>
  </si>
  <si>
    <t>Fading Archive 5</t>
  </si>
  <si>
    <t>2023-01-07</t>
  </si>
  <si>
    <t>NFX-101084</t>
  </si>
  <si>
    <t>Burning Empire 2</t>
  </si>
  <si>
    <t>2020-04-08</t>
  </si>
  <si>
    <t>NFX-101085</t>
  </si>
  <si>
    <t>Dark Chronicles 8</t>
  </si>
  <si>
    <t>2019-01-12</t>
  </si>
  <si>
    <t>NFX-101086</t>
  </si>
  <si>
    <t>Crystal Journey 4</t>
  </si>
  <si>
    <t>NFX-101087</t>
  </si>
  <si>
    <t>Burning Code 3</t>
  </si>
  <si>
    <t>2018-02-25</t>
  </si>
  <si>
    <t>NFX-101088</t>
  </si>
  <si>
    <t>Midnight Archive 5</t>
  </si>
  <si>
    <t>NFX-101089</t>
  </si>
  <si>
    <t>Last Legacy 7</t>
  </si>
  <si>
    <t>2019-09-10</t>
  </si>
  <si>
    <t>NFX-101090</t>
  </si>
  <si>
    <t>Fading City 4</t>
  </si>
  <si>
    <t>2021-10-15</t>
  </si>
  <si>
    <t>NFX-101091</t>
  </si>
  <si>
    <t>Burning Protocol 2</t>
  </si>
  <si>
    <t>2024-10-02</t>
  </si>
  <si>
    <t>NFX-101092</t>
  </si>
  <si>
    <t>Fading Echo 2</t>
  </si>
  <si>
    <t>2021-01-06</t>
  </si>
  <si>
    <t>NFX-101093</t>
  </si>
  <si>
    <t>Rising Legacy 5</t>
  </si>
  <si>
    <t>NFX-101094</t>
  </si>
  <si>
    <t>Dark Chronicles 5</t>
  </si>
  <si>
    <t>2022-06-21</t>
  </si>
  <si>
    <t>NFX-101095</t>
  </si>
  <si>
    <t>Secret Legacy 3</t>
  </si>
  <si>
    <t>2024-02-04</t>
  </si>
  <si>
    <t>NFX-101096</t>
  </si>
  <si>
    <t>Last Storm 6</t>
  </si>
  <si>
    <t>2022-09-09</t>
  </si>
  <si>
    <t>NFX-101097</t>
  </si>
  <si>
    <t>Fading Code 7</t>
  </si>
  <si>
    <t>NFX-101098</t>
  </si>
  <si>
    <t>Last Empire 4</t>
  </si>
  <si>
    <t>2023-12-08</t>
  </si>
  <si>
    <t>NFX-101099</t>
  </si>
  <si>
    <t>Golden Valley 6</t>
  </si>
  <si>
    <t>2018-07-20</t>
  </si>
  <si>
    <t>NFX-101100</t>
  </si>
  <si>
    <t>Lost City 3</t>
  </si>
  <si>
    <t>2023-04-18</t>
  </si>
  <si>
    <t>NFX-101101</t>
  </si>
  <si>
    <t>Iron Odyssey 8</t>
  </si>
  <si>
    <t>NFX-101102</t>
  </si>
  <si>
    <t>Iron Legacy 5</t>
  </si>
  <si>
    <t>2023-04-17</t>
  </si>
  <si>
    <t>NFX-101103</t>
  </si>
  <si>
    <t>Last Echo 3</t>
  </si>
  <si>
    <t>NFX-101104</t>
  </si>
  <si>
    <t>Hidden Code 7</t>
  </si>
  <si>
    <t>2021-03-11</t>
  </si>
  <si>
    <t>NFX-101105</t>
  </si>
  <si>
    <t>Last Protocol 5</t>
  </si>
  <si>
    <t>2021-10-29</t>
  </si>
  <si>
    <t>NFX-101106</t>
  </si>
  <si>
    <t>Hidden City 3</t>
  </si>
  <si>
    <t>2018-07-18</t>
  </si>
  <si>
    <t>NFX-101107</t>
  </si>
  <si>
    <t>Silent Archive 8</t>
  </si>
  <si>
    <t>NFX-101108</t>
  </si>
  <si>
    <t>Hidden Journey 3</t>
  </si>
  <si>
    <t>NFX-101109</t>
  </si>
  <si>
    <t>Secret Protocol 2</t>
  </si>
  <si>
    <t>NFX-101110</t>
  </si>
  <si>
    <t>Iron Horizon 6</t>
  </si>
  <si>
    <t>2020-08-14</t>
  </si>
  <si>
    <t>NFX-101111</t>
  </si>
  <si>
    <t>Last Archive 3</t>
  </si>
  <si>
    <t>NFX-101112</t>
  </si>
  <si>
    <t>Golden Frontier 1</t>
  </si>
  <si>
    <t>NFX-101113</t>
  </si>
  <si>
    <t>Midnight Frontier 5</t>
  </si>
  <si>
    <t>2020-10-12</t>
  </si>
  <si>
    <t>NFX-101114</t>
  </si>
  <si>
    <t>Broken Journey 3</t>
  </si>
  <si>
    <t>2020-04-20</t>
  </si>
  <si>
    <t>NFX-101115</t>
  </si>
  <si>
    <t>Last Odyssey 2</t>
  </si>
  <si>
    <t>2024-03-19</t>
  </si>
  <si>
    <t>NFX-101116</t>
  </si>
  <si>
    <t>Dark Archive 1</t>
  </si>
  <si>
    <t>2019-09-15</t>
  </si>
  <si>
    <t>NFX-101117</t>
  </si>
  <si>
    <t>Broken Signal 9</t>
  </si>
  <si>
    <t>NFX-101118</t>
  </si>
  <si>
    <t>Hidden Empire 3</t>
  </si>
  <si>
    <t>2023-08-10</t>
  </si>
  <si>
    <t>NFX-101119</t>
  </si>
  <si>
    <t>Iron Empire 8</t>
  </si>
  <si>
    <t>NFX-101120</t>
  </si>
  <si>
    <t>Crystal Horizon 7</t>
  </si>
  <si>
    <t>2022-02-25</t>
  </si>
  <si>
    <t>NFX-101121</t>
  </si>
  <si>
    <t>Dark Empire 4</t>
  </si>
  <si>
    <t>NFX-101122</t>
  </si>
  <si>
    <t>Iron Journey 4</t>
  </si>
  <si>
    <t>2020-04-03</t>
  </si>
  <si>
    <t>NFX-101123</t>
  </si>
  <si>
    <t>Last Frontier 9</t>
  </si>
  <si>
    <t>2020-06-24</t>
  </si>
  <si>
    <t>NFX-101124</t>
  </si>
  <si>
    <t>Secret Storm 4</t>
  </si>
  <si>
    <t>NFX-101125</t>
  </si>
  <si>
    <t>Burning Horizon 9</t>
  </si>
  <si>
    <t>2022-07-08</t>
  </si>
  <si>
    <t>NFX-101126</t>
  </si>
  <si>
    <t>Golden Storm 9</t>
  </si>
  <si>
    <t>2023-12-18</t>
  </si>
  <si>
    <t>NFX-101127</t>
  </si>
  <si>
    <t>Broken Valley 9</t>
  </si>
  <si>
    <t>NFX-101128</t>
  </si>
  <si>
    <t>Burning Valley 5</t>
  </si>
  <si>
    <t>2021-11-10</t>
  </si>
  <si>
    <t>NFX-101129</t>
  </si>
  <si>
    <t>Iron Legacy 8</t>
  </si>
  <si>
    <t>2018-02-09</t>
  </si>
  <si>
    <t>NFX-101130</t>
  </si>
  <si>
    <t>Lost Archive 9</t>
  </si>
  <si>
    <t>2022-04-02</t>
  </si>
  <si>
    <t>NFX-101131</t>
  </si>
  <si>
    <t>Secret City 7</t>
  </si>
  <si>
    <t>NFX-101132</t>
  </si>
  <si>
    <t>Crystal Signal 3</t>
  </si>
  <si>
    <t>2020-08-10</t>
  </si>
  <si>
    <t>NFX-101133</t>
  </si>
  <si>
    <t>Golden Odyssey 8</t>
  </si>
  <si>
    <t>NFX-101134</t>
  </si>
  <si>
    <t>Dark Horizon 6</t>
  </si>
  <si>
    <t>2024-07-07</t>
  </si>
  <si>
    <t>NFX-101135</t>
  </si>
  <si>
    <t>Rising Horizon 6</t>
  </si>
  <si>
    <t>NFX-101136</t>
  </si>
  <si>
    <t>Rising Code 6</t>
  </si>
  <si>
    <t>2023-11-17</t>
  </si>
  <si>
    <t>NFX-101137</t>
  </si>
  <si>
    <t>Lost Echo 4</t>
  </si>
  <si>
    <t>2020-03-22</t>
  </si>
  <si>
    <t>NFX-101138</t>
  </si>
  <si>
    <t>Burning Storm 9</t>
  </si>
  <si>
    <t>2023-06-30</t>
  </si>
  <si>
    <t>NFX-101139</t>
  </si>
  <si>
    <t>Broken Protocol 6</t>
  </si>
  <si>
    <t>2022-04-21</t>
  </si>
  <si>
    <t>NFX-101140</t>
  </si>
  <si>
    <t>Secret Signal 4</t>
  </si>
  <si>
    <t>NFX-101141</t>
  </si>
  <si>
    <t>Crystal Protocol 5</t>
  </si>
  <si>
    <t>2018-02-03</t>
  </si>
  <si>
    <t>NFX-101142</t>
  </si>
  <si>
    <t>Burning City 2</t>
  </si>
  <si>
    <t>2018-02-22</t>
  </si>
  <si>
    <t>NFX-101143</t>
  </si>
  <si>
    <t>Hidden Code 9</t>
  </si>
  <si>
    <t>2022-05-30</t>
  </si>
  <si>
    <t>NFX-101144</t>
  </si>
  <si>
    <t>Rising Valley 1</t>
  </si>
  <si>
    <t>2021-10-14</t>
  </si>
  <si>
    <t>NFX-101145</t>
  </si>
  <si>
    <t>Dark Protocol 9</t>
  </si>
  <si>
    <t>2021-04-08</t>
  </si>
  <si>
    <t>NFX-101146</t>
  </si>
  <si>
    <t>Rising Valley 4</t>
  </si>
  <si>
    <t>NFX-101147</t>
  </si>
  <si>
    <t>Lost Empire 8</t>
  </si>
  <si>
    <t>2020-12-13</t>
  </si>
  <si>
    <t>NFX-101148</t>
  </si>
  <si>
    <t>Midnight Frontier 2</t>
  </si>
  <si>
    <t>2023-03-06</t>
  </si>
  <si>
    <t>NFX-101149</t>
  </si>
  <si>
    <t>Lost Legacy 3</t>
  </si>
  <si>
    <t>2024-05-27</t>
  </si>
  <si>
    <t>NFX-101150</t>
  </si>
  <si>
    <t>Lost Signal 4</t>
  </si>
  <si>
    <t>2018-04-08</t>
  </si>
  <si>
    <t>NFX-101151</t>
  </si>
  <si>
    <t>Lost Odyssey 3</t>
  </si>
  <si>
    <t>2021-01-29</t>
  </si>
  <si>
    <t>NFX-101152</t>
  </si>
  <si>
    <t>Secret Protocol 7</t>
  </si>
  <si>
    <t>2021-05-15</t>
  </si>
  <si>
    <t>NFX-101153</t>
  </si>
  <si>
    <t>Iron Signal 3</t>
  </si>
  <si>
    <t>NFX-101154</t>
  </si>
  <si>
    <t>Iron Echo 7</t>
  </si>
  <si>
    <t>2024-02-19</t>
  </si>
  <si>
    <t>NFX-101155</t>
  </si>
  <si>
    <t>Secret Chronicles 2</t>
  </si>
  <si>
    <t>2022-08-08</t>
  </si>
  <si>
    <t>NFX-101156</t>
  </si>
  <si>
    <t>Last Empire 5</t>
  </si>
  <si>
    <t>NFX-101157</t>
  </si>
  <si>
    <t>Iron Chronicles 1</t>
  </si>
  <si>
    <t>2020-11-15</t>
  </si>
  <si>
    <t>NFX-101158</t>
  </si>
  <si>
    <t>Fading Echo 4</t>
  </si>
  <si>
    <t>NFX-101159</t>
  </si>
  <si>
    <t>Shadow Code 4</t>
  </si>
  <si>
    <t>NFX-101160</t>
  </si>
  <si>
    <t>Iron Frontier 4</t>
  </si>
  <si>
    <t>2023-04-23</t>
  </si>
  <si>
    <t>NFX-101161</t>
  </si>
  <si>
    <t>Midnight Odyssey 6</t>
  </si>
  <si>
    <t>2023-05-15</t>
  </si>
  <si>
    <t>NFX-101162</t>
  </si>
  <si>
    <t>Last Chronicles 1</t>
  </si>
  <si>
    <t>NFX-101163</t>
  </si>
  <si>
    <t>Broken Chronicles 4</t>
  </si>
  <si>
    <t>2018-10-04</t>
  </si>
  <si>
    <t>NFX-101164</t>
  </si>
  <si>
    <t>Last City 9</t>
  </si>
  <si>
    <t>NFX-101165</t>
  </si>
  <si>
    <t>Shadow Frontier 2</t>
  </si>
  <si>
    <t>2022-11-12</t>
  </si>
  <si>
    <t>NFX-101166</t>
  </si>
  <si>
    <t>Silent Frontier 4</t>
  </si>
  <si>
    <t>NFX-101167</t>
  </si>
  <si>
    <t>Golden Echo 4</t>
  </si>
  <si>
    <t>NFX-101168</t>
  </si>
  <si>
    <t>Burning Code 2</t>
  </si>
  <si>
    <t>2024-08-04</t>
  </si>
  <si>
    <t>NFX-101169</t>
  </si>
  <si>
    <t>Lost Empire 3</t>
  </si>
  <si>
    <t>2020-01-05</t>
  </si>
  <si>
    <t>NFX-101170</t>
  </si>
  <si>
    <t>Broken Echo 7</t>
  </si>
  <si>
    <t>2023-06-24</t>
  </si>
  <si>
    <t>NFX-101171</t>
  </si>
  <si>
    <t>Shadow Protocol 9</t>
  </si>
  <si>
    <t>2023-01-10</t>
  </si>
  <si>
    <t>NFX-101172</t>
  </si>
  <si>
    <t>Golden Signal 5</t>
  </si>
  <si>
    <t>NFX-101173</t>
  </si>
  <si>
    <t>Crystal Empire 8</t>
  </si>
  <si>
    <t>2022-05-27</t>
  </si>
  <si>
    <t>NFX-101174</t>
  </si>
  <si>
    <t>Shadow Empire 9</t>
  </si>
  <si>
    <t>NFX-101175</t>
  </si>
  <si>
    <t>Silent Code 9</t>
  </si>
  <si>
    <t>NFX-101176</t>
  </si>
  <si>
    <t>Broken Protocol 7</t>
  </si>
  <si>
    <t>2021-03-12</t>
  </si>
  <si>
    <t>NFX-101177</t>
  </si>
  <si>
    <t>Midnight Storm 6</t>
  </si>
  <si>
    <t>NFX-101178</t>
  </si>
  <si>
    <t>Lost Empire 1</t>
  </si>
  <si>
    <t>2024-02-23</t>
  </si>
  <si>
    <t>NFX-101179</t>
  </si>
  <si>
    <t>Broken Protocol 8</t>
  </si>
  <si>
    <t>NFX-101180</t>
  </si>
  <si>
    <t>Secret Echo 2</t>
  </si>
  <si>
    <t>2019-10-17</t>
  </si>
  <si>
    <t>NFX-101181</t>
  </si>
  <si>
    <t>Iron Protocol 6</t>
  </si>
  <si>
    <t>NFX-101182</t>
  </si>
  <si>
    <t>Burning Valley 9</t>
  </si>
  <si>
    <t>2019-02-09</t>
  </si>
  <si>
    <t>NFX-101183</t>
  </si>
  <si>
    <t>Crystal Legacy 1</t>
  </si>
  <si>
    <t>NFX-101184</t>
  </si>
  <si>
    <t>Rising Legacy 8</t>
  </si>
  <si>
    <t>NFX-101185</t>
  </si>
  <si>
    <t>Last Code 3</t>
  </si>
  <si>
    <t>2023-08-12</t>
  </si>
  <si>
    <t>NFX-101186</t>
  </si>
  <si>
    <t>Rising Protocol 2</t>
  </si>
  <si>
    <t>NFX-101187</t>
  </si>
  <si>
    <t>Crystal Valley 5</t>
  </si>
  <si>
    <t>NFX-101188</t>
  </si>
  <si>
    <t>Last Protocol 9</t>
  </si>
  <si>
    <t>2018-10-31</t>
  </si>
  <si>
    <t>NFX-101189</t>
  </si>
  <si>
    <t>Fading Chronicles 5</t>
  </si>
  <si>
    <t>NFX-101190</t>
  </si>
  <si>
    <t>Crystal Chronicles 5</t>
  </si>
  <si>
    <t>NFX-101191</t>
  </si>
  <si>
    <t>Broken Code 3</t>
  </si>
  <si>
    <t>NFX-101192</t>
  </si>
  <si>
    <t>Golden Echo 1</t>
  </si>
  <si>
    <t>2020-04-16</t>
  </si>
  <si>
    <t>NFX-101193</t>
  </si>
  <si>
    <t>Last Protocol 6</t>
  </si>
  <si>
    <t>2019-05-29</t>
  </si>
  <si>
    <t>NFX-101194</t>
  </si>
  <si>
    <t>Broken Horizon 8</t>
  </si>
  <si>
    <t>NFX-101195</t>
  </si>
  <si>
    <t>Burning Frontier 9</t>
  </si>
  <si>
    <t>2022-09-24</t>
  </si>
  <si>
    <t>NFX-101196</t>
  </si>
  <si>
    <t>Secret City 8</t>
  </si>
  <si>
    <t>NFX-101197</t>
  </si>
  <si>
    <t>Iron Odyssey 6</t>
  </si>
  <si>
    <t>2023-10-02</t>
  </si>
  <si>
    <t>NFX-101198</t>
  </si>
  <si>
    <t>Secret Horizon 8</t>
  </si>
  <si>
    <t>2021-09-14</t>
  </si>
  <si>
    <t>NFX-101199</t>
  </si>
  <si>
    <t>Hidden City 8</t>
  </si>
  <si>
    <t>2020-08-16</t>
  </si>
  <si>
    <t>NFX-101200</t>
  </si>
  <si>
    <t>Last Empire 1</t>
  </si>
  <si>
    <t>2019-09-03</t>
  </si>
  <si>
    <t>NFX-101201</t>
  </si>
  <si>
    <t>Iron Empire 6</t>
  </si>
  <si>
    <t>2023-04-24</t>
  </si>
  <si>
    <t>NFX-101202</t>
  </si>
  <si>
    <t>Hidden Valley 3</t>
  </si>
  <si>
    <t>2021-05-03</t>
  </si>
  <si>
    <t>NFX-101203</t>
  </si>
  <si>
    <t>Burning Protocol 5</t>
  </si>
  <si>
    <t>2019-02-13</t>
  </si>
  <si>
    <t>NFX-101204</t>
  </si>
  <si>
    <t>Dark Valley 5</t>
  </si>
  <si>
    <t>2020-01-24</t>
  </si>
  <si>
    <t>NFX-101205</t>
  </si>
  <si>
    <t>Fading Code 9</t>
  </si>
  <si>
    <t>NFX-101206</t>
  </si>
  <si>
    <t>Fading Signal 1</t>
  </si>
  <si>
    <t>NFX-101207</t>
  </si>
  <si>
    <t>Midnight Signal 9</t>
  </si>
  <si>
    <t>2018-06-08</t>
  </si>
  <si>
    <t>NFX-101208</t>
  </si>
  <si>
    <t>Shadow Protocol 4</t>
  </si>
  <si>
    <t>2023-01-12</t>
  </si>
  <si>
    <t>NFX-101209</t>
  </si>
  <si>
    <t>Shadow City 2</t>
  </si>
  <si>
    <t>2020-08-21</t>
  </si>
  <si>
    <t>NFX-101210</t>
  </si>
  <si>
    <t>Golden Empire 7</t>
  </si>
  <si>
    <t>NFX-101211</t>
  </si>
  <si>
    <t>Rising Echo 1</t>
  </si>
  <si>
    <t>2022-06-11</t>
  </si>
  <si>
    <t>NFX-101212</t>
  </si>
  <si>
    <t>Shadow Odyssey 5</t>
  </si>
  <si>
    <t>2023-02-21</t>
  </si>
  <si>
    <t>NFX-101213</t>
  </si>
  <si>
    <t>Iron Storm 1</t>
  </si>
  <si>
    <t>2022-07-25</t>
  </si>
  <si>
    <t>NFX-101214</t>
  </si>
  <si>
    <t>Golden City 7</t>
  </si>
  <si>
    <t>2021-10-19</t>
  </si>
  <si>
    <t>NFX-101215</t>
  </si>
  <si>
    <t>Rising Signal 3</t>
  </si>
  <si>
    <t>2018-03-30</t>
  </si>
  <si>
    <t>NFX-101216</t>
  </si>
  <si>
    <t>Secret Legacy 6</t>
  </si>
  <si>
    <t>2023-10-12</t>
  </si>
  <si>
    <t>NFX-101217</t>
  </si>
  <si>
    <t>Lost Archive 8</t>
  </si>
  <si>
    <t>NFX-101218</t>
  </si>
  <si>
    <t>Burning Odyssey 6</t>
  </si>
  <si>
    <t>2020-03-01</t>
  </si>
  <si>
    <t>NFX-101219</t>
  </si>
  <si>
    <t>Last Archive 6</t>
  </si>
  <si>
    <t>2023-12-29</t>
  </si>
  <si>
    <t>NFX-101220</t>
  </si>
  <si>
    <t>Shadow Empire 5</t>
  </si>
  <si>
    <t>NFX-101221</t>
  </si>
  <si>
    <t>Burning Signal 6</t>
  </si>
  <si>
    <t>2021-08-07</t>
  </si>
  <si>
    <t>NFX-101222</t>
  </si>
  <si>
    <t>Dark Code 2</t>
  </si>
  <si>
    <t>2024-01-26</t>
  </si>
  <si>
    <t>NFX-101223</t>
  </si>
  <si>
    <t>Last Odyssey 3</t>
  </si>
  <si>
    <t>2021-11-07</t>
  </si>
  <si>
    <t>NFX-101224</t>
  </si>
  <si>
    <t>Silent Journey 9</t>
  </si>
  <si>
    <t>NFX-101225</t>
  </si>
  <si>
    <t>Hidden Signal 7</t>
  </si>
  <si>
    <t>NFX-101226</t>
  </si>
  <si>
    <t>Silent Empire 5</t>
  </si>
  <si>
    <t>NFX-101227</t>
  </si>
  <si>
    <t>Fading Valley 1</t>
  </si>
  <si>
    <t>NFX-101228</t>
  </si>
  <si>
    <t>Dark Chronicles 2</t>
  </si>
  <si>
    <t>NFX-101229</t>
  </si>
  <si>
    <t>Crystal Chronicles 6</t>
  </si>
  <si>
    <t>2024-08-12</t>
  </si>
  <si>
    <t>NFX-101230</t>
  </si>
  <si>
    <t>Dark Legacy 8</t>
  </si>
  <si>
    <t>2020-09-12</t>
  </si>
  <si>
    <t>NFX-101231</t>
  </si>
  <si>
    <t>Last Protocol 4</t>
  </si>
  <si>
    <t>2018-02-12</t>
  </si>
  <si>
    <t>NFX-101232</t>
  </si>
  <si>
    <t>Fading Archive 9</t>
  </si>
  <si>
    <t>2021-09-10</t>
  </si>
  <si>
    <t>NFX-101233</t>
  </si>
  <si>
    <t>Midnight Archive 9</t>
  </si>
  <si>
    <t>2018-09-19</t>
  </si>
  <si>
    <t>NFX-101234</t>
  </si>
  <si>
    <t>Last Echo 6</t>
  </si>
  <si>
    <t>2022-09-08</t>
  </si>
  <si>
    <t>NFX-101235</t>
  </si>
  <si>
    <t>Crystal Code 1</t>
  </si>
  <si>
    <t>2020-02-15</t>
  </si>
  <si>
    <t>NFX-101236</t>
  </si>
  <si>
    <t>Shadow Protocol 2</t>
  </si>
  <si>
    <t>2020-03-04</t>
  </si>
  <si>
    <t>NFX-101237</t>
  </si>
  <si>
    <t>Rising Signal 7</t>
  </si>
  <si>
    <t>NFX-101238</t>
  </si>
  <si>
    <t>Crystal Archive 7</t>
  </si>
  <si>
    <t>2020-06-02</t>
  </si>
  <si>
    <t>NFX-101239</t>
  </si>
  <si>
    <t>Broken Odyssey 8</t>
  </si>
  <si>
    <t>2024-10-31</t>
  </si>
  <si>
    <t>NFX-101240</t>
  </si>
  <si>
    <t>Fading Odyssey 4</t>
  </si>
  <si>
    <t>2024-07-19</t>
  </si>
  <si>
    <t>NFX-101241</t>
  </si>
  <si>
    <t>Dark Protocol 4</t>
  </si>
  <si>
    <t>NFX-101242</t>
  </si>
  <si>
    <t>Silent Code 2</t>
  </si>
  <si>
    <t>2018-04-04</t>
  </si>
  <si>
    <t>NFX-101243</t>
  </si>
  <si>
    <t>Broken Frontier 8</t>
  </si>
  <si>
    <t>NFX-101244</t>
  </si>
  <si>
    <t>Hidden Frontier 8</t>
  </si>
  <si>
    <t>2023-01-17</t>
  </si>
  <si>
    <t>NFX-101245</t>
  </si>
  <si>
    <t>Crystal Odyssey 1</t>
  </si>
  <si>
    <t>2023-03-11</t>
  </si>
  <si>
    <t>NFX-101246</t>
  </si>
  <si>
    <t>Fading Storm 3</t>
  </si>
  <si>
    <t>2021-07-14</t>
  </si>
  <si>
    <t>NFX-101247</t>
  </si>
  <si>
    <t>Crystal Legacy 2</t>
  </si>
  <si>
    <t>NFX-101248</t>
  </si>
  <si>
    <t>Silent Odyssey 8</t>
  </si>
  <si>
    <t>2018-08-25</t>
  </si>
  <si>
    <t>NFX-101249</t>
  </si>
  <si>
    <t>Iron Empire 9</t>
  </si>
  <si>
    <t>NFX-101250</t>
  </si>
  <si>
    <t>Last Horizon 4</t>
  </si>
  <si>
    <t>NFX-101251</t>
  </si>
  <si>
    <t>Fading City 5</t>
  </si>
  <si>
    <t>2021-02-20</t>
  </si>
  <si>
    <t>NFX-101252</t>
  </si>
  <si>
    <t>Lost Legacy 7</t>
  </si>
  <si>
    <t>2020-05-04</t>
  </si>
  <si>
    <t>NFX-101253</t>
  </si>
  <si>
    <t>Midnight Empire 4</t>
  </si>
  <si>
    <t>2020-10-03</t>
  </si>
  <si>
    <t>NFX-101254</t>
  </si>
  <si>
    <t>Rising Horizon 9</t>
  </si>
  <si>
    <t>2024-11-04</t>
  </si>
  <si>
    <t>NFX-101255</t>
  </si>
  <si>
    <t>Fading Chronicles 6</t>
  </si>
  <si>
    <t>2018-11-09</t>
  </si>
  <si>
    <t>NFX-101256</t>
  </si>
  <si>
    <t>Broken Echo 8</t>
  </si>
  <si>
    <t>2024-08-20</t>
  </si>
  <si>
    <t>NFX-101257</t>
  </si>
  <si>
    <t>Broken Storm 3</t>
  </si>
  <si>
    <t>2021-07-31</t>
  </si>
  <si>
    <t>NFX-101258</t>
  </si>
  <si>
    <t>Secret Storm 8</t>
  </si>
  <si>
    <t>2023-09-30</t>
  </si>
  <si>
    <t>NFX-101259</t>
  </si>
  <si>
    <t>Burning Storm 2</t>
  </si>
  <si>
    <t>2018-02-11</t>
  </si>
  <si>
    <t>NFX-101260</t>
  </si>
  <si>
    <t>Lost Valley 1</t>
  </si>
  <si>
    <t>NFX-101261</t>
  </si>
  <si>
    <t>Secret Horizon 7</t>
  </si>
  <si>
    <t>NFX-101262</t>
  </si>
  <si>
    <t>Broken Archive 4</t>
  </si>
  <si>
    <t>NFX-101263</t>
  </si>
  <si>
    <t>Fading Echo 1</t>
  </si>
  <si>
    <t>2019-09-18</t>
  </si>
  <si>
    <t>NFX-101264</t>
  </si>
  <si>
    <t>Fading Journey 8</t>
  </si>
  <si>
    <t>NFX-101265</t>
  </si>
  <si>
    <t>Golden Chronicles 5</t>
  </si>
  <si>
    <t>NFX-101266</t>
  </si>
  <si>
    <t>Hidden Valley 9</t>
  </si>
  <si>
    <t>NFX-101267</t>
  </si>
  <si>
    <t>Burning Protocol 7</t>
  </si>
  <si>
    <t>NFX-101268</t>
  </si>
  <si>
    <t>Lost Code 4</t>
  </si>
  <si>
    <t>2022-08-26</t>
  </si>
  <si>
    <t>NFX-101269</t>
  </si>
  <si>
    <t>Silent Protocol 7</t>
  </si>
  <si>
    <t>NFX-101270</t>
  </si>
  <si>
    <t>Dark Protocol 6</t>
  </si>
  <si>
    <t>2020-02-07</t>
  </si>
  <si>
    <t>NFX-101271</t>
  </si>
  <si>
    <t>Last Archive 7</t>
  </si>
  <si>
    <t>2022-10-03</t>
  </si>
  <si>
    <t>NFX-101272</t>
  </si>
  <si>
    <t>Rising Protocol 4</t>
  </si>
  <si>
    <t>2019-04-25</t>
  </si>
  <si>
    <t>NFX-101273</t>
  </si>
  <si>
    <t>Burning Code 1</t>
  </si>
  <si>
    <t>2022-02-23</t>
  </si>
  <si>
    <t>NFX-101274</t>
  </si>
  <si>
    <t>Golden City 1</t>
  </si>
  <si>
    <t>NFX-101275</t>
  </si>
  <si>
    <t>Secret Archive 8</t>
  </si>
  <si>
    <t>2019-02-14</t>
  </si>
  <si>
    <t>NFX-101276</t>
  </si>
  <si>
    <t>Fading Valley 6</t>
  </si>
  <si>
    <t>2018-08-05</t>
  </si>
  <si>
    <t>NFX-101277</t>
  </si>
  <si>
    <t>Golden Signal 8</t>
  </si>
  <si>
    <t>NFX-101278</t>
  </si>
  <si>
    <t>Shadow Signal 5</t>
  </si>
  <si>
    <t>NFX-101279</t>
  </si>
  <si>
    <t>Golden Empire 3</t>
  </si>
  <si>
    <t>2021-06-25</t>
  </si>
  <si>
    <t>NFX-101280</t>
  </si>
  <si>
    <t>Golden Empire 9</t>
  </si>
  <si>
    <t>2023-09-27</t>
  </si>
  <si>
    <t>NFX-101281</t>
  </si>
  <si>
    <t>Silent Legacy 6</t>
  </si>
  <si>
    <t>NFX-101282</t>
  </si>
  <si>
    <t>Dark Signal 3</t>
  </si>
  <si>
    <t>2023-03-08</t>
  </si>
  <si>
    <t>NFX-101283</t>
  </si>
  <si>
    <t>Burning Horizon 1</t>
  </si>
  <si>
    <t>2019-12-25</t>
  </si>
  <si>
    <t>NFX-101284</t>
  </si>
  <si>
    <t>Golden Journey 7</t>
  </si>
  <si>
    <t>2019-07-17</t>
  </si>
  <si>
    <t>NFX-101285</t>
  </si>
  <si>
    <t>Dark Frontier 1</t>
  </si>
  <si>
    <t>NFX-101286</t>
  </si>
  <si>
    <t>Lost Horizon 6</t>
  </si>
  <si>
    <t>2021-08-09</t>
  </si>
  <si>
    <t>NFX-101287</t>
  </si>
  <si>
    <t>Crystal Storm 3</t>
  </si>
  <si>
    <t>2022-06-13</t>
  </si>
  <si>
    <t>NFX-101288</t>
  </si>
  <si>
    <t>Dark Legacy 6</t>
  </si>
  <si>
    <t>2023-02-11</t>
  </si>
  <si>
    <t>NFX-101289</t>
  </si>
  <si>
    <t>Midnight Chronicles 5</t>
  </si>
  <si>
    <t>2022-09-16</t>
  </si>
  <si>
    <t>NFX-101290</t>
  </si>
  <si>
    <t>Broken Legacy 7</t>
  </si>
  <si>
    <t>NFX-101291</t>
  </si>
  <si>
    <t>Golden Odyssey 9</t>
  </si>
  <si>
    <t>2022-07-17</t>
  </si>
  <si>
    <t>NFX-101292</t>
  </si>
  <si>
    <t>Crystal Odyssey 9</t>
  </si>
  <si>
    <t>2022-09-17</t>
  </si>
  <si>
    <t>NFX-101293</t>
  </si>
  <si>
    <t>Golden Code 5</t>
  </si>
  <si>
    <t>NFX-101294</t>
  </si>
  <si>
    <t>Dark Storm 8</t>
  </si>
  <si>
    <t>2023-03-07</t>
  </si>
  <si>
    <t>NFX-101295</t>
  </si>
  <si>
    <t>Iron Empire 5</t>
  </si>
  <si>
    <t>NFX-101296</t>
  </si>
  <si>
    <t>Secret Code 9</t>
  </si>
  <si>
    <t>2020-02-25</t>
  </si>
  <si>
    <t>NFX-101297</t>
  </si>
  <si>
    <t>Golden Code 1</t>
  </si>
  <si>
    <t>2020-04-24</t>
  </si>
  <si>
    <t>NFX-101298</t>
  </si>
  <si>
    <t>Shadow Empire 3</t>
  </si>
  <si>
    <t>2020-08-07</t>
  </si>
  <si>
    <t>NFX-101299</t>
  </si>
  <si>
    <t>Burning Journey 3</t>
  </si>
  <si>
    <t>2022-03-28</t>
  </si>
  <si>
    <t>NFX-101300</t>
  </si>
  <si>
    <t>Shadow Legacy 8</t>
  </si>
  <si>
    <t>NFX-101301</t>
  </si>
  <si>
    <t>Lost Storm 5</t>
  </si>
  <si>
    <t>2024-01-17</t>
  </si>
  <si>
    <t>NFX-101302</t>
  </si>
  <si>
    <t>Crystal Chronicles 4</t>
  </si>
  <si>
    <t>NFX-101303</t>
  </si>
  <si>
    <t>Hidden Code 1</t>
  </si>
  <si>
    <t>NFX-101304</t>
  </si>
  <si>
    <t>Crystal Valley 7</t>
  </si>
  <si>
    <t>2021-05-24</t>
  </si>
  <si>
    <t>NFX-101305</t>
  </si>
  <si>
    <t>Rising Frontier 2</t>
  </si>
  <si>
    <t>2024-08-28</t>
  </si>
  <si>
    <t>NFX-101306</t>
  </si>
  <si>
    <t>Secret City 4</t>
  </si>
  <si>
    <t>2019-01-03</t>
  </si>
  <si>
    <t>NFX-101307</t>
  </si>
  <si>
    <t>Golden Storm 1</t>
  </si>
  <si>
    <t>NFX-101308</t>
  </si>
  <si>
    <t>Shadow Protocol 3</t>
  </si>
  <si>
    <t>NFX-101309</t>
  </si>
  <si>
    <t>Burning Echo 3</t>
  </si>
  <si>
    <t>NFX-101310</t>
  </si>
  <si>
    <t>Golden Code 9</t>
  </si>
  <si>
    <t>2022-09-23</t>
  </si>
  <si>
    <t>NFX-101311</t>
  </si>
  <si>
    <t>Burning Frontier 8</t>
  </si>
  <si>
    <t>2021-05-19</t>
  </si>
  <si>
    <t>NFX-101312</t>
  </si>
  <si>
    <t>Midnight Signal 8</t>
  </si>
  <si>
    <t>NFX-101313</t>
  </si>
  <si>
    <t>Rising Frontier 6</t>
  </si>
  <si>
    <t>2019-09-09</t>
  </si>
  <si>
    <t>NFX-101314</t>
  </si>
  <si>
    <t>Fading Odyssey 5</t>
  </si>
  <si>
    <t>2018-10-09</t>
  </si>
  <si>
    <t>NFX-101315</t>
  </si>
  <si>
    <t>Golden Protocol 3</t>
  </si>
  <si>
    <t>NFX-101316</t>
  </si>
  <si>
    <t>Burning Journey 4</t>
  </si>
  <si>
    <t>NFX-101317</t>
  </si>
  <si>
    <t>Rising Chronicles 2</t>
  </si>
  <si>
    <t>NFX-101318</t>
  </si>
  <si>
    <t>Fading Odyssey 2</t>
  </si>
  <si>
    <t>2018-06-18</t>
  </si>
  <si>
    <t>NFX-101319</t>
  </si>
  <si>
    <t>Fading Chronicles 7</t>
  </si>
  <si>
    <t>2022-04-17</t>
  </si>
  <si>
    <t>NFX-101320</t>
  </si>
  <si>
    <t>Hidden Code 8</t>
  </si>
  <si>
    <t>NFX-101321</t>
  </si>
  <si>
    <t>Shadow Code 9</t>
  </si>
  <si>
    <t>2019-01-23</t>
  </si>
  <si>
    <t>NFX-101322</t>
  </si>
  <si>
    <t>Dark Storm 6</t>
  </si>
  <si>
    <t>2023-03-23</t>
  </si>
  <si>
    <t>NFX-101323</t>
  </si>
  <si>
    <t>Broken Storm 9</t>
  </si>
  <si>
    <t>2022-05-28</t>
  </si>
  <si>
    <t>NFX-101324</t>
  </si>
  <si>
    <t>Lost City 4</t>
  </si>
  <si>
    <t>2021-10-21</t>
  </si>
  <si>
    <t>NFX-101325</t>
  </si>
  <si>
    <t>Crystal Journey 5</t>
  </si>
  <si>
    <t>2018-08-11</t>
  </si>
  <si>
    <t>NFX-101326</t>
  </si>
  <si>
    <t>Shadow Frontier 7</t>
  </si>
  <si>
    <t>NFX-101327</t>
  </si>
  <si>
    <t>Fading Protocol 8</t>
  </si>
  <si>
    <t>NFX-101328</t>
  </si>
  <si>
    <t>Broken Echo 5</t>
  </si>
  <si>
    <t>2018-03-01</t>
  </si>
  <si>
    <t>NFX-101329</t>
  </si>
  <si>
    <t>Fading Horizon 9</t>
  </si>
  <si>
    <t>NFX-101330</t>
  </si>
  <si>
    <t>Shadow Legacy 6</t>
  </si>
  <si>
    <t>2023-01-25</t>
  </si>
  <si>
    <t>NFX-101331</t>
  </si>
  <si>
    <t>Last Echo 5</t>
  </si>
  <si>
    <t>NFX-101332</t>
  </si>
  <si>
    <t>Silent Storm 1</t>
  </si>
  <si>
    <t>NFX-101333</t>
  </si>
  <si>
    <t>Secret Horizon 1</t>
  </si>
  <si>
    <t>NFX-101334</t>
  </si>
  <si>
    <t>Secret Valley 4</t>
  </si>
  <si>
    <t>NFX-101335</t>
  </si>
  <si>
    <t>Last Storm 3</t>
  </si>
  <si>
    <t>NFX-101336</t>
  </si>
  <si>
    <t>Broken Code 8</t>
  </si>
  <si>
    <t>2019-01-20</t>
  </si>
  <si>
    <t>NFX-101337</t>
  </si>
  <si>
    <t>Hidden Chronicles 1</t>
  </si>
  <si>
    <t>2021-12-17</t>
  </si>
  <si>
    <t>NFX-101338</t>
  </si>
  <si>
    <t>Fading Frontier 7</t>
  </si>
  <si>
    <t>NFX-101339</t>
  </si>
  <si>
    <t>Crystal Horizon 2</t>
  </si>
  <si>
    <t>NFX-101340</t>
  </si>
  <si>
    <t>Secret Odyssey 6</t>
  </si>
  <si>
    <t>2019-03-09</t>
  </si>
  <si>
    <t>NFX-101341</t>
  </si>
  <si>
    <t>Silent Journey 3</t>
  </si>
  <si>
    <t>2022-06-27</t>
  </si>
  <si>
    <t>NFX-101342</t>
  </si>
  <si>
    <t>Silent Storm 4</t>
  </si>
  <si>
    <t>NFX-101343</t>
  </si>
  <si>
    <t>Rising Archive 7</t>
  </si>
  <si>
    <t>2023-06-08</t>
  </si>
  <si>
    <t>NFX-101344</t>
  </si>
  <si>
    <t>Broken Signal 1</t>
  </si>
  <si>
    <t>2021-07-25</t>
  </si>
  <si>
    <t>NFX-101345</t>
  </si>
  <si>
    <t>Last Frontier 6</t>
  </si>
  <si>
    <t>NFX-101346</t>
  </si>
  <si>
    <t>Iron Code 6</t>
  </si>
  <si>
    <t>2023-03-30</t>
  </si>
  <si>
    <t>NFX-101347</t>
  </si>
  <si>
    <t>Hidden Odyssey 6</t>
  </si>
  <si>
    <t>NFX-101348</t>
  </si>
  <si>
    <t>Burning Signal 7</t>
  </si>
  <si>
    <t>NFX-101349</t>
  </si>
  <si>
    <t>Golden Frontier 3</t>
  </si>
  <si>
    <t>2018-08-09</t>
  </si>
  <si>
    <t>NFX-101350</t>
  </si>
  <si>
    <t>Crystal Chronicles 8</t>
  </si>
  <si>
    <t>2020-08-01</t>
  </si>
  <si>
    <t>NFX-101351</t>
  </si>
  <si>
    <t>Hidden Empire 7</t>
  </si>
  <si>
    <t>2018-08-26</t>
  </si>
  <si>
    <t>NFX-101352</t>
  </si>
  <si>
    <t>Crystal Valley 3</t>
  </si>
  <si>
    <t>2019-02-02</t>
  </si>
  <si>
    <t>NFX-101353</t>
  </si>
  <si>
    <t>Rising Archive 4</t>
  </si>
  <si>
    <t>2019-08-03</t>
  </si>
  <si>
    <t>NFX-101354</t>
  </si>
  <si>
    <t>Rising Journey 8</t>
  </si>
  <si>
    <t>2023-05-20</t>
  </si>
  <si>
    <t>NFX-101355</t>
  </si>
  <si>
    <t>Golden Storm 4</t>
  </si>
  <si>
    <t>2020-06-28</t>
  </si>
  <si>
    <t>NFX-101356</t>
  </si>
  <si>
    <t>Dark City 4</t>
  </si>
  <si>
    <t>NFX-101357</t>
  </si>
  <si>
    <t>Shadow Frontier 8</t>
  </si>
  <si>
    <t>NFX-101358</t>
  </si>
  <si>
    <t>Burning Chronicles 2</t>
  </si>
  <si>
    <t>NFX-101359</t>
  </si>
  <si>
    <t>Iron Frontier 1</t>
  </si>
  <si>
    <t>2018-09-27</t>
  </si>
  <si>
    <t>NFX-101360</t>
  </si>
  <si>
    <t>Silent Protocol 4</t>
  </si>
  <si>
    <t>2023-07-15</t>
  </si>
  <si>
    <t>NFX-101361</t>
  </si>
  <si>
    <t>Iron Valley 6</t>
  </si>
  <si>
    <t>2021-07-19</t>
  </si>
  <si>
    <t>NFX-101362</t>
  </si>
  <si>
    <t>Fading Odyssey 6</t>
  </si>
  <si>
    <t>2023-04-02</t>
  </si>
  <si>
    <t>NFX-101363</t>
  </si>
  <si>
    <t>Rising Journey 7</t>
  </si>
  <si>
    <t>2020-11-24</t>
  </si>
  <si>
    <t>NFX-101364</t>
  </si>
  <si>
    <t>Rising Archive 3</t>
  </si>
  <si>
    <t>2019-11-06</t>
  </si>
  <si>
    <t>NFX-101365</t>
  </si>
  <si>
    <t>Fading Empire 2</t>
  </si>
  <si>
    <t>NFX-101366</t>
  </si>
  <si>
    <t>Secret Journey 6</t>
  </si>
  <si>
    <t>2019-02-10</t>
  </si>
  <si>
    <t>NFX-101367</t>
  </si>
  <si>
    <t>Midnight Archive 3</t>
  </si>
  <si>
    <t>NFX-101368</t>
  </si>
  <si>
    <t>Broken Odyssey 9</t>
  </si>
  <si>
    <t>2020-03-29</t>
  </si>
  <si>
    <t>NFX-101369</t>
  </si>
  <si>
    <t>Midnight Code 1</t>
  </si>
  <si>
    <t>NFX-101370</t>
  </si>
  <si>
    <t>Secret Code 8</t>
  </si>
  <si>
    <t>2019-12-10</t>
  </si>
  <si>
    <t>NFX-101371</t>
  </si>
  <si>
    <t>Iron Echo 2</t>
  </si>
  <si>
    <t>2020-07-22</t>
  </si>
  <si>
    <t>NFX-101372</t>
  </si>
  <si>
    <t>Broken Empire 3</t>
  </si>
  <si>
    <t>NFX-101373</t>
  </si>
  <si>
    <t>Broken Odyssey 1</t>
  </si>
  <si>
    <t>2019-04-09</t>
  </si>
  <si>
    <t>NFX-101374</t>
  </si>
  <si>
    <t>Rising Valley 3</t>
  </si>
  <si>
    <t>NFX-101375</t>
  </si>
  <si>
    <t>Broken Storm 7</t>
  </si>
  <si>
    <t>NFX-101376</t>
  </si>
  <si>
    <t>Shadow City 1</t>
  </si>
  <si>
    <t>2019-07-30</t>
  </si>
  <si>
    <t>NFX-101377</t>
  </si>
  <si>
    <t>Crystal Chronicles 1</t>
  </si>
  <si>
    <t>NFX-101378</t>
  </si>
  <si>
    <t>Iron Frontier 8</t>
  </si>
  <si>
    <t>2020-10-04</t>
  </si>
  <si>
    <t>NFX-101379</t>
  </si>
  <si>
    <t>Fading Echo 9</t>
  </si>
  <si>
    <t>2022-03-24</t>
  </si>
  <si>
    <t>NFX-101380</t>
  </si>
  <si>
    <t>Crystal Code 7</t>
  </si>
  <si>
    <t>2022-05-25</t>
  </si>
  <si>
    <t>NFX-101381</t>
  </si>
  <si>
    <t>Burning Storm 6</t>
  </si>
  <si>
    <t>NFX-101382</t>
  </si>
  <si>
    <t>Crystal Horizon 3</t>
  </si>
  <si>
    <t>NFX-101383</t>
  </si>
  <si>
    <t>Midnight Protocol 6</t>
  </si>
  <si>
    <t>NFX-101384</t>
  </si>
  <si>
    <t>Midnight Protocol 3</t>
  </si>
  <si>
    <t>2024-05-04</t>
  </si>
  <si>
    <t>NFX-101385</t>
  </si>
  <si>
    <t>Lost Horizon 7</t>
  </si>
  <si>
    <t>NFX-101386</t>
  </si>
  <si>
    <t>Crystal Storm 6</t>
  </si>
  <si>
    <t>NFX-101387</t>
  </si>
  <si>
    <t>Midnight Odyssey 7</t>
  </si>
  <si>
    <t>2023-07-26</t>
  </si>
  <si>
    <t>NFX-101388</t>
  </si>
  <si>
    <t>Iron Code 8</t>
  </si>
  <si>
    <t>2018-05-14</t>
  </si>
  <si>
    <t>NFX-101389</t>
  </si>
  <si>
    <t>Lost Echo 2</t>
  </si>
  <si>
    <t>2018-03-17</t>
  </si>
  <si>
    <t>NFX-101390</t>
  </si>
  <si>
    <t>Midnight Frontier 9</t>
  </si>
  <si>
    <t>2024-10-27</t>
  </si>
  <si>
    <t>NFX-101391</t>
  </si>
  <si>
    <t>Rising Empire 5</t>
  </si>
  <si>
    <t>2019-07-16</t>
  </si>
  <si>
    <t>NFX-101392</t>
  </si>
  <si>
    <t>Crystal City 5</t>
  </si>
  <si>
    <t>2023-09-14</t>
  </si>
  <si>
    <t>NFX-101393</t>
  </si>
  <si>
    <t>Crystal Protocol 8</t>
  </si>
  <si>
    <t>NFX-101394</t>
  </si>
  <si>
    <t>Iron Odyssey 9</t>
  </si>
  <si>
    <t>2019-08-14</t>
  </si>
  <si>
    <t>NFX-101395</t>
  </si>
  <si>
    <t>Iron City 8</t>
  </si>
  <si>
    <t>2024-07-09</t>
  </si>
  <si>
    <t>NFX-101396</t>
  </si>
  <si>
    <t>Silent Signal 2</t>
  </si>
  <si>
    <t>NFX-101397</t>
  </si>
  <si>
    <t>Burning Valley 6</t>
  </si>
  <si>
    <t>2019-10-28</t>
  </si>
  <si>
    <t>NFX-101398</t>
  </si>
  <si>
    <t>Golden Frontier 9</t>
  </si>
  <si>
    <t>2018-09-01</t>
  </si>
  <si>
    <t>NFX-101399</t>
  </si>
  <si>
    <t>Silent Archive 7</t>
  </si>
  <si>
    <t>2018-07-24</t>
  </si>
  <si>
    <t>NFX-101400</t>
  </si>
  <si>
    <t>Crystal Odyssey 2</t>
  </si>
  <si>
    <t>NFX-101401</t>
  </si>
  <si>
    <t>Crystal Legacy 7</t>
  </si>
  <si>
    <t>2018-06-24</t>
  </si>
  <si>
    <t>NFX-101402</t>
  </si>
  <si>
    <t>Iron Frontier 7</t>
  </si>
  <si>
    <t>2018-09-15</t>
  </si>
  <si>
    <t>NFX-101403</t>
  </si>
  <si>
    <t>Last Code 9</t>
  </si>
  <si>
    <t>2022-08-05</t>
  </si>
  <si>
    <t>NFX-101404</t>
  </si>
  <si>
    <t>Silent Archive 9</t>
  </si>
  <si>
    <t>NFX-101405</t>
  </si>
  <si>
    <t>Shadow Frontier 9</t>
  </si>
  <si>
    <t>2021-07-09</t>
  </si>
  <si>
    <t>NFX-101406</t>
  </si>
  <si>
    <t>Crystal City 6</t>
  </si>
  <si>
    <t>2023-09-02</t>
  </si>
  <si>
    <t>NFX-101407</t>
  </si>
  <si>
    <t>Fading Archive 8</t>
  </si>
  <si>
    <t>2023-04-30</t>
  </si>
  <si>
    <t>NFX-101408</t>
  </si>
  <si>
    <t>Fading Horizon 3</t>
  </si>
  <si>
    <t>NFX-101409</t>
  </si>
  <si>
    <t>Golden Valley 9</t>
  </si>
  <si>
    <t>2024-09-14</t>
  </si>
  <si>
    <t>NFX-101410</t>
  </si>
  <si>
    <t>Midnight Echo 1</t>
  </si>
  <si>
    <t>NFX-101411</t>
  </si>
  <si>
    <t>Broken Odyssey 4</t>
  </si>
  <si>
    <t>NFX-101412</t>
  </si>
  <si>
    <t>Secret Code 5</t>
  </si>
  <si>
    <t>2018-07-31</t>
  </si>
  <si>
    <t>NFX-101413</t>
  </si>
  <si>
    <t>Broken Journey 6</t>
  </si>
  <si>
    <t>2020-12-05</t>
  </si>
  <si>
    <t>NFX-101414</t>
  </si>
  <si>
    <t>Secret Valley 3</t>
  </si>
  <si>
    <t>2022-11-02</t>
  </si>
  <si>
    <t>NFX-101415</t>
  </si>
  <si>
    <t>Burning Signal 1</t>
  </si>
  <si>
    <t>NFX-101416</t>
  </si>
  <si>
    <t>Midnight Journey 7</t>
  </si>
  <si>
    <t>NFX-101417</t>
  </si>
  <si>
    <t>Lost Echo 8</t>
  </si>
  <si>
    <t>2021-06-21</t>
  </si>
  <si>
    <t>NFX-101418</t>
  </si>
  <si>
    <t>Rising Echo 9</t>
  </si>
  <si>
    <t>2022-12-08</t>
  </si>
  <si>
    <t>NFX-101419</t>
  </si>
  <si>
    <t>Rising Storm 6</t>
  </si>
  <si>
    <t>2020-10-31</t>
  </si>
  <si>
    <t>NFX-101420</t>
  </si>
  <si>
    <t>Crystal Valley 4</t>
  </si>
  <si>
    <t>2022-03-02</t>
  </si>
  <si>
    <t>NFX-101421</t>
  </si>
  <si>
    <t>Fading Legacy 9</t>
  </si>
  <si>
    <t>2024-09-11</t>
  </si>
  <si>
    <t>NFX-101422</t>
  </si>
  <si>
    <t>Hidden Empire 9</t>
  </si>
  <si>
    <t>2023-01-22</t>
  </si>
  <si>
    <t>NFX-101423</t>
  </si>
  <si>
    <t>Crystal Archive 4</t>
  </si>
  <si>
    <t>2019-02-08</t>
  </si>
  <si>
    <t>NFX-101424</t>
  </si>
  <si>
    <t>Iron Code 1</t>
  </si>
  <si>
    <t>NFX-101425</t>
  </si>
  <si>
    <t>Crystal Odyssey 3</t>
  </si>
  <si>
    <t>NFX-101426</t>
  </si>
  <si>
    <t>Golden Frontier 4</t>
  </si>
  <si>
    <t>2018-09-30</t>
  </si>
  <si>
    <t>NFX-101427</t>
  </si>
  <si>
    <t>Secret Signal 7</t>
  </si>
  <si>
    <t>NFX-101428</t>
  </si>
  <si>
    <t>Silent City 1</t>
  </si>
  <si>
    <t>2021-03-29</t>
  </si>
  <si>
    <t>NFX-101429</t>
  </si>
  <si>
    <t>Midnight City 9</t>
  </si>
  <si>
    <t>2022-10-20</t>
  </si>
  <si>
    <t>NFX-101430</t>
  </si>
  <si>
    <t>Crystal Protocol 1</t>
  </si>
  <si>
    <t>NFX-101431</t>
  </si>
  <si>
    <t>Fading Code 8</t>
  </si>
  <si>
    <t>2021-06-08</t>
  </si>
  <si>
    <t>NFX-101432</t>
  </si>
  <si>
    <t>Iron Archive 6</t>
  </si>
  <si>
    <t>NFX-101433</t>
  </si>
  <si>
    <t>Golden Legacy 9</t>
  </si>
  <si>
    <t>2018-06-30</t>
  </si>
  <si>
    <t>NFX-101434</t>
  </si>
  <si>
    <t>Rising Echo 2</t>
  </si>
  <si>
    <t>2020-07-29</t>
  </si>
  <si>
    <t>NFX-101435</t>
  </si>
  <si>
    <t>Crystal Storm 7</t>
  </si>
  <si>
    <t>NFX-101436</t>
  </si>
  <si>
    <t>Dark Code 4</t>
  </si>
  <si>
    <t>2019-07-05</t>
  </si>
  <si>
    <t>NFX-101437</t>
  </si>
  <si>
    <t>Last Journey 2</t>
  </si>
  <si>
    <t>NFX-101438</t>
  </si>
  <si>
    <t>Fading Archive 3</t>
  </si>
  <si>
    <t>NFX-101439</t>
  </si>
  <si>
    <t>Rising City 3</t>
  </si>
  <si>
    <t>NFX-101440</t>
  </si>
  <si>
    <t>Fading Code 1</t>
  </si>
  <si>
    <t>2019-06-11</t>
  </si>
  <si>
    <t>NFX-101441</t>
  </si>
  <si>
    <t>Lost Echo 1</t>
  </si>
  <si>
    <t>NFX-101442</t>
  </si>
  <si>
    <t>Shadow Chronicles 4</t>
  </si>
  <si>
    <t>2020-09-06</t>
  </si>
  <si>
    <t>NFX-101443</t>
  </si>
  <si>
    <t>Lost Code 7</t>
  </si>
  <si>
    <t>NFX-101444</t>
  </si>
  <si>
    <t>Dark Horizon 5</t>
  </si>
  <si>
    <t>2019-02-17</t>
  </si>
  <si>
    <t>NFX-101445</t>
  </si>
  <si>
    <t>Silent Echo 7</t>
  </si>
  <si>
    <t>2020-08-25</t>
  </si>
  <si>
    <t>NFX-101446</t>
  </si>
  <si>
    <t>Midnight Chronicles 2</t>
  </si>
  <si>
    <t>NFX-101447</t>
  </si>
  <si>
    <t>Crystal Odyssey 8</t>
  </si>
  <si>
    <t>2022-12-03</t>
  </si>
  <si>
    <t>NFX-101448</t>
  </si>
  <si>
    <t>Last Journey 1</t>
  </si>
  <si>
    <t>NFX-101449</t>
  </si>
  <si>
    <t>Hidden Echo 8</t>
  </si>
  <si>
    <t>NFX-101450</t>
  </si>
  <si>
    <t>Secret Signal 8</t>
  </si>
  <si>
    <t>2021-10-23</t>
  </si>
  <si>
    <t>NFX-101451</t>
  </si>
  <si>
    <t>Rising Chronicles 1</t>
  </si>
  <si>
    <t>2023-11-22</t>
  </si>
  <si>
    <t>NFX-101452</t>
  </si>
  <si>
    <t>Midnight Storm 1</t>
  </si>
  <si>
    <t>2022-03-16</t>
  </si>
  <si>
    <t>NFX-101453</t>
  </si>
  <si>
    <t>Lost Signal 7</t>
  </si>
  <si>
    <t>2022-02-06</t>
  </si>
  <si>
    <t>NFX-101454</t>
  </si>
  <si>
    <t>Crystal Signal 8</t>
  </si>
  <si>
    <t>2020-07-31</t>
  </si>
  <si>
    <t>NFX-101455</t>
  </si>
  <si>
    <t>Burning Legacy 8</t>
  </si>
  <si>
    <t>NFX-101456</t>
  </si>
  <si>
    <t>Shadow Legacy 7</t>
  </si>
  <si>
    <t>NFX-101457</t>
  </si>
  <si>
    <t>Burning Chronicles 4</t>
  </si>
  <si>
    <t>2020-03-15</t>
  </si>
  <si>
    <t>NFX-101458</t>
  </si>
  <si>
    <t>Shadow Horizon 5</t>
  </si>
  <si>
    <t>2019-02-07</t>
  </si>
  <si>
    <t>NFX-101459</t>
  </si>
  <si>
    <t>Lost Code 5</t>
  </si>
  <si>
    <t>NFX-101460</t>
  </si>
  <si>
    <t>Rising Storm 5</t>
  </si>
  <si>
    <t>NFX-101461</t>
  </si>
  <si>
    <t>Secret Echo 7</t>
  </si>
  <si>
    <t>2020-06-08</t>
  </si>
  <si>
    <t>NFX-101462</t>
  </si>
  <si>
    <t>Golden Archive 7</t>
  </si>
  <si>
    <t>2023-03-09</t>
  </si>
  <si>
    <t>NFX-101463</t>
  </si>
  <si>
    <t>Shadow Empire 6</t>
  </si>
  <si>
    <t>2018-07-29</t>
  </si>
  <si>
    <t>NFX-101464</t>
  </si>
  <si>
    <t>Dark Empire 9</t>
  </si>
  <si>
    <t>2021-11-29</t>
  </si>
  <si>
    <t>NFX-101465</t>
  </si>
  <si>
    <t>Secret Signal 6</t>
  </si>
  <si>
    <t>NFX-101466</t>
  </si>
  <si>
    <t>Golden Valley 4</t>
  </si>
  <si>
    <t>NFX-101467</t>
  </si>
  <si>
    <t>Crystal Empire 5</t>
  </si>
  <si>
    <t>NFX-101468</t>
  </si>
  <si>
    <t>Silent Horizon 9</t>
  </si>
  <si>
    <t>2023-04-09</t>
  </si>
  <si>
    <t>NFX-101469</t>
  </si>
  <si>
    <t>Iron Empire 7</t>
  </si>
  <si>
    <t>2022-06-18</t>
  </si>
  <si>
    <t>NFX-101470</t>
  </si>
  <si>
    <t>Rising Echo 3</t>
  </si>
  <si>
    <t>NFX-101471</t>
  </si>
  <si>
    <t>Crystal Code 6</t>
  </si>
  <si>
    <t>NFX-101472</t>
  </si>
  <si>
    <t>Broken Odyssey 2</t>
  </si>
  <si>
    <t>2023-10-17</t>
  </si>
  <si>
    <t>NFX-101473</t>
  </si>
  <si>
    <t>Fading Code 5</t>
  </si>
  <si>
    <t>2023-04-10</t>
  </si>
  <si>
    <t>NFX-101474</t>
  </si>
  <si>
    <t>Midnight Empire 8</t>
  </si>
  <si>
    <t>NFX-101475</t>
  </si>
  <si>
    <t>Golden Archive 6</t>
  </si>
  <si>
    <t>2022-04-28</t>
  </si>
  <si>
    <t>NFX-101476</t>
  </si>
  <si>
    <t>Crystal Horizon 9</t>
  </si>
  <si>
    <t>2020-01-03</t>
  </si>
  <si>
    <t>NFX-101477</t>
  </si>
  <si>
    <t>Lost Odyssey 8</t>
  </si>
  <si>
    <t>2022-01-04</t>
  </si>
  <si>
    <t>NFX-101478</t>
  </si>
  <si>
    <t>Last Legacy 6</t>
  </si>
  <si>
    <t>NFX-101479</t>
  </si>
  <si>
    <t>Crystal Legacy 4</t>
  </si>
  <si>
    <t>2019-12-13</t>
  </si>
  <si>
    <t>NFX-101480</t>
  </si>
  <si>
    <t>Last Empire 8</t>
  </si>
  <si>
    <t>2021-01-04</t>
  </si>
  <si>
    <t>NFX-101481</t>
  </si>
  <si>
    <t>Rising Valley 8</t>
  </si>
  <si>
    <t>NFX-101482</t>
  </si>
  <si>
    <t>Burning Journey 2</t>
  </si>
  <si>
    <t>2024-04-29</t>
  </si>
  <si>
    <t>NFX-101483</t>
  </si>
  <si>
    <t>Golden Echo 5</t>
  </si>
  <si>
    <t>2018-08-24</t>
  </si>
  <si>
    <t>NFX-101484</t>
  </si>
  <si>
    <t>Golden City 8</t>
  </si>
  <si>
    <t>NFX-101485</t>
  </si>
  <si>
    <t>Fading Storm 1</t>
  </si>
  <si>
    <t>2021-03-13</t>
  </si>
  <si>
    <t>NFX-101486</t>
  </si>
  <si>
    <t>Dark Frontier 6</t>
  </si>
  <si>
    <t>2024-04-16</t>
  </si>
  <si>
    <t>NFX-101487</t>
  </si>
  <si>
    <t>Silent Horizon 6</t>
  </si>
  <si>
    <t>NFX-101488</t>
  </si>
  <si>
    <t>Broken Odyssey 3</t>
  </si>
  <si>
    <t>2022-05-11</t>
  </si>
  <si>
    <t>NFX-101489</t>
  </si>
  <si>
    <t>Rising Protocol 6</t>
  </si>
  <si>
    <t>2019-05-19</t>
  </si>
  <si>
    <t>NFX-101490</t>
  </si>
  <si>
    <t>Last Storm 5</t>
  </si>
  <si>
    <t>2023-01-15</t>
  </si>
  <si>
    <t>NFX-101491</t>
  </si>
  <si>
    <t>Lost Horizon 9</t>
  </si>
  <si>
    <t>NFX-101492</t>
  </si>
  <si>
    <t>Last Storm 9</t>
  </si>
  <si>
    <t>2018-01-19</t>
  </si>
  <si>
    <t>NFX-101493</t>
  </si>
  <si>
    <t>Rising Frontier 5</t>
  </si>
  <si>
    <t>NFX-101494</t>
  </si>
  <si>
    <t>Last City 7</t>
  </si>
  <si>
    <t>NFX-101495</t>
  </si>
  <si>
    <t>Silent Frontier 8</t>
  </si>
  <si>
    <t>NFX-101496</t>
  </si>
  <si>
    <t>Midnight Storm 9</t>
  </si>
  <si>
    <t>NFX-101497</t>
  </si>
  <si>
    <t>Lost Empire 7</t>
  </si>
  <si>
    <t>2021-04-05</t>
  </si>
  <si>
    <t>NFX-101498</t>
  </si>
  <si>
    <t>Hidden Signal 6</t>
  </si>
  <si>
    <t>NFX-101499</t>
  </si>
  <si>
    <t>Iron Signal 4</t>
  </si>
  <si>
    <t>2023-08-31</t>
  </si>
  <si>
    <t>NFX-101500</t>
  </si>
  <si>
    <t>Hidden Echo 3</t>
  </si>
  <si>
    <t>2022-09-02</t>
  </si>
  <si>
    <t>Count the total number of content titles in the dataset</t>
  </si>
  <si>
    <t>Count how many Movies/TV Shows are there</t>
  </si>
  <si>
    <t>Find the average IMDb rating of all content</t>
  </si>
  <si>
    <t>Find the average budget of all content</t>
  </si>
  <si>
    <t>Find the maximum revenue generated by any title</t>
  </si>
  <si>
    <t>Find the minimum duration of content</t>
  </si>
  <si>
    <t>Count how many Action genre titles exist</t>
  </si>
  <si>
    <t>Count how many titles were produced in</t>
  </si>
  <si>
    <t>Find total views of content produced in</t>
  </si>
  <si>
    <t>Count how many contents have IMDb rating above</t>
  </si>
  <si>
    <t>Find average rating of content released after 2020</t>
  </si>
  <si>
    <t>Count how many TV Shows have</t>
  </si>
  <si>
    <t>Count</t>
  </si>
  <si>
    <t xml:space="preserve">Find average IMDb rating </t>
  </si>
  <si>
    <t>Rating</t>
  </si>
  <si>
    <t>Total Views</t>
  </si>
  <si>
    <t>IMDb Rating</t>
  </si>
  <si>
    <t>Average</t>
  </si>
  <si>
    <t>Calculate total views (in millions) of all content</t>
  </si>
  <si>
    <t>MAX</t>
  </si>
  <si>
    <t>MIN</t>
  </si>
  <si>
    <t>Total Count</t>
  </si>
  <si>
    <t>&lt;6</t>
  </si>
  <si>
    <t>CONTENT_STATUS</t>
  </si>
  <si>
    <t>POPULARITY</t>
  </si>
  <si>
    <t>FAMILY_CONTENT</t>
  </si>
  <si>
    <t>BUDGET</t>
  </si>
  <si>
    <t>Content_ID</t>
  </si>
  <si>
    <t>IMDb rating</t>
  </si>
  <si>
    <t>Q) Create a search box where entering Content_ID returns Title, Genre and IMDb rating</t>
  </si>
  <si>
    <t xml:space="preserve">Title </t>
  </si>
  <si>
    <t>Q) Return the details by giving Title</t>
  </si>
  <si>
    <r>
      <t xml:space="preserve">Find the </t>
    </r>
    <r>
      <rPr>
        <b/>
        <sz val="12"/>
        <color rgb="FF7030A0"/>
        <rFont val="Calibri"/>
        <family val="2"/>
        <scheme val="minor"/>
      </rPr>
      <t>maximum</t>
    </r>
    <r>
      <rPr>
        <b/>
        <sz val="12"/>
        <color rgb="FFFF0000"/>
        <rFont val="Calibri"/>
        <family val="2"/>
        <scheme val="minor"/>
      </rPr>
      <t xml:space="preserve"> IMDb rating</t>
    </r>
  </si>
  <si>
    <r>
      <rPr>
        <b/>
        <sz val="12"/>
        <color rgb="FFFF0000"/>
        <rFont val="Calibri"/>
        <family val="2"/>
        <scheme val="minor"/>
      </rPr>
      <t xml:space="preserve">Find the </t>
    </r>
    <r>
      <rPr>
        <b/>
        <sz val="12"/>
        <color rgb="FF7030A0"/>
        <rFont val="Calibri"/>
        <family val="2"/>
        <scheme val="minor"/>
      </rPr>
      <t>minimun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IMDb rating</t>
    </r>
  </si>
  <si>
    <t>Views</t>
  </si>
  <si>
    <t>Q) Find top 5 highest revenue titles</t>
  </si>
  <si>
    <t>Highest Revenue</t>
  </si>
  <si>
    <t>Q) Find top 5 most viewed titles</t>
  </si>
  <si>
    <t>PROFIT</t>
  </si>
  <si>
    <t>ROI%</t>
  </si>
  <si>
    <t>Row Labels</t>
  </si>
  <si>
    <t>Grand Total</t>
  </si>
  <si>
    <t>Count of Title</t>
  </si>
  <si>
    <t>Find number of titles by Genre</t>
  </si>
  <si>
    <t>Find average IMDb rating by Country</t>
  </si>
  <si>
    <t>Average of IMDb_Rating</t>
  </si>
  <si>
    <t>Find total revenue by Genre</t>
  </si>
  <si>
    <t>Sum of Revenue_Million_USD</t>
  </si>
  <si>
    <t>Chart showing Views by Genre</t>
  </si>
  <si>
    <t>Sum of Views_Millions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</si>
</sst>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B6EA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3" borderId="0" xfId="0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center" vertical="center"/>
    </xf>
    <xf numFmtId="0" fontId="1" fillId="10" borderId="0" xfId="0" applyFont="1" applyFill="1"/>
    <xf numFmtId="0" fontId="1" fillId="10" borderId="0" xfId="0" applyFont="1" applyFill="1" applyAlignment="1">
      <alignment horizontal="left"/>
    </xf>
    <xf numFmtId="0" fontId="1" fillId="10" borderId="0" xfId="0" applyNumberFormat="1" applyFont="1" applyFill="1"/>
    <xf numFmtId="0" fontId="1" fillId="3" borderId="0" xfId="0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86"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B6EAFA"/>
        </patternFill>
      </fill>
    </dxf>
    <dxf>
      <fill>
        <patternFill patternType="solid">
          <bgColor rgb="FFB6EAFA"/>
        </patternFill>
      </fill>
    </dxf>
    <dxf>
      <fill>
        <patternFill patternType="solid">
          <bgColor theme="9" tint="0.3999755851924192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alignment vertical="center"/>
    </dxf>
    <dxf>
      <alignment horizontal="center"/>
    </dxf>
    <dxf>
      <fill>
        <patternFill patternType="solid">
          <bgColor rgb="FFB6EAFA"/>
        </patternFill>
      </fill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rgb="FFB6EAFA"/>
        </patternFill>
      </fill>
    </dxf>
    <dxf>
      <fill>
        <patternFill>
          <bgColor rgb="FFB6EAFA"/>
        </patternFill>
      </fill>
    </dxf>
    <dxf>
      <fill>
        <patternFill>
          <bgColor rgb="FFB6EAFA"/>
        </patternFill>
      </fill>
    </dxf>
    <dxf>
      <fill>
        <patternFill>
          <bgColor rgb="FFB6EAFA"/>
        </patternFill>
      </fill>
    </dxf>
    <dxf>
      <fill>
        <patternFill>
          <bgColor rgb="FFB6EAFA"/>
        </patternFill>
      </fill>
    </dxf>
    <dxf>
      <fill>
        <patternFill>
          <bgColor rgb="FFB6EAFA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9" defaultPivotStyle="PivotStyleLight16"/>
  <colors>
    <mruColors>
      <color rgb="FFB6E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[Project_Work.xlsx]Chart!PivotTable4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Chart!$B$5:$B$16</c:f>
              <c:strCache>
                <c:ptCount val="11"/>
                <c:pt idx="0">
                  <c:v>Action</c:v>
                </c:pt>
                <c:pt idx="1">
                  <c:v>Adventure</c:v>
                </c:pt>
                <c:pt idx="2">
                  <c:v>Comedy</c:v>
                </c:pt>
                <c:pt idx="3">
                  <c:v>Crime</c:v>
                </c:pt>
                <c:pt idx="4">
                  <c:v>Documentary</c:v>
                </c:pt>
                <c:pt idx="5">
                  <c:v>Drama</c:v>
                </c:pt>
                <c:pt idx="6">
                  <c:v>Fantasy</c:v>
                </c:pt>
                <c:pt idx="7">
                  <c:v>Horror</c:v>
                </c:pt>
                <c:pt idx="8">
                  <c:v>Romance</c:v>
                </c:pt>
                <c:pt idx="9">
                  <c:v>Sci-Fi</c:v>
                </c:pt>
                <c:pt idx="10">
                  <c:v>Thriller</c:v>
                </c:pt>
              </c:strCache>
            </c:strRef>
          </c:cat>
          <c:val>
            <c:numRef>
              <c:f>Chart!$C$5:$C$16</c:f>
              <c:numCache>
                <c:formatCode>General</c:formatCode>
                <c:ptCount val="11"/>
                <c:pt idx="0">
                  <c:v>38416.700000000012</c:v>
                </c:pt>
                <c:pt idx="1">
                  <c:v>45281.200000000026</c:v>
                </c:pt>
                <c:pt idx="2">
                  <c:v>35044</c:v>
                </c:pt>
                <c:pt idx="3">
                  <c:v>43798.299999999988</c:v>
                </c:pt>
                <c:pt idx="4">
                  <c:v>40070.30000000001</c:v>
                </c:pt>
                <c:pt idx="5">
                  <c:v>40065.000000000015</c:v>
                </c:pt>
                <c:pt idx="6">
                  <c:v>40997.100000000006</c:v>
                </c:pt>
                <c:pt idx="7">
                  <c:v>42325.200000000004</c:v>
                </c:pt>
                <c:pt idx="8">
                  <c:v>45408.000000000015</c:v>
                </c:pt>
                <c:pt idx="9">
                  <c:v>38258.6</c:v>
                </c:pt>
                <c:pt idx="10">
                  <c:v>40328.600000000006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E-4396-BD43-B465F33A5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829264"/>
        <c:axId val="174827344"/>
      </c:barChart>
      <c:catAx>
        <c:axId val="1748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7344"/>
        <c:crosses val="autoZero"/>
        <c:auto val="1"/>
        <c:lblAlgn val="ctr"/>
        <c:lblOffset val="100"/>
        <c:noMultiLvlLbl val="0"/>
      </c:catAx>
      <c:valAx>
        <c:axId val="17482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91440</xdr:rowOff>
    </xdr:from>
    <xdr:to>
      <xdr:col>15</xdr:col>
      <xdr:colOff>281940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199C4-0E71-AC2A-414D-740269701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 DUTTA" refreshedDate="46103.940841435186" createdVersion="8" refreshedVersion="8" minRefreshableVersion="3" recordCount="1501" xr:uid="{4398097F-01C5-4F1A-BD71-B3E4664F3527}">
  <cacheSource type="worksheet">
    <worksheetSource ref="A1:W1048576" sheet="Netflix_Data"/>
  </cacheSource>
  <cacheFields count="23">
    <cacheField name="Content_ID" numFmtId="0">
      <sharedItems containsBlank="1"/>
    </cacheField>
    <cacheField name="Title" numFmtId="0">
      <sharedItems containsBlank="1" count="1501">
        <s v="Fading City 2"/>
        <s v="Crystal Frontier"/>
        <s v="Last Journey 6"/>
        <s v="Crystal Odyssey"/>
        <s v="Dark Archive 8"/>
        <s v="Broken Empire"/>
        <s v="Broken Legacy"/>
        <s v="Silent Horizon"/>
        <s v="Midnight Empire 5"/>
        <s v="Dark Legacy"/>
        <s v="Hidden Frontier 1"/>
        <s v="Lost Storm"/>
        <s v="Shadow Odyssey 1"/>
        <s v="Last Legacy"/>
        <s v="Last Frontier"/>
        <s v="Last Frontier 2"/>
        <s v="Hidden Journey 6"/>
        <s v="Burning Legacy"/>
        <s v="Fading Horizon 1"/>
        <s v="Fading Echo 3"/>
        <s v="Fading Valley"/>
        <s v="Secret Storm 7"/>
        <s v="Secret Journey"/>
        <s v="Midnight Legacy 3"/>
        <s v="Last Protocol 3"/>
        <s v="Last Frontier 8"/>
        <s v="Rising Protocol"/>
        <s v="Hidden Code"/>
        <s v="Burning Chronicles 6"/>
        <s v="Broken Chronicles"/>
        <s v="Shadow Journey 6"/>
        <s v="Shadow Valley 1"/>
        <s v="Dark Frontier"/>
        <s v="Secret Archive"/>
        <s v="Crystal Journey"/>
        <s v="Fading Signal"/>
        <s v="Lost Journey"/>
        <s v="Fading Chronicles"/>
        <s v="Dark Signal"/>
        <s v="Last Journey"/>
        <s v="Silent Empire"/>
        <s v="Iron Legacy"/>
        <s v="Hidden Frontier"/>
        <s v="Rising Signal"/>
        <s v="Fading Frontier"/>
        <s v="Rising Storm"/>
        <s v="Iron Chronicles"/>
        <s v="Lost Frontier 2"/>
        <s v="Secret Horizon 9"/>
        <s v="Silent Signal 9"/>
        <s v="Shadow Frontier"/>
        <s v="Crystal Frontier 9"/>
        <s v="Midnight Odyssey 8"/>
        <s v="Rising Horizon"/>
        <s v="Secret Odyssey"/>
        <s v="Burning Journey 9"/>
        <s v="Secret Valley"/>
        <s v="Shadow Journey"/>
        <s v="Fading Odyssey"/>
        <s v="Shadow Horizon"/>
        <s v="Secret Valley 9"/>
        <s v="Iron Empire"/>
        <s v="Broken Odyssey"/>
        <s v="Dark Chronicles"/>
        <s v="Burning Signal 4"/>
        <s v="Fading Frontier 5"/>
        <s v="Dark Empire"/>
        <s v="Iron Archive"/>
        <s v="Shadow Archive 8"/>
        <s v="Shadow Chronicles"/>
        <s v="Burning Code"/>
        <s v="Hidden Archive"/>
        <s v="Iron Odyssey"/>
        <s v="Dark Odyssey 7"/>
        <s v="Iron Valley 3"/>
        <s v="Golden Valley 3"/>
        <s v="Burning Horizon"/>
        <s v="Broken Horizon 2"/>
        <s v="Shadow City 6"/>
        <s v="Shadow Archive 3"/>
        <s v="Dark Odyssey 9"/>
        <s v="Lost Storm 7"/>
        <s v="Silent Legacy"/>
        <s v="Fading Empire 8"/>
        <s v="Secret Horizon 2"/>
        <s v="Golden Valley"/>
        <s v="Golden Protocol"/>
        <s v="Dark Journey 1"/>
        <s v="Broken Horizon 5"/>
        <s v="Crystal Protocol"/>
        <s v="Hidden Horizon"/>
        <s v="Burning Echo 5"/>
        <s v="Hidden Protocol 2"/>
        <s v="Shadow Frontier 4"/>
        <s v="Midnight Valley 3"/>
        <s v="Last Frontier 4"/>
        <s v="Last Valley 4"/>
        <s v="Golden Horizon 5"/>
        <s v="Golden Legacy 1"/>
        <s v="Silent Odyssey 4"/>
        <s v="Secret Signal"/>
        <s v="Broken Chronicles 1"/>
        <s v="Iron City"/>
        <s v="Iron Echo"/>
        <s v="Crystal Echo"/>
        <s v="Crystal Signal"/>
        <s v="Rising City 2"/>
        <s v="Lost Code 6"/>
        <s v="Hidden Chronicles 4"/>
        <s v="Fading Signal 3"/>
        <s v="Hidden Protocol 5"/>
        <s v="Fading Horizon"/>
        <s v="Fading Signal 9"/>
        <s v="Lost Echo"/>
        <s v="Fading Code"/>
        <s v="Lost Chronicles"/>
        <s v="Shadow Storm"/>
        <s v="Iron Horizon"/>
        <s v="Secret Odyssey 9"/>
        <s v="Golden City"/>
        <s v="Midnight Echo"/>
        <s v="Dark Signal 1"/>
        <s v="Broken Code 9"/>
        <s v="Silent Frontier 5"/>
        <s v="Lost Frontier"/>
        <s v="Crystal Horizon"/>
        <s v="Broken Frontier 3"/>
        <s v="Last Echo 9"/>
        <s v="Secret Archive 1"/>
        <s v="Shadow Frontier 1"/>
        <s v="Golden Odyssey"/>
        <s v="Silent Echo"/>
        <s v="Silent Protocol 6"/>
        <s v="Iron Storm"/>
        <s v="Shadow City"/>
        <s v="Shadow Archive"/>
        <s v="Crystal Chronicles"/>
        <s v="Golden Journey 2"/>
        <s v="Broken Empire 5"/>
        <s v="Dark Odyssey"/>
        <s v="Shadow Archive 6"/>
        <s v="Broken Storm"/>
        <s v="Dark Journey 5"/>
        <s v="Silent Valley"/>
        <s v="Rising Echo"/>
        <s v="Midnight Frontier"/>
        <s v="Golden Echo 9"/>
        <s v="Hidden Frontier 5"/>
        <s v="Iron Horizon 9"/>
        <s v="Crystal Code"/>
        <s v="Crystal Legacy"/>
        <s v="Rising Signal 4"/>
        <s v="Last Archive"/>
        <s v="Rising Valley"/>
        <s v="Secret Chronicles"/>
        <s v="Last Odyssey 9"/>
        <s v="Lost Empire"/>
        <s v="Rising Code"/>
        <s v="Fading City"/>
        <s v="Burning Valley"/>
        <s v="Golden Empire"/>
        <s v="Last Chronicles 3"/>
        <s v="Hidden Empire 4"/>
        <s v="Rising Frontier"/>
        <s v="Fading Journey"/>
        <s v="Fading Storm"/>
        <s v="Broken Protocol 4"/>
        <s v="Burning Archive"/>
        <s v="Golden Code"/>
        <s v="Iron Chronicles 3"/>
        <s v="Fading Chronicles 8"/>
        <s v="Midnight Odyssey 2"/>
        <s v="Secret Empire"/>
        <s v="Midnight Frontier 3"/>
        <s v="Hidden Horizon 5"/>
        <s v="Midnight Empire 9"/>
        <s v="Shadow Valley 3"/>
        <s v="Midnight Protocol"/>
        <s v="Silent Empire 2"/>
        <s v="Rising Echo 8"/>
        <s v="Shadow Legacy"/>
        <s v="Golden Legacy"/>
        <s v="Shadow Frontier 3"/>
        <s v="Midnight Journey"/>
        <s v="Last Code 5"/>
        <s v="Golden Horizon"/>
        <s v="Crystal Empire 9"/>
        <s v="Rising Code 4"/>
        <s v="Fading Journey 7"/>
        <s v="Fading Echo"/>
        <s v="Rising Storm 4"/>
        <s v="Burning Journey 7"/>
        <s v="Burning Valley 7"/>
        <s v="Lost Valley"/>
        <s v="Shadow Storm 3"/>
        <s v="Burning Chronicles"/>
        <s v="Crystal Storm"/>
        <s v="Dark Storm"/>
        <s v="Secret City 2"/>
        <s v="Shadow Signal 2"/>
        <s v="Broken City"/>
        <s v="Hidden Signal"/>
        <s v="Fading Legacy"/>
        <s v="Burning Legacy 2"/>
        <s v="Hidden Echo 7"/>
        <s v="Golden Signal 9"/>
        <s v="Dark Horizon"/>
        <s v="Burning Empire"/>
        <s v="Iron Protocol"/>
        <s v="Hidden Echo 4"/>
        <s v="Broken Valley"/>
        <s v="Rising Storm 1"/>
        <s v="Fading Protocol 9"/>
        <s v="Dark City 6"/>
        <s v="Burning Echo"/>
        <s v="Midnight Storm 2"/>
        <s v="Crystal City"/>
        <s v="Midnight Horizon 5"/>
        <s v="Broken Valley 3"/>
        <s v="Golden Archive 4"/>
        <s v="Rising Odyssey 9"/>
        <s v="Secret Horizon 4"/>
        <s v="Lost Legacy 2"/>
        <s v="Secret Storm"/>
        <s v="Last Signal 5"/>
        <s v="Burning Frontier 3"/>
        <s v="Fading Frontier 4"/>
        <s v="Lost Odyssey 5"/>
        <s v="Dark Archive 5"/>
        <s v="Hidden Archive 5"/>
        <s v="Golden Chronicles 3"/>
        <s v="Last Horizon"/>
        <s v="Midnight Signal"/>
        <s v="Burning Frontier"/>
        <s v="Secret City"/>
        <s v="Broken Archive"/>
        <s v="Midnight Archive"/>
        <s v="Silent Odyssey 6"/>
        <s v="Broken Legacy 2"/>
        <s v="Midnight Signal 2"/>
        <s v="Broken Code"/>
        <s v="Fading Archive 6"/>
        <s v="Last Protocol"/>
        <s v="Silent Horizon 2"/>
        <s v="Burning Journey 1"/>
        <s v="Broken Archive 1"/>
        <s v="Rising Legacy 3"/>
        <s v="Shadow Valley"/>
        <s v="Crystal Echo 6"/>
        <s v="Silent City"/>
        <s v="Dark City"/>
        <s v="Rising Frontier 7"/>
        <s v="Silent Chronicles"/>
        <s v="Golden Archive"/>
        <s v="Lost Signal"/>
        <s v="Hidden Echo"/>
        <s v="Last Valley"/>
        <s v="Hidden Code 5"/>
        <s v="Hidden Legacy 5"/>
        <s v="Midnight Odyssey 9"/>
        <s v="Last Code 7"/>
        <s v="Fading Journey 3"/>
        <s v="Broken Horizon"/>
        <s v="Dark Code"/>
        <s v="Burning Storm 4"/>
        <s v="Rising Protocol 9"/>
        <s v="Broken Protocol"/>
        <s v="Rising Valley 9"/>
        <s v="Hidden Journey"/>
        <s v="Hidden Protocol 3"/>
        <s v="Lost Odyssey"/>
        <s v="Silent Echo 3"/>
        <s v="Burning Signal 9"/>
        <s v="Midnight Frontier 4"/>
        <s v="Secret Legacy"/>
        <s v="Hidden Storm"/>
        <s v="Lost City 8"/>
        <s v="Dark Code 7"/>
        <s v="Secret Code 3"/>
        <s v="Last Code"/>
        <s v="Silent Echo 1"/>
        <s v="Silent Storm"/>
        <s v="Silent City 3"/>
        <s v="Burning Echo 1"/>
        <s v="Fading Protocol 2"/>
        <s v="Golden Horizon 8"/>
        <s v="Rising Code 2"/>
        <s v="Broken Signal 5"/>
        <s v="Iron City 6"/>
        <s v="Lost Echo 9"/>
        <s v="Silent Code"/>
        <s v="Silent Protocol"/>
        <s v="Shadow Protocol 8"/>
        <s v="Silent Frontier"/>
        <s v="Fading Empire 7"/>
        <s v="Hidden Valley"/>
        <s v="Secret Horizon 3"/>
        <s v="Hidden Horizon 2"/>
        <s v="Golden Valley 5"/>
        <s v="Fading Legacy 7"/>
        <s v="Hidden Chronicles 8"/>
        <s v="Silent Storm 7"/>
        <s v="Crystal Empire"/>
        <s v="Rising Legacy 1"/>
        <s v="Last Journey 8"/>
        <s v="Shadow Empire"/>
        <s v="Last Empire"/>
        <s v="Secret Chronicles 8"/>
        <s v="Hidden City 9"/>
        <s v="Rising Journey 2"/>
        <s v="Broken Echo"/>
        <s v="Dark Protocol"/>
        <s v="Broken Frontier 5"/>
        <s v="Silent Odyssey"/>
        <s v="Dark Archive 4"/>
        <s v="Iron Archive 7"/>
        <s v="Rising Legacy"/>
        <s v="Golden Signal"/>
        <s v="Dark City 3"/>
        <s v="Silent Code 1"/>
        <s v="Broken Frontier"/>
        <s v="Midnight Journey 8"/>
        <s v="Iron Horizon 5"/>
        <s v="Hidden Frontier 9"/>
        <s v="Hidden Valley 8"/>
        <s v="Hidden Empire 2"/>
        <s v="Rising Empire 4"/>
        <s v="Last Odyssey"/>
        <s v="Secret Code"/>
        <s v="Crystal Empire 4"/>
        <s v="Dark Journey 9"/>
        <s v="Silent Journey 5"/>
        <s v="Broken Horizon 9"/>
        <s v="Dark Archive"/>
        <s v="Dark Legacy 3"/>
        <s v="Silent Journey"/>
        <s v="Lost Protocol"/>
        <s v="Last Storm"/>
        <s v="Burning Empire 1"/>
        <s v="Shadow Protocol"/>
        <s v="Fading Storm 7"/>
        <s v="Hidden Legacy 4"/>
        <s v="Midnight Horizon 3"/>
        <s v="Silent Archive 1"/>
        <s v="Hidden Code 4"/>
        <s v="Crystal Empire 1"/>
        <s v="Secret Frontier 4"/>
        <s v="Secret Empire 2"/>
        <s v="Golden Storm"/>
        <s v="Crystal Archive"/>
        <s v="Midnight Valley 7"/>
        <s v="Burning Journey"/>
        <s v="Dark Echo 9"/>
        <s v="Fading Empire"/>
        <s v="Broken Journey 2"/>
        <s v="Rising Odyssey 6"/>
        <s v="Silent Valley 9"/>
        <s v="Golden Journey"/>
        <s v="Midnight City"/>
        <s v="Burning Echo 6"/>
        <s v="Hidden Chronicles 6"/>
        <s v="Golden Echo 2"/>
        <s v="Secret Chronicles 9"/>
        <s v="Shadow Legacy 4"/>
        <s v="Secret Frontier 2"/>
        <s v="Iron Valley 1"/>
        <s v="Shadow Journey 2"/>
        <s v="Rising Echo 7"/>
        <s v="Lost Horizon 4"/>
        <s v="Midnight Legacy 5"/>
        <s v="Hidden Signal 9"/>
        <s v="Rising City"/>
        <s v="Secret Code 1"/>
        <s v="Midnight Empire 1"/>
        <s v="Rising Archive"/>
        <s v="Fading Horizon 5"/>
        <s v="Rising Odyssey"/>
        <s v="Secret Odyssey 3"/>
        <s v="Shadow Odyssey"/>
        <s v="Midnight Code 9"/>
        <s v="Rising City 4"/>
        <s v="Fading Empire 1"/>
        <s v="Shadow Echo 1"/>
        <s v="Lost Archive"/>
        <s v="Golden Echo"/>
        <s v="Burning Storm"/>
        <s v="Hidden Empire"/>
        <s v="Midnight Chronicles"/>
        <s v="Burning Signal 5"/>
        <s v="Midnight Frontier 7"/>
        <s v="Burning City 5"/>
        <s v="Dark Odyssey 3"/>
        <s v="Midnight Frontier 8"/>
        <s v="Iron Echo 3"/>
        <s v="Last City"/>
        <s v="Midnight City 7"/>
        <s v="Rising Horizon 5"/>
        <s v="Broken Frontier 2"/>
        <s v="Broken Valley 5"/>
        <s v="Burning Protocol"/>
        <s v="Broken Chronicles 6"/>
        <s v="Hidden Code 2"/>
        <s v="Shadow Code"/>
        <s v="Lost Chronicles 1"/>
        <s v="Golden Valley 8"/>
        <s v="Shadow Storm 1"/>
        <s v="Burning Valley 1"/>
        <s v="Last Chronicles"/>
        <s v="Secret City 9"/>
        <s v="Golden Signal 2"/>
        <s v="Rising Journey"/>
        <s v="Burning Valley 2"/>
        <s v="Dark Journey 4"/>
        <s v="Fading Frontier 9"/>
        <s v="Dark Protocol 1"/>
        <s v="Lost City 9"/>
        <s v="Golden Protocol 2"/>
        <s v="Crystal City 1"/>
        <s v="Broken Horizon 7"/>
        <s v="Shadow Signal 1"/>
        <s v="Secret Horizon"/>
        <s v="Midnight Journey 5"/>
        <s v="Lost Horizon"/>
        <s v="Fading Journey 2"/>
        <s v="Lost Storm 3"/>
        <s v="Midnight Odyssey"/>
        <s v="Midnight Code"/>
        <s v="Crystal Echo 3"/>
        <s v="Silent Echo 6"/>
        <s v="Lost Protocol 5"/>
        <s v="Iron Signal"/>
        <s v="Iron Frontier 3"/>
        <s v="Silent Empire 9"/>
        <s v="Dark Valley"/>
        <s v="Broken Valley 1"/>
        <s v="Broken Horizon 6"/>
        <s v="Dark Protocol 8"/>
        <s v="Hidden Horizon 3"/>
        <s v="Hidden Horizon 7"/>
        <s v="Fading Protocol"/>
        <s v="Silent Legacy 1"/>
        <s v="Shadow Storm 5"/>
        <s v="Hidden Journey 9"/>
        <s v="Rising Empire 8"/>
        <s v="Secret Frontier"/>
        <s v="Lost Echo 6"/>
        <s v="Lost Valley 8"/>
        <s v="Silent Storm 5"/>
        <s v="Lost Signal 5"/>
        <s v="Shadow Journey 3"/>
        <s v="Fading Archive"/>
        <s v="Hidden City"/>
        <s v="Lost Journey 4"/>
        <s v="Fading Frontier 3"/>
        <s v="Golden Frontier 8"/>
        <s v="Hidden Legacy"/>
        <s v="Last Archive 8"/>
        <s v="Fading Archive 2"/>
        <s v="Burning Signal"/>
        <s v="Fading City 7"/>
        <s v="Fading City 8"/>
        <s v="Broken Valley 4"/>
        <s v="Lost Chronicles 2"/>
        <s v="Midnight Empire"/>
        <s v="Rising Empire"/>
        <s v="Dark Protocol 7"/>
        <s v="Secret Signal 5"/>
        <s v="Last Echo 2"/>
        <s v="Iron Frontier 9"/>
        <s v="Iron Horizon 4"/>
        <s v="Silent City 2"/>
        <s v="Golden Legacy 6"/>
        <s v="Hidden Chronicles 2"/>
        <s v="Lost Protocol 2"/>
        <s v="Iron Frontier 6"/>
        <s v="Burning City"/>
        <s v="Hidden Horizon 8"/>
        <s v="Broken Archive 2"/>
        <s v="Crystal Storm 5"/>
        <s v="Burning Chronicles 9"/>
        <s v="Iron Code"/>
        <s v="Midnight Protocol 7"/>
        <s v="Silent Journey 4"/>
        <s v="Iron Odyssey 1"/>
        <s v="Last City 6"/>
        <s v="Broken Archive 8"/>
        <s v="Last Chronicles 6"/>
        <s v="Burning Valley 3"/>
        <s v="Secret Journey 7"/>
        <s v="Fading Code 2"/>
        <s v="Rising Echo 6"/>
        <s v="Iron Chronicles 8"/>
        <s v="Dark Legacy 9"/>
        <s v="Golden City 4"/>
        <s v="Lost Odyssey 6"/>
        <s v="Iron Signal 7"/>
        <s v="Shadow Empire 2"/>
        <s v="Rising Archive 1"/>
        <s v="Last Echo"/>
        <s v="Midnight Legacy"/>
        <s v="Burning Chronicles 8"/>
        <s v="Secret Protocol"/>
        <s v="Midnight Legacy 1"/>
        <s v="Shadow Echo 5"/>
        <s v="Last Chronicles 2"/>
        <s v="Hidden Chronicles 9"/>
        <s v="Hidden Echo 6"/>
        <s v="Lost Chronicles 5"/>
        <s v="Last Legacy 8"/>
        <s v="Lost Signal 6"/>
        <s v="Golden City 3"/>
        <s v="Midnight Signal 7"/>
        <s v="Lost Protocol 8"/>
        <s v="Broken Journey 5"/>
        <s v="Broken Archive 9"/>
        <s v="Hidden Journey 5"/>
        <s v="Shadow Archive 4"/>
        <s v="Hidden Protocol"/>
        <s v="Secret Echo"/>
        <s v="Last City 5"/>
        <s v="Crystal Echo 8"/>
        <s v="Hidden Signal 8"/>
        <s v="Hidden City 7"/>
        <s v="Shadow Journey 7"/>
        <s v="Shadow Archive 5"/>
        <s v="Golden Journey 1"/>
        <s v="Midnight Horizon"/>
        <s v="Burning Frontier 6"/>
        <s v="Fading Odyssey 1"/>
        <s v="Golden Odyssey 5"/>
        <s v="Secret Odyssey 5"/>
        <s v="Dark Frontier 5"/>
        <s v="Dark Signal 7"/>
        <s v="Golden Legacy 7"/>
        <s v="Silent Code 6"/>
        <s v="Hidden City 4"/>
        <s v="Hidden Odyssey"/>
        <s v="Secret Echo 5"/>
        <s v="Broken Odyssey 6"/>
        <s v="Broken Echo 1"/>
        <s v="Shadow Empire 1"/>
        <s v="Lost Chronicles 3"/>
        <s v="Golden Odyssey 7"/>
        <s v="Fading Odyssey 3"/>
        <s v="Dark Echo 2"/>
        <s v="Silent Echo 9"/>
        <s v="Silent Storm 3"/>
        <s v="Iron Legacy 6"/>
        <s v="Fading Horizon 8"/>
        <s v="Lost Code 1"/>
        <s v="Broken Journey"/>
        <s v="Lost Signal 2"/>
        <s v="Last Valley 5"/>
        <s v="Shadow Signal"/>
        <s v="Hidden Legacy 3"/>
        <s v="Burning Legacy 4"/>
        <s v="Broken Chronicles 3"/>
        <s v="Silent Frontier 7"/>
        <s v="Broken Frontier 9"/>
        <s v="Dark Empire 5"/>
        <s v="Silent Archive"/>
        <s v="Secret Empire 9"/>
        <s v="Iron Valley"/>
        <s v="Dark Journey"/>
        <s v="Iron Echo 4"/>
        <s v="Golden Chronicles"/>
        <s v="Iron Journey"/>
        <s v="Burning Code 7"/>
        <s v="Last Valley 7"/>
        <s v="Silent Signal"/>
        <s v="Last Legacy 1"/>
        <s v="Lost Journey 8"/>
        <s v="Dark Empire 6"/>
        <s v="Last Storm 2"/>
        <s v="Broken Echo 9"/>
        <s v="Last Valley 6"/>
        <s v="Silent Legacy 9"/>
        <s v="Last Signal"/>
        <s v="Lost Legacy"/>
        <s v="Secret Empire 6"/>
        <s v="Shadow Echo"/>
        <s v="Shadow Chronicles 3"/>
        <s v="Hidden Chronicles"/>
        <s v="Rising Chronicles 4"/>
        <s v="Rising Archive 5"/>
        <s v="Lost Legacy 6"/>
        <s v="Midnight Legacy 7"/>
        <s v="Broken Legacy 8"/>
        <s v="Silent Storm 2"/>
        <s v="Last Horizon 9"/>
        <s v="Silent Code 4"/>
        <s v="Lost Legacy 5"/>
        <s v="Crystal Code 3"/>
        <s v="Rising Code 5"/>
        <s v="Golden Frontier"/>
        <s v="Last Odyssey 7"/>
        <s v="Dark Archive 3"/>
        <s v="Iron City 9"/>
        <s v="Lost Archive 6"/>
        <s v="Lost Protocol 3"/>
        <s v="Lost Journey 1"/>
        <s v="Midnight Storm"/>
        <s v="Rising City 7"/>
        <s v="Rising Frontier 8"/>
        <s v="Crystal Signal 4"/>
        <s v="Secret Legacy 8"/>
        <s v="Lost Chronicles 4"/>
        <s v="Burning Archive 3"/>
        <s v="Rising Archive 6"/>
        <s v="Silent Legacy 4"/>
        <s v="Broken City 1"/>
        <s v="Burning Horizon 7"/>
        <s v="Crystal Valley"/>
        <s v="Golden Echo 3"/>
        <s v="Midnight Empire 2"/>
        <s v="Burning City 8"/>
        <s v="Hidden Odyssey 4"/>
        <s v="Crystal Storm 4"/>
        <s v="Shadow Chronicles 1"/>
        <s v="Secret City 5"/>
        <s v="Lost Protocol 7"/>
        <s v="Rising Archive 8"/>
        <s v="Golden Code 6"/>
        <s v="Broken City 4"/>
        <s v="Broken Signal 6"/>
        <s v="Fading Storm 4"/>
        <s v="Golden Signal 4"/>
        <s v="Golden Storm 3"/>
        <s v="Iron Valley 2"/>
        <s v="Burning Odyssey 5"/>
        <s v="Iron Code 3"/>
        <s v="Dark Archive 7"/>
        <s v="Shadow Horizon 2"/>
        <s v="Dark Horizon 3"/>
        <s v="Shadow Odyssey 6"/>
        <s v="Last Echo 4"/>
        <s v="Iron Chronicles 6"/>
        <s v="Dark Echo 8"/>
        <s v="Shadow Protocol 6"/>
        <s v="Broken Signal 4"/>
        <s v="Crystal Journey 1"/>
        <s v="Silent Chronicles 6"/>
        <s v="Golden Legacy 4"/>
        <s v="Shadow Journey 1"/>
        <s v="Hidden City 5"/>
        <s v="Crystal City 4"/>
        <s v="Crystal Horizon 8"/>
        <s v="Fading Signal 4"/>
        <s v="Burning Storm 7"/>
        <s v="Last Journey 9"/>
        <s v="Shadow Legacy 9"/>
        <s v="Rising Protocol 8"/>
        <s v="Secret Valley 5"/>
        <s v="Shadow Storm 4"/>
        <s v="Fading Protocol 1"/>
        <s v="Rising Chronicles"/>
        <s v="Silent Horizon 4"/>
        <s v="Shadow Odyssey 7"/>
        <s v="Golden Code 7"/>
        <s v="Fading Protocol 4"/>
        <s v="Crystal Horizon 6"/>
        <s v="Secret Odyssey 4"/>
        <s v="Midnight Protocol 2"/>
        <s v="Silent Journey 8"/>
        <s v="Silent Protocol 1"/>
        <s v="Silent Odyssey 5"/>
        <s v="Shadow City 5"/>
        <s v="Rising Legacy 4"/>
        <s v="Broken Protocol 5"/>
        <s v="Secret Valley 1"/>
        <s v="Rising Horizon 4"/>
        <s v="Lost Code 2"/>
        <s v="Iron Signal 6"/>
        <s v="Fading Odyssey 9"/>
        <s v="Shadow City 7"/>
        <s v="Iron Code 7"/>
        <s v="Broken Legacy 3"/>
        <s v="Iron Storm 5"/>
        <s v="Secret Chronicles 1"/>
        <s v="Broken City 9"/>
        <s v="Rising Storm 2"/>
        <s v="Iron Echo 8"/>
        <s v="Lost City"/>
        <s v="Broken Journey 4"/>
        <s v="Fading Echo 8"/>
        <s v="Last Frontier 3"/>
        <s v="Iron Storm 8"/>
        <s v="Lost City 5"/>
        <s v="Lost Legacy 9"/>
        <s v="Burning Protocol 8"/>
        <s v="Hidden Odyssey 8"/>
        <s v="Midnight Protocol 4"/>
        <s v="Midnight Storm 5"/>
        <s v="Crystal Code 5"/>
        <s v="Crystal Empire 6"/>
        <s v="Crystal Archive 5"/>
        <s v="Lost Valley 3"/>
        <s v="Fading Legacy 5"/>
        <s v="Crystal Legacy 9"/>
        <s v="Fading Legacy 8"/>
        <s v="Broken City 6"/>
        <s v="Lost Protocol 6"/>
        <s v="Dark Echo 3"/>
        <s v="Fading Chronicles 1"/>
        <s v="Broken Chronicles 2"/>
        <s v="Midnight City 5"/>
        <s v="Hidden Valley 2"/>
        <s v="Broken Valley 2"/>
        <s v="Lost Journey 9"/>
        <s v="Midnight Valley 9"/>
        <s v="Shadow Signal 3"/>
        <s v="Shadow Horizon 7"/>
        <s v="Lost Code 8"/>
        <s v="Last Archive 5"/>
        <s v="Midnight Code 4"/>
        <s v="Last Frontier 1"/>
        <s v="Dark City 8"/>
        <s v="Burning Code 5"/>
        <s v="Iron Odyssey 4"/>
        <s v="Midnight Code 7"/>
        <s v="Broken Empire 1"/>
        <s v="Midnight Horizon 4"/>
        <s v="Golden Signal 7"/>
        <s v="Midnight Legacy 9"/>
        <s v="Midnight Archive 6"/>
        <s v="Crystal Odyssey 5"/>
        <s v="Lost Echo 5"/>
        <s v="Broken Storm 2"/>
        <s v="Hidden Journey 8"/>
        <s v="Silent Horizon 5"/>
        <s v="Broken Protocol 1"/>
        <s v="Lost Chronicles 9"/>
        <s v="Fading Legacy 1"/>
        <s v="Broken Journey 7"/>
        <s v="Lost Journey 7"/>
        <s v="Golden Empire 8"/>
        <s v="Iron Protocol 9"/>
        <s v="Shadow Valley 5"/>
        <s v="Dark Legacy 2"/>
        <s v="Last Odyssey 5"/>
        <s v="Crystal Valley 6"/>
        <s v="Lost City 6"/>
        <s v="Hidden Storm 4"/>
        <s v="Midnight Odyssey 4"/>
        <s v="Broken Odyssey 5"/>
        <s v="Golden Empire 5"/>
        <s v="Golden Chronicles 1"/>
        <s v="Rising Empire 3"/>
        <s v="Secret Echo 6"/>
        <s v="Iron City 1"/>
        <s v="Last Archive 4"/>
        <s v="Secret Code 4"/>
        <s v="Iron Journey 8"/>
        <s v="Dark Code 5"/>
        <s v="Fading Journey 4"/>
        <s v="Iron Chronicles 4"/>
        <s v="Crystal Code 4"/>
        <s v="Shadow Journey 5"/>
        <s v="Dark City 2"/>
        <s v="Iron Storm 7"/>
        <s v="Hidden Storm 5"/>
        <s v="Crystal Echo 7"/>
        <s v="Crystal Frontier 7"/>
        <s v="Secret Odyssey 2"/>
        <s v="Hidden Valley 4"/>
        <s v="Hidden Chronicles 7"/>
        <s v="Midnight Valley 6"/>
        <s v="Silent Empire 4"/>
        <s v="Rising Valley 7"/>
        <s v="Secret Storm 1"/>
        <s v="Shadow Valley 6"/>
        <s v="Iron Protocol 7"/>
        <s v="Last Horizon 3"/>
        <s v="Last Archive 9"/>
        <s v="Silent Echo 4"/>
        <s v="Last Empire 3"/>
        <s v="Dark Frontier 7"/>
        <s v="Burning Archive 8"/>
        <s v="Fading Frontier 6"/>
        <s v="Dark Valley 1"/>
        <s v="Last Horizon 1"/>
        <s v="Hidden City 2"/>
        <s v="Midnight City 6"/>
        <s v="Golden Storm 8"/>
        <s v="Secret Chronicles 5"/>
        <s v="Crystal City 3"/>
        <s v="Silent Frontier 6"/>
        <s v="Shadow Empire 7"/>
        <s v="Iron Storm 6"/>
        <s v="Silent Echo 5"/>
        <s v="Last Code 4"/>
        <s v="Crystal Frontier 2"/>
        <s v="Hidden Archive 7"/>
        <s v="Midnight Odyssey 5"/>
        <s v="Silent Protocol 5"/>
        <s v="Lost Frontier 6"/>
        <s v="Shadow Storm 7"/>
        <s v="Lost Legacy 1"/>
        <s v="Burning Empire 9"/>
        <s v="Dark Frontier 2"/>
        <s v="Fading Valley 5"/>
        <s v="Iron Archive 4"/>
        <s v="Shadow Horizon 1"/>
        <s v="Dark Code 9"/>
        <s v="Broken Empire 7"/>
        <s v="Broken Signal"/>
        <s v="Shadow Protocol 1"/>
        <s v="Hidden Valley 6"/>
        <s v="Secret Frontier 8"/>
        <s v="Midnight Valley"/>
        <s v="Crystal City 2"/>
        <s v="Crystal Archive 9"/>
        <s v="Secret Frontier 3"/>
        <s v="Silent Protocol 8"/>
        <s v="Dark Code 3"/>
        <s v="Last Signal 4"/>
        <s v="Lost Journey 5"/>
        <s v="Hidden Journey 7"/>
        <s v="Dark Echo 7"/>
        <s v="Lost Code 9"/>
        <s v="Burning Horizon 2"/>
        <s v="Rising Empire 6"/>
        <s v="Hidden Protocol 1"/>
        <s v="Silent Chronicles 4"/>
        <s v="Shadow Horizon 8"/>
        <s v="Burning Empire 7"/>
        <s v="Midnight City 1"/>
        <s v="Midnight Horizon 9"/>
        <s v="Golden Chronicles 2"/>
        <s v="Lost Protocol 4"/>
        <s v="Lost Code"/>
        <s v="Silent Empire 6"/>
        <s v="Dark Echo 5"/>
        <s v="Burning Signal 8"/>
        <s v="Hidden Protocol 9"/>
        <s v="Hidden Horizon 4"/>
        <s v="Fading Archive 4"/>
        <s v="Lost Frontier 4"/>
        <s v="Burning Odyssey"/>
        <s v="Lost Frontier 8"/>
        <s v="Lost Storm 2"/>
        <s v="Midnight Echo 8"/>
        <s v="Last Storm 8"/>
        <s v="Broken Echo 3"/>
        <s v="Golden Odyssey 1"/>
        <s v="Golden Echo 8"/>
        <s v="Last Journey 4"/>
        <s v="Lost City 7"/>
        <s v="Iron Journey 7"/>
        <s v="Fading Echo 5"/>
        <s v="Fading City 3"/>
        <s v="Shadow Code 8"/>
        <s v="Midnight Valley 4"/>
        <s v="Midnight Code 3"/>
        <s v="Burning Echo 7"/>
        <s v="Secret Code 2"/>
        <s v="Iron City 3"/>
        <s v="Fading Empire 5"/>
        <s v="Hidden Frontier 6"/>
        <s v="Secret Protocol 8"/>
        <s v="Crystal Odyssey 4"/>
        <s v="Golden Code 4"/>
        <s v="Crystal Archive 6"/>
        <s v="Silent Legacy 3"/>
        <s v="Last Chronicles 4"/>
        <s v="Last Legacy 9"/>
        <s v="Rising Frontier 9"/>
        <s v="Dark Echo"/>
        <s v="Silent Chronicles 5"/>
        <s v="Silent Odyssey 7"/>
        <s v="Golden Storm 7"/>
        <s v="Broken Empire 8"/>
        <s v="Shadow Valley 8"/>
        <s v="Iron Echo 9"/>
        <s v="Burning City 1"/>
        <s v="Broken Code 2"/>
        <s v="Silent Legacy 5"/>
        <s v="Silent Code 8"/>
        <s v="Burning Empire 6"/>
        <s v="Dark Odyssey 2"/>
        <s v="Dark Legacy 1"/>
        <s v="Secret Empire 8"/>
        <s v="Dark Empire 2"/>
        <s v="Iron Frontier"/>
        <s v="Shadow Legacy 5"/>
        <s v="Silent Storm 8"/>
        <s v="Rising Signal 1"/>
        <s v="Lost Odyssey 1"/>
        <s v="Shadow City 8"/>
        <s v="Iron Legacy 1"/>
        <s v="Secret Journey 3"/>
        <s v="Silent Journey 1"/>
        <s v="Burning Protocol 9"/>
        <s v="Burning Archive 2"/>
        <s v="Last Frontier 5"/>
        <s v="Shadow Odyssey 2"/>
        <s v="Iron Journey 2"/>
        <s v="Midnight City 3"/>
        <s v="Midnight Protocol 8"/>
        <s v="Fading Signal 2"/>
        <s v="Silent Protocol 3"/>
        <s v="Golden Journey 4"/>
        <s v="Burning Empire 4"/>
        <s v="Rising City 8"/>
        <s v="Dark Signal 4"/>
        <s v="Fading Frontier 8"/>
        <s v="Silent Storm 6"/>
        <s v="Broken Echo 6"/>
        <s v="Fading Signal 8"/>
        <s v="Lost Frontier 1"/>
        <s v="Crystal Legacy 5"/>
        <s v="Hidden Frontier 4"/>
        <s v="Crystal Protocol 7"/>
        <s v="Iron Journey 5"/>
        <s v="Secret Valley 6"/>
        <s v="Last Chronicles 5"/>
        <s v="Fading Odyssey 8"/>
        <s v="Iron Odyssey 5"/>
        <s v="Fading Signal 5"/>
        <s v="Crystal Protocol 6"/>
        <s v="Midnight Valley 2"/>
        <s v="Silent Protocol 2"/>
        <s v="Secret Protocol 6"/>
        <s v="Silent Valley 4"/>
        <s v="Secret Protocol 5"/>
        <s v="Rising Signal 2"/>
        <s v="Burning Odyssey 8"/>
        <s v="Midnight Echo 9"/>
        <s v="Burning Storm 1"/>
        <s v="Dark Echo 1"/>
        <s v="Crystal Horizon 4"/>
        <s v="Midnight Empire 6"/>
        <s v="Silent Chronicles 8"/>
        <s v="Burning Frontier 1"/>
        <s v="Dark Archive 6"/>
        <s v="Golden Protocol 1"/>
        <s v="Lost Empire 5"/>
        <s v="Hidden Empire 1"/>
        <s v="Burning Journey 8"/>
        <s v="Rising Code 7"/>
        <s v="Shadow Code 3"/>
        <s v="Hidden Odyssey 3"/>
        <s v="Last Journey 7"/>
        <s v="Shadow Valley 4"/>
        <s v="Shadow Odyssey 9"/>
        <s v="Fading Code 4"/>
        <s v="Broken Empire 2"/>
        <s v="Hidden Protocol 7"/>
        <s v="Iron Signal 1"/>
        <s v="Dark Signal 8"/>
        <s v="Broken Storm 8"/>
        <s v="Crystal Horizon 5"/>
        <s v="Dark City 9"/>
        <s v="Last Horizon 5"/>
        <s v="Hidden Signal 5"/>
        <s v="Last Odyssey 8"/>
        <s v="Hidden Journey 4"/>
        <s v="Lost Horizon 2"/>
        <s v="Golden Code 2"/>
        <s v="Burning Valley 4"/>
        <s v="Silent Legacy 2"/>
        <s v="Shadow Echo 4"/>
        <s v="Secret Legacy 9"/>
        <s v="Golden Horizon 7"/>
        <s v="Shadow Code 1"/>
        <s v="Crystal Storm 1"/>
        <s v="Broken Legacy 5"/>
        <s v="Rising Chronicles 9"/>
        <s v="Midnight Journey 6"/>
        <s v="Shadow Signal 8"/>
        <s v="Burning Archive 9"/>
        <s v="Broken Empire 4"/>
        <s v="Last City 3"/>
        <s v="Crystal Storm 8"/>
        <s v="Dark Storm 3"/>
        <s v="Silent Empire 1"/>
        <s v="Hidden Empire 5"/>
        <s v="Hidden Archive 1"/>
        <s v="Golden Signal 6"/>
        <s v="Crystal Protocol 4"/>
        <s v="Iron Archive 2"/>
        <s v="Silent Signal 6"/>
        <s v="Shadow Code 6"/>
        <s v="Dark Chronicles 4"/>
        <s v="Iron Signal 9"/>
        <s v="Burning City 7"/>
        <s v="Dark Valley 6"/>
        <s v="Silent Empire 7"/>
        <s v="Dark Valley 4"/>
        <s v="Midnight Valley 8"/>
        <s v="Golden Protocol 6"/>
        <s v="Crystal Chronicles 7"/>
        <s v="Lost Chronicles 6"/>
        <s v="Iron Signal 5"/>
        <s v="Shadow Archive 2"/>
        <s v="Golden Empire 4"/>
        <s v="Secret Empire 5"/>
        <s v="Broken Journey 1"/>
        <s v="Hidden Odyssey 5"/>
        <s v="Crystal Echo 4"/>
        <s v="Iron Code 2"/>
        <s v="Midnight Signal 1"/>
        <s v="Hidden Echo 2"/>
        <s v="Dark Chronicles 3"/>
        <s v="Last Echo 7"/>
        <s v="Rising Odyssey 1"/>
        <s v="Last Signal 7"/>
        <s v="Shadow Empire 4"/>
        <s v="Lost Chronicles 7"/>
        <s v="Crystal Empire 2"/>
        <s v="Midnight Storm 3"/>
        <s v="Silent Storm 9"/>
        <s v="Silent Frontier 3"/>
        <s v="Golden Horizon 9"/>
        <s v="Crystal Signal 2"/>
        <s v="Last Chronicles 9"/>
        <s v="Lost Journey 2"/>
        <s v="Midnight Horizon 1"/>
        <s v="Shadow Valley 9"/>
        <s v="Golden Odyssey 3"/>
        <s v="Rising Empire 7"/>
        <s v="Last Odyssey 4"/>
        <s v="Crystal Journey 9"/>
        <s v="Midnight Archive 7"/>
        <s v="Iron Valley 5"/>
        <s v="Midnight Signal 5"/>
        <s v="Rising Odyssey 5"/>
        <s v="Fading Journey 1"/>
        <s v="Hidden Storm 9"/>
        <s v="Rising Signal 6"/>
        <s v="Silent Odyssey 9"/>
        <s v="Lost Chronicles 8"/>
        <s v="Crystal Odyssey 6"/>
        <s v="Crystal Code 8"/>
        <s v="Broken Chronicles 7"/>
        <s v="Golden Protocol 9"/>
        <s v="Broken Legacy 4"/>
        <s v="Broken Valley 6"/>
        <s v="Burning Protocol 4"/>
        <s v="Fading Empire 6"/>
        <s v="Silent Valley 2"/>
        <s v="Secret Journey 9"/>
        <s v="Silent Chronicles 1"/>
        <s v="Dark Horizon 2"/>
        <s v="Golden City 2"/>
        <s v="Golden Protocol 5"/>
        <s v="Dark Storm 2"/>
        <s v="Midnight Signal 3"/>
        <s v="Crystal Signal 9"/>
        <s v="Lost Journey 3"/>
        <s v="Crystal Journey 3"/>
        <s v="Rising Signal 8"/>
        <s v="Lost Valley 4"/>
        <s v="Shadow Storm 9"/>
        <s v="Fading Chronicles 9"/>
        <s v="Midnight Horizon 2"/>
        <s v="Last Journey 5"/>
        <s v="Hidden Frontier 7"/>
        <s v="Crystal Code 9"/>
        <s v="Crystal Echo 2"/>
        <s v="Lost Archive 7"/>
        <s v="Fading Archive 1"/>
        <s v="Last Valley 1"/>
        <s v="Golden Storm 2"/>
        <s v="Burning Legacy 7"/>
        <s v="Crystal Signal 5"/>
        <s v="Rising City 9"/>
        <s v="Burning Protocol 3"/>
        <s v="Broken City 3"/>
        <s v="Burning City 4"/>
        <s v="Hidden Horizon 1"/>
        <s v="Fading Frontier 2"/>
        <s v="Burning Chronicles 5"/>
        <s v="Dark Chronicles 9"/>
        <s v="Shadow Horizon 3"/>
        <s v="Crystal Empire 7"/>
        <s v="Broken Archive 7"/>
        <s v="Iron Odyssey 2"/>
        <s v="Golden Code 8"/>
        <s v="Broken City 5"/>
        <s v="Shadow Legacy 2"/>
        <s v="Iron Echo 5"/>
        <s v="Fading Archive 5"/>
        <s v="Burning Empire 2"/>
        <s v="Dark Chronicles 8"/>
        <s v="Crystal Journey 4"/>
        <s v="Burning Code 3"/>
        <s v="Midnight Archive 5"/>
        <s v="Last Legacy 7"/>
        <s v="Fading City 4"/>
        <s v="Burning Protocol 2"/>
        <s v="Fading Echo 2"/>
        <s v="Rising Legacy 5"/>
        <s v="Dark Chronicles 5"/>
        <s v="Secret Legacy 3"/>
        <s v="Last Storm 6"/>
        <s v="Fading Code 7"/>
        <s v="Last Empire 4"/>
        <s v="Golden Valley 6"/>
        <s v="Lost City 3"/>
        <s v="Iron Odyssey 8"/>
        <s v="Iron Legacy 5"/>
        <s v="Last Echo 3"/>
        <s v="Hidden Code 7"/>
        <s v="Last Protocol 5"/>
        <s v="Hidden City 3"/>
        <s v="Silent Archive 8"/>
        <s v="Hidden Journey 3"/>
        <s v="Secret Protocol 2"/>
        <s v="Iron Horizon 6"/>
        <s v="Last Archive 3"/>
        <s v="Golden Frontier 1"/>
        <s v="Midnight Frontier 5"/>
        <s v="Broken Journey 3"/>
        <s v="Last Odyssey 2"/>
        <s v="Dark Archive 1"/>
        <s v="Broken Signal 9"/>
        <s v="Hidden Empire 3"/>
        <s v="Iron Empire 8"/>
        <s v="Crystal Horizon 7"/>
        <s v="Dark Empire 4"/>
        <s v="Iron Journey 4"/>
        <s v="Last Frontier 9"/>
        <s v="Secret Storm 4"/>
        <s v="Burning Horizon 9"/>
        <s v="Golden Storm 9"/>
        <s v="Broken Valley 9"/>
        <s v="Burning Valley 5"/>
        <s v="Iron Legacy 8"/>
        <s v="Lost Archive 9"/>
        <s v="Secret City 7"/>
        <s v="Crystal Signal 3"/>
        <s v="Golden Odyssey 8"/>
        <s v="Dark Horizon 6"/>
        <s v="Rising Horizon 6"/>
        <s v="Rising Code 6"/>
        <s v="Lost Echo 4"/>
        <s v="Burning Storm 9"/>
        <s v="Broken Protocol 6"/>
        <s v="Secret Signal 4"/>
        <s v="Crystal Protocol 5"/>
        <s v="Burning City 2"/>
        <s v="Hidden Code 9"/>
        <s v="Rising Valley 1"/>
        <s v="Dark Protocol 9"/>
        <s v="Rising Valley 4"/>
        <s v="Lost Empire 8"/>
        <s v="Midnight Frontier 2"/>
        <s v="Lost Legacy 3"/>
        <s v="Lost Signal 4"/>
        <s v="Lost Odyssey 3"/>
        <s v="Secret Protocol 7"/>
        <s v="Iron Signal 3"/>
        <s v="Iron Echo 7"/>
        <s v="Secret Chronicles 2"/>
        <s v="Last Empire 5"/>
        <s v="Iron Chronicles 1"/>
        <s v="Fading Echo 4"/>
        <s v="Shadow Code 4"/>
        <s v="Iron Frontier 4"/>
        <s v="Midnight Odyssey 6"/>
        <s v="Last Chronicles 1"/>
        <s v="Broken Chronicles 4"/>
        <s v="Last City 9"/>
        <s v="Shadow Frontier 2"/>
        <s v="Silent Frontier 4"/>
        <s v="Golden Echo 4"/>
        <s v="Burning Code 2"/>
        <s v="Lost Empire 3"/>
        <s v="Broken Echo 7"/>
        <s v="Shadow Protocol 9"/>
        <s v="Golden Signal 5"/>
        <s v="Crystal Empire 8"/>
        <s v="Shadow Empire 9"/>
        <s v="Silent Code 9"/>
        <s v="Broken Protocol 7"/>
        <s v="Midnight Storm 6"/>
        <s v="Lost Empire 1"/>
        <s v="Broken Protocol 8"/>
        <s v="Secret Echo 2"/>
        <s v="Iron Protocol 6"/>
        <s v="Burning Valley 9"/>
        <s v="Crystal Legacy 1"/>
        <s v="Rising Legacy 8"/>
        <s v="Last Code 3"/>
        <s v="Rising Protocol 2"/>
        <s v="Crystal Valley 5"/>
        <s v="Last Protocol 9"/>
        <s v="Fading Chronicles 5"/>
        <s v="Crystal Chronicles 5"/>
        <s v="Broken Code 3"/>
        <s v="Golden Echo 1"/>
        <s v="Last Protocol 6"/>
        <s v="Broken Horizon 8"/>
        <s v="Burning Frontier 9"/>
        <s v="Secret City 8"/>
        <s v="Iron Odyssey 6"/>
        <s v="Secret Horizon 8"/>
        <s v="Hidden City 8"/>
        <s v="Last Empire 1"/>
        <s v="Iron Empire 6"/>
        <s v="Hidden Valley 3"/>
        <s v="Burning Protocol 5"/>
        <s v="Dark Valley 5"/>
        <s v="Fading Code 9"/>
        <s v="Fading Signal 1"/>
        <s v="Midnight Signal 9"/>
        <s v="Shadow Protocol 4"/>
        <s v="Shadow City 2"/>
        <s v="Golden Empire 7"/>
        <s v="Rising Echo 1"/>
        <s v="Shadow Odyssey 5"/>
        <s v="Iron Storm 1"/>
        <s v="Golden City 7"/>
        <s v="Rising Signal 3"/>
        <s v="Secret Legacy 6"/>
        <s v="Lost Archive 8"/>
        <s v="Burning Odyssey 6"/>
        <s v="Last Archive 6"/>
        <s v="Shadow Empire 5"/>
        <s v="Burning Signal 6"/>
        <s v="Dark Code 2"/>
        <s v="Last Odyssey 3"/>
        <s v="Silent Journey 9"/>
        <s v="Hidden Signal 7"/>
        <s v="Silent Empire 5"/>
        <s v="Fading Valley 1"/>
        <s v="Dark Chronicles 2"/>
        <s v="Crystal Chronicles 6"/>
        <s v="Dark Legacy 8"/>
        <s v="Last Protocol 4"/>
        <s v="Fading Archive 9"/>
        <s v="Midnight Archive 9"/>
        <s v="Last Echo 6"/>
        <s v="Crystal Code 1"/>
        <s v="Shadow Protocol 2"/>
        <s v="Rising Signal 7"/>
        <s v="Crystal Archive 7"/>
        <s v="Broken Odyssey 8"/>
        <s v="Fading Odyssey 4"/>
        <s v="Dark Protocol 4"/>
        <s v="Silent Code 2"/>
        <s v="Broken Frontier 8"/>
        <s v="Hidden Frontier 8"/>
        <s v="Crystal Odyssey 1"/>
        <s v="Fading Storm 3"/>
        <s v="Crystal Legacy 2"/>
        <s v="Silent Odyssey 8"/>
        <s v="Iron Empire 9"/>
        <s v="Last Horizon 4"/>
        <s v="Fading City 5"/>
        <s v="Lost Legacy 7"/>
        <s v="Midnight Empire 4"/>
        <s v="Rising Horizon 9"/>
        <s v="Fading Chronicles 6"/>
        <s v="Broken Echo 8"/>
        <s v="Broken Storm 3"/>
        <s v="Secret Storm 8"/>
        <s v="Burning Storm 2"/>
        <s v="Lost Valley 1"/>
        <s v="Secret Horizon 7"/>
        <s v="Broken Archive 4"/>
        <s v="Fading Echo 1"/>
        <s v="Fading Journey 8"/>
        <s v="Golden Chronicles 5"/>
        <s v="Hidden Valley 9"/>
        <s v="Burning Protocol 7"/>
        <s v="Lost Code 4"/>
        <s v="Silent Protocol 7"/>
        <s v="Dark Protocol 6"/>
        <s v="Last Archive 7"/>
        <s v="Rising Protocol 4"/>
        <s v="Burning Code 1"/>
        <s v="Golden City 1"/>
        <s v="Secret Archive 8"/>
        <s v="Fading Valley 6"/>
        <s v="Golden Signal 8"/>
        <s v="Shadow Signal 5"/>
        <s v="Golden Empire 3"/>
        <s v="Golden Empire 9"/>
        <s v="Silent Legacy 6"/>
        <s v="Dark Signal 3"/>
        <s v="Burning Horizon 1"/>
        <s v="Golden Journey 7"/>
        <s v="Dark Frontier 1"/>
        <s v="Lost Horizon 6"/>
        <s v="Crystal Storm 3"/>
        <s v="Dark Legacy 6"/>
        <s v="Midnight Chronicles 5"/>
        <s v="Broken Legacy 7"/>
        <s v="Golden Odyssey 9"/>
        <s v="Crystal Odyssey 9"/>
        <s v="Golden Code 5"/>
        <s v="Dark Storm 8"/>
        <s v="Iron Empire 5"/>
        <s v="Secret Code 9"/>
        <s v="Golden Code 1"/>
        <s v="Shadow Empire 3"/>
        <s v="Burning Journey 3"/>
        <s v="Shadow Legacy 8"/>
        <s v="Lost Storm 5"/>
        <s v="Crystal Chronicles 4"/>
        <s v="Hidden Code 1"/>
        <s v="Crystal Valley 7"/>
        <s v="Rising Frontier 2"/>
        <s v="Secret City 4"/>
        <s v="Golden Storm 1"/>
        <s v="Shadow Protocol 3"/>
        <s v="Burning Echo 3"/>
        <s v="Golden Code 9"/>
        <s v="Burning Frontier 8"/>
        <s v="Midnight Signal 8"/>
        <s v="Rising Frontier 6"/>
        <s v="Fading Odyssey 5"/>
        <s v="Golden Protocol 3"/>
        <s v="Burning Journey 4"/>
        <s v="Rising Chronicles 2"/>
        <s v="Fading Odyssey 2"/>
        <s v="Fading Chronicles 7"/>
        <s v="Hidden Code 8"/>
        <s v="Shadow Code 9"/>
        <s v="Dark Storm 6"/>
        <s v="Broken Storm 9"/>
        <s v="Lost City 4"/>
        <s v="Crystal Journey 5"/>
        <s v="Shadow Frontier 7"/>
        <s v="Fading Protocol 8"/>
        <s v="Broken Echo 5"/>
        <s v="Fading Horizon 9"/>
        <s v="Shadow Legacy 6"/>
        <s v="Last Echo 5"/>
        <s v="Silent Storm 1"/>
        <s v="Secret Horizon 1"/>
        <s v="Secret Valley 4"/>
        <s v="Last Storm 3"/>
        <s v="Broken Code 8"/>
        <s v="Hidden Chronicles 1"/>
        <s v="Fading Frontier 7"/>
        <s v="Crystal Horizon 2"/>
        <s v="Secret Odyssey 6"/>
        <s v="Silent Journey 3"/>
        <s v="Silent Storm 4"/>
        <s v="Rising Archive 7"/>
        <s v="Broken Signal 1"/>
        <s v="Last Frontier 6"/>
        <s v="Iron Code 6"/>
        <s v="Hidden Odyssey 6"/>
        <s v="Burning Signal 7"/>
        <s v="Golden Frontier 3"/>
        <s v="Crystal Chronicles 8"/>
        <s v="Hidden Empire 7"/>
        <s v="Crystal Valley 3"/>
        <s v="Rising Archive 4"/>
        <s v="Rising Journey 8"/>
        <s v="Golden Storm 4"/>
        <s v="Dark City 4"/>
        <s v="Shadow Frontier 8"/>
        <s v="Burning Chronicles 2"/>
        <s v="Iron Frontier 1"/>
        <s v="Silent Protocol 4"/>
        <s v="Iron Valley 6"/>
        <s v="Fading Odyssey 6"/>
        <s v="Rising Journey 7"/>
        <s v="Rising Archive 3"/>
        <s v="Fading Empire 2"/>
        <s v="Secret Journey 6"/>
        <s v="Midnight Archive 3"/>
        <s v="Broken Odyssey 9"/>
        <s v="Midnight Code 1"/>
        <s v="Secret Code 8"/>
        <s v="Iron Echo 2"/>
        <s v="Broken Empire 3"/>
        <s v="Broken Odyssey 1"/>
        <s v="Rising Valley 3"/>
        <s v="Broken Storm 7"/>
        <s v="Shadow City 1"/>
        <s v="Crystal Chronicles 1"/>
        <s v="Iron Frontier 8"/>
        <s v="Fading Echo 9"/>
        <s v="Crystal Code 7"/>
        <s v="Burning Storm 6"/>
        <s v="Crystal Horizon 3"/>
        <s v="Midnight Protocol 6"/>
        <s v="Midnight Protocol 3"/>
        <s v="Lost Horizon 7"/>
        <s v="Crystal Storm 6"/>
        <s v="Midnight Odyssey 7"/>
        <s v="Iron Code 8"/>
        <s v="Lost Echo 2"/>
        <s v="Midnight Frontier 9"/>
        <s v="Rising Empire 5"/>
        <s v="Crystal City 5"/>
        <s v="Crystal Protocol 8"/>
        <s v="Iron Odyssey 9"/>
        <s v="Iron City 8"/>
        <s v="Silent Signal 2"/>
        <s v="Burning Valley 6"/>
        <s v="Golden Frontier 9"/>
        <s v="Silent Archive 7"/>
        <s v="Crystal Odyssey 2"/>
        <s v="Crystal Legacy 7"/>
        <s v="Iron Frontier 7"/>
        <s v="Last Code 9"/>
        <s v="Silent Archive 9"/>
        <s v="Shadow Frontier 9"/>
        <s v="Crystal City 6"/>
        <s v="Fading Archive 8"/>
        <s v="Fading Horizon 3"/>
        <s v="Golden Valley 9"/>
        <s v="Midnight Echo 1"/>
        <s v="Broken Odyssey 4"/>
        <s v="Secret Code 5"/>
        <s v="Broken Journey 6"/>
        <s v="Secret Valley 3"/>
        <s v="Burning Signal 1"/>
        <s v="Midnight Journey 7"/>
        <s v="Lost Echo 8"/>
        <s v="Rising Echo 9"/>
        <s v="Rising Storm 6"/>
        <s v="Crystal Valley 4"/>
        <s v="Fading Legacy 9"/>
        <s v="Hidden Empire 9"/>
        <s v="Crystal Archive 4"/>
        <s v="Iron Code 1"/>
        <s v="Crystal Odyssey 3"/>
        <s v="Golden Frontier 4"/>
        <s v="Secret Signal 7"/>
        <s v="Silent City 1"/>
        <s v="Midnight City 9"/>
        <s v="Crystal Protocol 1"/>
        <s v="Fading Code 8"/>
        <s v="Iron Archive 6"/>
        <s v="Golden Legacy 9"/>
        <s v="Rising Echo 2"/>
        <s v="Crystal Storm 7"/>
        <s v="Dark Code 4"/>
        <s v="Last Journey 2"/>
        <s v="Fading Archive 3"/>
        <s v="Rising City 3"/>
        <s v="Fading Code 1"/>
        <s v="Lost Echo 1"/>
        <s v="Shadow Chronicles 4"/>
        <s v="Lost Code 7"/>
        <s v="Dark Horizon 5"/>
        <s v="Silent Echo 7"/>
        <s v="Midnight Chronicles 2"/>
        <s v="Crystal Odyssey 8"/>
        <s v="Last Journey 1"/>
        <s v="Hidden Echo 8"/>
        <s v="Secret Signal 8"/>
        <s v="Rising Chronicles 1"/>
        <s v="Midnight Storm 1"/>
        <s v="Lost Signal 7"/>
        <s v="Crystal Signal 8"/>
        <s v="Burning Legacy 8"/>
        <s v="Shadow Legacy 7"/>
        <s v="Burning Chronicles 4"/>
        <s v="Shadow Horizon 5"/>
        <s v="Lost Code 5"/>
        <s v="Rising Storm 5"/>
        <s v="Secret Echo 7"/>
        <s v="Golden Archive 7"/>
        <s v="Shadow Empire 6"/>
        <s v="Dark Empire 9"/>
        <s v="Secret Signal 6"/>
        <s v="Golden Valley 4"/>
        <s v="Crystal Empire 5"/>
        <s v="Silent Horizon 9"/>
        <s v="Iron Empire 7"/>
        <s v="Rising Echo 3"/>
        <s v="Crystal Code 6"/>
        <s v="Broken Odyssey 2"/>
        <s v="Fading Code 5"/>
        <s v="Midnight Empire 8"/>
        <s v="Golden Archive 6"/>
        <s v="Crystal Horizon 9"/>
        <s v="Lost Odyssey 8"/>
        <s v="Last Legacy 6"/>
        <s v="Crystal Legacy 4"/>
        <s v="Last Empire 8"/>
        <s v="Rising Valley 8"/>
        <s v="Burning Journey 2"/>
        <s v="Golden Echo 5"/>
        <s v="Golden City 8"/>
        <s v="Fading Storm 1"/>
        <s v="Dark Frontier 6"/>
        <s v="Silent Horizon 6"/>
        <s v="Broken Odyssey 3"/>
        <s v="Rising Protocol 6"/>
        <s v="Last Storm 5"/>
        <s v="Lost Horizon 9"/>
        <s v="Last Storm 9"/>
        <s v="Rising Frontier 5"/>
        <s v="Last City 7"/>
        <s v="Silent Frontier 8"/>
        <s v="Midnight Storm 9"/>
        <s v="Lost Empire 7"/>
        <s v="Hidden Signal 6"/>
        <s v="Iron Signal 4"/>
        <s v="Hidden Echo 3"/>
        <m/>
      </sharedItems>
    </cacheField>
    <cacheField name="Type" numFmtId="0">
      <sharedItems containsBlank="1"/>
    </cacheField>
    <cacheField name="Genre" numFmtId="0">
      <sharedItems containsBlank="1" count="12">
        <s v="Drama"/>
        <s v="Romance"/>
        <s v="Adventure"/>
        <s v="Thriller"/>
        <s v="Crime"/>
        <s v="Action"/>
        <s v="Fantasy"/>
        <s v="Horror"/>
        <s v="Sci-Fi"/>
        <s v="Documentary"/>
        <s v="Comedy"/>
        <m/>
      </sharedItems>
    </cacheField>
    <cacheField name="Release_Year" numFmtId="0">
      <sharedItems containsString="0" containsBlank="1" containsNumber="1" containsInteger="1" minValue="2000" maxValue="2025"/>
    </cacheField>
    <cacheField name="Country" numFmtId="0">
      <sharedItems containsBlank="1"/>
    </cacheField>
    <cacheField name="Date_Added" numFmtId="0">
      <sharedItems containsBlank="1"/>
    </cacheField>
    <cacheField name="Duration_Min" numFmtId="0">
      <sharedItems containsString="0" containsBlank="1" containsNumber="1" containsInteger="1" minValue="30" maxValue="180"/>
    </cacheField>
    <cacheField name="Age_Rating" numFmtId="0">
      <sharedItems containsBlank="1"/>
    </cacheField>
    <cacheField name="IMDb_Rating" numFmtId="0">
      <sharedItems containsString="0" containsBlank="1" containsNumber="1" minValue="4.5" maxValue="9.6"/>
    </cacheField>
    <cacheField name="Views_Millions" numFmtId="0">
      <sharedItems containsString="0" containsBlank="1" containsNumber="1" minValue="2.2000000000000002" maxValue="599.29999999999995"/>
    </cacheField>
    <cacheField name="Language" numFmtId="0">
      <sharedItems containsBlank="1"/>
    </cacheField>
    <cacheField name="Director" numFmtId="0">
      <sharedItems containsBlank="1"/>
    </cacheField>
    <cacheField name="Lead_Actor" numFmtId="0">
      <sharedItems containsBlank="1"/>
    </cacheField>
    <cacheField name="Seasons" numFmtId="0">
      <sharedItems containsString="0" containsBlank="1" containsNumber="1" containsInteger="1" minValue="1" maxValue="8"/>
    </cacheField>
    <cacheField name="Budget_Million_USD" numFmtId="0">
      <sharedItems containsString="0" containsBlank="1" containsNumber="1" containsInteger="1" minValue="5" maxValue="200"/>
    </cacheField>
    <cacheField name="Revenue_Million_USD" numFmtId="0">
      <sharedItems containsString="0" containsBlank="1" containsNumber="1" minValue="8.4" maxValue="1265.2"/>
    </cacheField>
    <cacheField name="CONTENT_STATUS" numFmtId="0">
      <sharedItems containsBlank="1"/>
    </cacheField>
    <cacheField name="POPULARITY" numFmtId="0">
      <sharedItems containsBlank="1"/>
    </cacheField>
    <cacheField name="FAMILY_CONTENT" numFmtId="0">
      <sharedItems containsBlank="1"/>
    </cacheField>
    <cacheField name="BUDGET" numFmtId="0">
      <sharedItems containsBlank="1"/>
    </cacheField>
    <cacheField name="PROFIT" numFmtId="0">
      <sharedItems containsString="0" containsBlank="1" containsNumber="1" minValue="2.1999999999999993" maxValue="1067.2"/>
    </cacheField>
    <cacheField name="ROI%" numFmtId="0">
      <sharedItems containsString="0" containsBlank="1" containsNumber="1" minValue="120.625" maxValue="649.452054794520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 DUTTA" refreshedDate="46103.945359490739" createdVersion="8" refreshedVersion="8" minRefreshableVersion="3" recordCount="1500" xr:uid="{59642947-0A7F-40AA-BF3E-BA7555C5448D}">
  <cacheSource type="worksheet">
    <worksheetSource ref="A1:W1501" sheet="Netflix_Data"/>
  </cacheSource>
  <cacheFields count="23">
    <cacheField name="Content_ID" numFmtId="0">
      <sharedItems/>
    </cacheField>
    <cacheField name="Title" numFmtId="0">
      <sharedItems/>
    </cacheField>
    <cacheField name="Type" numFmtId="0">
      <sharedItems/>
    </cacheField>
    <cacheField name="Genre" numFmtId="0">
      <sharedItems count="11">
        <s v="Drama"/>
        <s v="Romance"/>
        <s v="Adventure"/>
        <s v="Thriller"/>
        <s v="Crime"/>
        <s v="Action"/>
        <s v="Fantasy"/>
        <s v="Horror"/>
        <s v="Sci-Fi"/>
        <s v="Documentary"/>
        <s v="Comedy"/>
      </sharedItems>
    </cacheField>
    <cacheField name="Release_Year" numFmtId="0">
      <sharedItems containsSemiMixedTypes="0" containsString="0" containsNumber="1" containsInteger="1" minValue="2000" maxValue="2025"/>
    </cacheField>
    <cacheField name="Country" numFmtId="0">
      <sharedItems count="10">
        <s v="UK"/>
        <s v="South Korea"/>
        <s v="India"/>
        <s v="Canada"/>
        <s v="Spain"/>
        <s v="USA"/>
        <s v="France"/>
        <s v="Germany"/>
        <s v="Japan"/>
        <s v="Australia"/>
      </sharedItems>
    </cacheField>
    <cacheField name="Date_Added" numFmtId="0">
      <sharedItems/>
    </cacheField>
    <cacheField name="Duration_Min" numFmtId="0">
      <sharedItems containsSemiMixedTypes="0" containsString="0" containsNumber="1" containsInteger="1" minValue="30" maxValue="180"/>
    </cacheField>
    <cacheField name="Age_Rating" numFmtId="0">
      <sharedItems/>
    </cacheField>
    <cacheField name="IMDb_Rating" numFmtId="0">
      <sharedItems containsSemiMixedTypes="0" containsString="0" containsNumber="1" minValue="4.5" maxValue="9.6"/>
    </cacheField>
    <cacheField name="Views_Millions" numFmtId="0">
      <sharedItems containsSemiMixedTypes="0" containsString="0" containsNumber="1" minValue="2.2000000000000002" maxValue="599.29999999999995"/>
    </cacheField>
    <cacheField name="Language" numFmtId="0">
      <sharedItems/>
    </cacheField>
    <cacheField name="Director" numFmtId="0">
      <sharedItems/>
    </cacheField>
    <cacheField name="Lead_Actor" numFmtId="0">
      <sharedItems/>
    </cacheField>
    <cacheField name="Seasons" numFmtId="0">
      <sharedItems containsString="0" containsBlank="1" containsNumber="1" containsInteger="1" minValue="1" maxValue="8"/>
    </cacheField>
    <cacheField name="Budget_Million_USD" numFmtId="0">
      <sharedItems containsSemiMixedTypes="0" containsString="0" containsNumber="1" containsInteger="1" minValue="5" maxValue="200"/>
    </cacheField>
    <cacheField name="Revenue_Million_USD" numFmtId="0">
      <sharedItems containsSemiMixedTypes="0" containsString="0" containsNumber="1" minValue="8.4" maxValue="1265.2"/>
    </cacheField>
    <cacheField name="CONTENT_STATUS" numFmtId="0">
      <sharedItems/>
    </cacheField>
    <cacheField name="POPULARITY" numFmtId="0">
      <sharedItems/>
    </cacheField>
    <cacheField name="FAMILY_CONTENT" numFmtId="0">
      <sharedItems/>
    </cacheField>
    <cacheField name="BUDGET" numFmtId="0">
      <sharedItems/>
    </cacheField>
    <cacheField name="PROFIT" numFmtId="0">
      <sharedItems containsSemiMixedTypes="0" containsString="0" containsNumber="1" minValue="2.1999999999999993" maxValue="1067.2"/>
    </cacheField>
    <cacheField name="ROI%" numFmtId="0">
      <sharedItems containsSemiMixedTypes="0" containsString="0" containsNumber="1" minValue="120.625" maxValue="649.452054794520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s v="NFX-100001"/>
    <x v="0"/>
    <s v="Movie"/>
    <x v="0"/>
    <n v="2016"/>
    <s v="UK"/>
    <s v="2020-06-15"/>
    <n v="172"/>
    <s v="16+"/>
    <n v="9"/>
    <n v="441.1"/>
    <s v="Spanish"/>
    <s v="Anurag Kashyap"/>
    <s v="Ranbir Kapoor"/>
    <m/>
    <n v="31"/>
    <n v="195.2"/>
    <s v="Hit"/>
    <s v="Blockbuster"/>
    <s v="No"/>
    <s v="Low"/>
    <n v="164.2"/>
    <n v="629.67741935483866"/>
  </r>
  <r>
    <s v="NFX-100002"/>
    <x v="1"/>
    <s v="Movie"/>
    <x v="1"/>
    <n v="2005"/>
    <s v="South Korea"/>
    <s v="2022-06-04"/>
    <n v="143"/>
    <s v="PG-13"/>
    <n v="7.4"/>
    <n v="304.3"/>
    <s v="English"/>
    <s v="Quentin Tarantino"/>
    <s v="Jennifer Lawrence"/>
    <m/>
    <n v="63"/>
    <n v="143.5"/>
    <s v="Average"/>
    <s v="Popular"/>
    <s v="No"/>
    <s v="Low"/>
    <n v="80.5"/>
    <n v="227.77777777777777"/>
  </r>
  <r>
    <s v="NFX-100003"/>
    <x v="2"/>
    <s v="Movie"/>
    <x v="2"/>
    <n v="2018"/>
    <s v="India"/>
    <s v="2019-06-06"/>
    <n v="86"/>
    <s v="PG"/>
    <n v="7.9"/>
    <n v="88.6"/>
    <s v="French"/>
    <s v="Christopher Nolan"/>
    <s v="Timothée Chalamet"/>
    <m/>
    <n v="107"/>
    <n v="379.1"/>
    <s v="Average"/>
    <s v="Normal"/>
    <s v="Yes"/>
    <s v="High"/>
    <n v="272.10000000000002"/>
    <n v="354.29906542056074"/>
  </r>
  <r>
    <s v="NFX-100004"/>
    <x v="3"/>
    <s v="TV Show"/>
    <x v="3"/>
    <n v="2007"/>
    <s v="Canada"/>
    <s v="2022-01-02"/>
    <n v="49"/>
    <s v="G"/>
    <n v="5.9"/>
    <n v="313.2"/>
    <s v="Spanish"/>
    <s v="Christopher Nolan"/>
    <s v="Ranbir Kapoor"/>
    <n v="3"/>
    <n v="128"/>
    <n v="564.79999999999995"/>
    <s v="Flop"/>
    <s v="Popular"/>
    <s v="Yes"/>
    <s v="High"/>
    <n v="436.79999999999995"/>
    <n v="441.24999999999994"/>
  </r>
  <r>
    <s v="NFX-100005"/>
    <x v="4"/>
    <s v="Movie"/>
    <x v="0"/>
    <n v="2007"/>
    <s v="India"/>
    <s v="2021-12-14"/>
    <n v="95"/>
    <s v="PG-13"/>
    <n v="4.5999999999999996"/>
    <n v="373.8"/>
    <s v="French"/>
    <s v="Rajkumar Hirani"/>
    <s v="Tom Hardy"/>
    <m/>
    <n v="86"/>
    <n v="168.7"/>
    <s v="Flop"/>
    <s v="Popular"/>
    <s v="No"/>
    <s v="Low"/>
    <n v="82.699999999999989"/>
    <n v="196.16279069767441"/>
  </r>
  <r>
    <s v="NFX-100006"/>
    <x v="5"/>
    <s v="TV Show"/>
    <x v="4"/>
    <n v="2022"/>
    <s v="India"/>
    <s v="2023-11-15"/>
    <n v="55"/>
    <s v="PG-13"/>
    <n v="8.1999999999999993"/>
    <n v="134.9"/>
    <s v="English"/>
    <s v="Rajkumar Hirani"/>
    <s v="Brad Pitt"/>
    <n v="5"/>
    <n v="37"/>
    <n v="74.099999999999994"/>
    <s v="Hit"/>
    <s v="Normal"/>
    <s v="No"/>
    <s v="Low"/>
    <n v="37.099999999999994"/>
    <n v="200.27027027027026"/>
  </r>
  <r>
    <s v="NFX-100007"/>
    <x v="6"/>
    <s v="TV Show"/>
    <x v="5"/>
    <n v="2006"/>
    <s v="India"/>
    <s v="2022-06-28"/>
    <n v="35"/>
    <s v="G"/>
    <n v="5"/>
    <n v="446.5"/>
    <s v="Japanese"/>
    <s v="Park Chan-wook"/>
    <s v="Leonardo DiCaprio"/>
    <n v="1"/>
    <n v="102"/>
    <n v="133.6"/>
    <s v="Flop"/>
    <s v="Blockbuster"/>
    <s v="Yes"/>
    <s v="High"/>
    <n v="31.599999999999994"/>
    <n v="130.98039215686273"/>
  </r>
  <r>
    <s v="NFX-100008"/>
    <x v="7"/>
    <s v="Movie"/>
    <x v="0"/>
    <n v="2021"/>
    <s v="South Korea"/>
    <s v="2018-03-28"/>
    <n v="125"/>
    <s v="G"/>
    <n v="8.9"/>
    <n v="497.1"/>
    <s v="Hindi"/>
    <s v="Steven Spielberg"/>
    <s v="Leonardo DiCaprio"/>
    <m/>
    <n v="170"/>
    <n v="468.9"/>
    <s v="Hit"/>
    <s v="Blockbuster"/>
    <s v="Yes"/>
    <s v="High"/>
    <n v="298.89999999999998"/>
    <n v="275.8235294117647"/>
  </r>
  <r>
    <s v="NFX-100009"/>
    <x v="8"/>
    <s v="TV Show"/>
    <x v="6"/>
    <n v="2005"/>
    <s v="Spain"/>
    <s v="2019-11-09"/>
    <n v="52"/>
    <s v="G"/>
    <n v="4.9000000000000004"/>
    <n v="590.4"/>
    <s v="Spanish"/>
    <s v="Guillermo del Toro"/>
    <s v="Chris Evans"/>
    <n v="2"/>
    <n v="38"/>
    <n v="141"/>
    <s v="Flop"/>
    <s v="Blockbuster"/>
    <s v="Yes"/>
    <s v="Low"/>
    <n v="103"/>
    <n v="371.0526315789474"/>
  </r>
  <r>
    <s v="NFX-100010"/>
    <x v="9"/>
    <s v="Movie"/>
    <x v="7"/>
    <n v="2014"/>
    <s v="USA"/>
    <s v="2023-11-04"/>
    <n v="108"/>
    <s v="16+"/>
    <n v="6"/>
    <n v="229.3"/>
    <s v="French"/>
    <s v="Bong Joon-ho"/>
    <s v="Emma Stone"/>
    <m/>
    <n v="56"/>
    <n v="315.8"/>
    <s v="Average"/>
    <s v="Popular"/>
    <s v="No"/>
    <s v="Low"/>
    <n v="259.8"/>
    <n v="563.92857142857144"/>
  </r>
  <r>
    <s v="NFX-100011"/>
    <x v="10"/>
    <s v="TV Show"/>
    <x v="2"/>
    <n v="2014"/>
    <s v="India"/>
    <s v="2019-01-27"/>
    <n v="34"/>
    <s v="16+"/>
    <n v="5.6"/>
    <n v="240.6"/>
    <s v="Korean"/>
    <s v="Guillermo del Toro"/>
    <s v="Song Kang-ho"/>
    <n v="1"/>
    <n v="13"/>
    <n v="32.200000000000003"/>
    <s v="Flop"/>
    <s v="Popular"/>
    <s v="No"/>
    <s v="Low"/>
    <n v="19.200000000000003"/>
    <n v="247.69230769230771"/>
  </r>
  <r>
    <s v="NFX-100012"/>
    <x v="11"/>
    <s v="Movie"/>
    <x v="8"/>
    <n v="2013"/>
    <s v="France"/>
    <s v="2019-03-03"/>
    <n v="159"/>
    <s v="G"/>
    <n v="4.8"/>
    <n v="404.3"/>
    <s v="French"/>
    <s v="Denis Villeneuve"/>
    <s v="Leonardo DiCaprio"/>
    <m/>
    <n v="40"/>
    <n v="129.1"/>
    <s v="Flop"/>
    <s v="Blockbuster"/>
    <s v="Yes"/>
    <s v="Low"/>
    <n v="89.1"/>
    <n v="322.75"/>
  </r>
  <r>
    <s v="NFX-100013"/>
    <x v="12"/>
    <s v="Movie"/>
    <x v="8"/>
    <n v="2001"/>
    <s v="Germany"/>
    <s v="2023-04-12"/>
    <n v="117"/>
    <s v="PG"/>
    <n v="6"/>
    <n v="3.2"/>
    <s v="Spanish"/>
    <s v="Rajkumar Hirani"/>
    <s v="Ryan Gosling"/>
    <m/>
    <n v="53"/>
    <n v="104.9"/>
    <s v="Average"/>
    <s v="Normal"/>
    <s v="Yes"/>
    <s v="Low"/>
    <n v="51.900000000000006"/>
    <n v="197.9245283018868"/>
  </r>
  <r>
    <s v="NFX-100014"/>
    <x v="13"/>
    <s v="TV Show"/>
    <x v="6"/>
    <n v="2023"/>
    <s v="South Korea"/>
    <s v="2021-02-03"/>
    <n v="44"/>
    <s v="PG"/>
    <n v="4.9000000000000004"/>
    <n v="599.29999999999995"/>
    <s v="Japanese"/>
    <s v="Martin Scorsese"/>
    <s v="Ranbir Kapoor"/>
    <n v="3"/>
    <n v="6"/>
    <n v="33"/>
    <s v="Flop"/>
    <s v="Blockbuster"/>
    <s v="Yes"/>
    <s v="Low"/>
    <n v="27"/>
    <n v="550"/>
  </r>
  <r>
    <s v="NFX-100015"/>
    <x v="14"/>
    <s v="Movie"/>
    <x v="6"/>
    <n v="2001"/>
    <s v="Canada"/>
    <s v="2020-07-27"/>
    <n v="111"/>
    <s v="18+"/>
    <n v="9.1999999999999993"/>
    <n v="506.4"/>
    <s v="English"/>
    <s v="Zoya Akhtar"/>
    <s v="Ryan Gosling"/>
    <m/>
    <n v="198"/>
    <n v="796.2"/>
    <s v="Hit"/>
    <s v="Blockbuster"/>
    <s v="No"/>
    <s v="High"/>
    <n v="598.20000000000005"/>
    <n v="402.12121212121212"/>
  </r>
  <r>
    <s v="NFX-100016"/>
    <x v="15"/>
    <s v="TV Show"/>
    <x v="1"/>
    <n v="2023"/>
    <s v="USA"/>
    <s v="2020-10-07"/>
    <n v="38"/>
    <s v="18+"/>
    <n v="6.5"/>
    <n v="289.3"/>
    <s v="Korean"/>
    <s v="Steven Spielberg"/>
    <s v="Tom Hardy"/>
    <n v="6"/>
    <n v="55"/>
    <n v="323.10000000000002"/>
    <s v="Average"/>
    <s v="Popular"/>
    <s v="No"/>
    <s v="Low"/>
    <n v="268.10000000000002"/>
    <n v="587.4545454545455"/>
  </r>
  <r>
    <s v="NFX-100017"/>
    <x v="16"/>
    <s v="Movie"/>
    <x v="9"/>
    <n v="2016"/>
    <s v="USA"/>
    <s v="2023-10-22"/>
    <n v="158"/>
    <s v="18+"/>
    <n v="6"/>
    <n v="131.30000000000001"/>
    <s v="Korean"/>
    <s v="Anurag Kashyap"/>
    <s v="Deepika Padukone"/>
    <m/>
    <n v="83"/>
    <n v="176.8"/>
    <s v="Average"/>
    <s v="Normal"/>
    <s v="No"/>
    <s v="Low"/>
    <n v="93.800000000000011"/>
    <n v="213.01204819277109"/>
  </r>
  <r>
    <s v="NFX-100018"/>
    <x v="17"/>
    <s v="Movie"/>
    <x v="3"/>
    <n v="2017"/>
    <s v="Japan"/>
    <s v="2022-06-05"/>
    <n v="115"/>
    <s v="18+"/>
    <n v="5.6"/>
    <n v="332.9"/>
    <s v="Hindi"/>
    <s v="Sanjay Leela Bhansali"/>
    <s v="Timothée Chalamet"/>
    <m/>
    <n v="171"/>
    <n v="809.6"/>
    <s v="Flop"/>
    <s v="Popular"/>
    <s v="No"/>
    <s v="High"/>
    <n v="638.6"/>
    <n v="473.4502923976608"/>
  </r>
  <r>
    <s v="NFX-100019"/>
    <x v="18"/>
    <s v="Movie"/>
    <x v="8"/>
    <n v="2011"/>
    <s v="France"/>
    <s v="2024-06-25"/>
    <n v="113"/>
    <s v="PG-13"/>
    <n v="7.5"/>
    <n v="242.6"/>
    <s v="French"/>
    <s v="Bong Joon-ho"/>
    <s v="Robert Downey Jr."/>
    <m/>
    <n v="58"/>
    <n v="155"/>
    <s v="Average"/>
    <s v="Popular"/>
    <s v="No"/>
    <s v="Low"/>
    <n v="97"/>
    <n v="267.24137931034483"/>
  </r>
  <r>
    <s v="NFX-100020"/>
    <x v="19"/>
    <s v="Movie"/>
    <x v="2"/>
    <n v="2015"/>
    <s v="India"/>
    <s v="2018-04-16"/>
    <n v="154"/>
    <s v="PG"/>
    <n v="6.9"/>
    <n v="83.4"/>
    <s v="Spanish"/>
    <s v="James Cameron"/>
    <s v="Ranbir Kapoor"/>
    <m/>
    <n v="175"/>
    <n v="428.2"/>
    <s v="Average"/>
    <s v="Normal"/>
    <s v="Yes"/>
    <s v="High"/>
    <n v="253.2"/>
    <n v="244.68571428571425"/>
  </r>
  <r>
    <s v="NFX-100021"/>
    <x v="20"/>
    <s v="TV Show"/>
    <x v="1"/>
    <n v="2009"/>
    <s v="USA"/>
    <s v="2018-05-26"/>
    <n v="35"/>
    <s v="PG"/>
    <n v="9.3000000000000007"/>
    <n v="587.79999999999995"/>
    <s v="Hindi"/>
    <s v="Bong Joon-ho"/>
    <s v="Chris Evans"/>
    <n v="5"/>
    <n v="47"/>
    <n v="76.8"/>
    <s v="Hit"/>
    <s v="Blockbuster"/>
    <s v="Yes"/>
    <s v="Low"/>
    <n v="29.799999999999997"/>
    <n v="163.40425531914892"/>
  </r>
  <r>
    <s v="NFX-100022"/>
    <x v="21"/>
    <s v="Movie"/>
    <x v="3"/>
    <n v="2010"/>
    <s v="UK"/>
    <s v="2018-06-21"/>
    <n v="125"/>
    <s v="G"/>
    <n v="5.6"/>
    <n v="271"/>
    <s v="Spanish"/>
    <s v="James Cameron"/>
    <s v="Emma Stone"/>
    <m/>
    <n v="104"/>
    <n v="318.60000000000002"/>
    <s v="Flop"/>
    <s v="Popular"/>
    <s v="Yes"/>
    <s v="High"/>
    <n v="214.60000000000002"/>
    <n v="306.34615384615387"/>
  </r>
  <r>
    <s v="NFX-100023"/>
    <x v="22"/>
    <s v="Movie"/>
    <x v="10"/>
    <n v="2009"/>
    <s v="UK"/>
    <s v="2022-05-17"/>
    <n v="119"/>
    <s v="16+"/>
    <n v="4.8"/>
    <n v="511.1"/>
    <s v="Japanese"/>
    <s v="Park Chan-wook"/>
    <s v="Emma Stone"/>
    <m/>
    <n v="64"/>
    <n v="97.1"/>
    <s v="Flop"/>
    <s v="Blockbuster"/>
    <s v="No"/>
    <s v="Low"/>
    <n v="33.099999999999994"/>
    <n v="151.71875"/>
  </r>
  <r>
    <s v="NFX-100024"/>
    <x v="23"/>
    <s v="Movie"/>
    <x v="1"/>
    <n v="2007"/>
    <s v="France"/>
    <s v="2019-04-29"/>
    <n v="135"/>
    <s v="PG"/>
    <n v="6.1"/>
    <n v="555.70000000000005"/>
    <s v="French"/>
    <s v="Greta Gerwig"/>
    <s v="Song Kang-ho"/>
    <m/>
    <n v="122"/>
    <n v="615.70000000000005"/>
    <s v="Average"/>
    <s v="Blockbuster"/>
    <s v="Yes"/>
    <s v="High"/>
    <n v="493.70000000000005"/>
    <n v="504.67213114754105"/>
  </r>
  <r>
    <s v="NFX-100025"/>
    <x v="24"/>
    <s v="Movie"/>
    <x v="4"/>
    <n v="2013"/>
    <s v="France"/>
    <s v="2022-01-18"/>
    <n v="101"/>
    <s v="16+"/>
    <n v="7.5"/>
    <n v="475.5"/>
    <s v="Japanese"/>
    <s v="James Cameron"/>
    <s v="Jennifer Lawrence"/>
    <m/>
    <n v="39"/>
    <n v="175.3"/>
    <s v="Average"/>
    <s v="Blockbuster"/>
    <s v="No"/>
    <s v="Low"/>
    <n v="136.30000000000001"/>
    <n v="449.4871794871795"/>
  </r>
  <r>
    <s v="NFX-100026"/>
    <x v="25"/>
    <s v="TV Show"/>
    <x v="4"/>
    <n v="2010"/>
    <s v="South Korea"/>
    <s v="2022-09-04"/>
    <n v="53"/>
    <s v="PG"/>
    <n v="9.1"/>
    <n v="165"/>
    <s v="French"/>
    <s v="Steven Spielberg"/>
    <s v="Scarlett Johansson"/>
    <n v="8"/>
    <n v="169"/>
    <n v="1000.7"/>
    <s v="Hit"/>
    <s v="Normal"/>
    <s v="Yes"/>
    <s v="High"/>
    <n v="831.7"/>
    <n v="592.13017751479299"/>
  </r>
  <r>
    <s v="NFX-100027"/>
    <x v="26"/>
    <s v="Movie"/>
    <x v="9"/>
    <n v="2024"/>
    <s v="Japan"/>
    <s v="2018-08-27"/>
    <n v="115"/>
    <s v="16+"/>
    <n v="8.4"/>
    <n v="196.7"/>
    <s v="English"/>
    <s v="Ridley Scott"/>
    <s v="Shah Rukh Khan"/>
    <m/>
    <n v="137"/>
    <n v="496.6"/>
    <s v="Hit"/>
    <s v="Normal"/>
    <s v="No"/>
    <s v="High"/>
    <n v="359.6"/>
    <n v="362.48175182481754"/>
  </r>
  <r>
    <s v="NFX-100028"/>
    <x v="27"/>
    <s v="Movie"/>
    <x v="7"/>
    <n v="2019"/>
    <s v="Canada"/>
    <s v="2024-06-12"/>
    <n v="158"/>
    <s v="PG-13"/>
    <n v="9.3000000000000007"/>
    <n v="86.5"/>
    <s v="French"/>
    <s v="Rajkumar Hirani"/>
    <s v="Brad Pitt"/>
    <m/>
    <n v="89"/>
    <n v="255"/>
    <s v="Hit"/>
    <s v="Normal"/>
    <s v="No"/>
    <s v="Low"/>
    <n v="166"/>
    <n v="286.5168539325843"/>
  </r>
  <r>
    <s v="NFX-100029"/>
    <x v="28"/>
    <s v="Movie"/>
    <x v="5"/>
    <n v="2022"/>
    <s v="Japan"/>
    <s v="2018-12-21"/>
    <n v="164"/>
    <s v="G"/>
    <n v="9.6"/>
    <n v="368.6"/>
    <s v="Japanese"/>
    <s v="Zoya Akhtar"/>
    <s v="Brad Pitt"/>
    <m/>
    <n v="48"/>
    <n v="88.3"/>
    <s v="Hit"/>
    <s v="Popular"/>
    <s v="Yes"/>
    <s v="Low"/>
    <n v="40.299999999999997"/>
    <n v="183.95833333333334"/>
  </r>
  <r>
    <s v="NFX-100030"/>
    <x v="29"/>
    <s v="Movie"/>
    <x v="9"/>
    <n v="2021"/>
    <s v="UK"/>
    <s v="2018-07-15"/>
    <n v="84"/>
    <s v="PG"/>
    <n v="9"/>
    <n v="234.7"/>
    <s v="Korean"/>
    <s v="James Cameron"/>
    <s v="Chris Evans"/>
    <m/>
    <n v="83"/>
    <n v="369.5"/>
    <s v="Hit"/>
    <s v="Popular"/>
    <s v="Yes"/>
    <s v="Low"/>
    <n v="286.5"/>
    <n v="445.18072289156629"/>
  </r>
  <r>
    <s v="NFX-100031"/>
    <x v="30"/>
    <s v="TV Show"/>
    <x v="5"/>
    <n v="2006"/>
    <s v="Japan"/>
    <s v="2023-10-18"/>
    <n v="41"/>
    <s v="G"/>
    <n v="8.4"/>
    <n v="210.1"/>
    <s v="German"/>
    <s v="James Cameron"/>
    <s v="Deepika Padukone"/>
    <n v="2"/>
    <n v="194"/>
    <n v="658.4"/>
    <s v="Hit"/>
    <s v="Popular"/>
    <s v="Yes"/>
    <s v="High"/>
    <n v="464.4"/>
    <n v="339.38144329896909"/>
  </r>
  <r>
    <s v="NFX-100032"/>
    <x v="31"/>
    <s v="Movie"/>
    <x v="5"/>
    <n v="2017"/>
    <s v="UK"/>
    <s v="2024-05-29"/>
    <n v="152"/>
    <s v="PG-13"/>
    <n v="8.6"/>
    <n v="584.79999999999995"/>
    <s v="English"/>
    <s v="Denis Villeneuve"/>
    <s v="Jennifer Lawrence"/>
    <m/>
    <n v="134"/>
    <n v="583.20000000000005"/>
    <s v="Hit"/>
    <s v="Blockbuster"/>
    <s v="No"/>
    <s v="High"/>
    <n v="449.20000000000005"/>
    <n v="435.22388059701501"/>
  </r>
  <r>
    <s v="NFX-100033"/>
    <x v="32"/>
    <s v="Movie"/>
    <x v="10"/>
    <n v="2011"/>
    <s v="Canada"/>
    <s v="2020-08-18"/>
    <n v="145"/>
    <s v="PG"/>
    <n v="6.5"/>
    <n v="539.79999999999995"/>
    <s v="English"/>
    <s v="Sanjay Leela Bhansali"/>
    <s v="Lee Jung-jae"/>
    <m/>
    <n v="48"/>
    <n v="106.8"/>
    <s v="Average"/>
    <s v="Blockbuster"/>
    <s v="Yes"/>
    <s v="Low"/>
    <n v="58.8"/>
    <n v="222.5"/>
  </r>
  <r>
    <s v="NFX-100034"/>
    <x v="33"/>
    <s v="TV Show"/>
    <x v="6"/>
    <n v="2017"/>
    <s v="Australia"/>
    <s v="2023-04-08"/>
    <n v="51"/>
    <s v="G"/>
    <n v="6.7"/>
    <n v="354.9"/>
    <s v="Korean"/>
    <s v="Martin Scorsese"/>
    <s v="Leonardo DiCaprio"/>
    <n v="7"/>
    <n v="51"/>
    <n v="306.10000000000002"/>
    <s v="Average"/>
    <s v="Popular"/>
    <s v="Yes"/>
    <s v="Low"/>
    <n v="255.10000000000002"/>
    <n v="600.1960784313726"/>
  </r>
  <r>
    <s v="NFX-100035"/>
    <x v="34"/>
    <s v="TV Show"/>
    <x v="6"/>
    <n v="2001"/>
    <s v="South Korea"/>
    <s v="2022-02-17"/>
    <n v="60"/>
    <s v="18+"/>
    <n v="5.4"/>
    <n v="334.2"/>
    <s v="Hindi"/>
    <s v="Denis Villeneuve"/>
    <s v="Jennifer Lawrence"/>
    <n v="7"/>
    <n v="22"/>
    <n v="126.2"/>
    <s v="Flop"/>
    <s v="Popular"/>
    <s v="No"/>
    <s v="Low"/>
    <n v="104.2"/>
    <n v="573.63636363636363"/>
  </r>
  <r>
    <s v="NFX-100036"/>
    <x v="35"/>
    <s v="TV Show"/>
    <x v="1"/>
    <n v="2009"/>
    <s v="Japan"/>
    <s v="2022-10-09"/>
    <n v="36"/>
    <s v="18+"/>
    <n v="7.2"/>
    <n v="496.9"/>
    <s v="Korean"/>
    <s v="Rajkumar Hirani"/>
    <s v="Timothée Chalamet"/>
    <n v="4"/>
    <n v="37"/>
    <n v="143"/>
    <s v="Average"/>
    <s v="Blockbuster"/>
    <s v="No"/>
    <s v="Low"/>
    <n v="106"/>
    <n v="386.48648648648651"/>
  </r>
  <r>
    <s v="NFX-100037"/>
    <x v="36"/>
    <s v="Movie"/>
    <x v="2"/>
    <n v="2025"/>
    <s v="Australia"/>
    <s v="2023-08-06"/>
    <n v="134"/>
    <s v="16+"/>
    <n v="6"/>
    <n v="130"/>
    <s v="Korean"/>
    <s v="Denis Villeneuve"/>
    <s v="Emma Stone"/>
    <m/>
    <n v="169"/>
    <n v="844.6"/>
    <s v="Average"/>
    <s v="Normal"/>
    <s v="No"/>
    <s v="High"/>
    <n v="675.6"/>
    <n v="499.76331360946745"/>
  </r>
  <r>
    <s v="NFX-100038"/>
    <x v="37"/>
    <s v="Movie"/>
    <x v="0"/>
    <n v="2006"/>
    <s v="Japan"/>
    <s v="2024-06-20"/>
    <n v="113"/>
    <s v="18+"/>
    <n v="5.4"/>
    <n v="53.1"/>
    <s v="Korean"/>
    <s v="Ridley Scott"/>
    <s v="Timothée Chalamet"/>
    <m/>
    <n v="29"/>
    <n v="103.3"/>
    <s v="Flop"/>
    <s v="Normal"/>
    <s v="No"/>
    <s v="Low"/>
    <n v="74.3"/>
    <n v="356.20689655172413"/>
  </r>
  <r>
    <s v="NFX-100039"/>
    <x v="38"/>
    <s v="TV Show"/>
    <x v="3"/>
    <n v="2015"/>
    <s v="India"/>
    <s v="2023-06-04"/>
    <n v="41"/>
    <s v="PG"/>
    <n v="8.1999999999999993"/>
    <n v="309.89999999999998"/>
    <s v="French"/>
    <s v="Sanjay Leela Bhansali"/>
    <s v="Song Kang-ho"/>
    <n v="4"/>
    <n v="20"/>
    <n v="55.1"/>
    <s v="Hit"/>
    <s v="Popular"/>
    <s v="Yes"/>
    <s v="Low"/>
    <n v="35.1"/>
    <n v="275.5"/>
  </r>
  <r>
    <s v="NFX-100040"/>
    <x v="39"/>
    <s v="TV Show"/>
    <x v="8"/>
    <n v="2021"/>
    <s v="USA"/>
    <s v="2021-04-13"/>
    <n v="60"/>
    <s v="G"/>
    <n v="6.2"/>
    <n v="150.6"/>
    <s v="English"/>
    <s v="Rajkumar Hirani"/>
    <s v="Scarlett Johansson"/>
    <n v="8"/>
    <n v="103"/>
    <n v="144.4"/>
    <s v="Average"/>
    <s v="Normal"/>
    <s v="Yes"/>
    <s v="High"/>
    <n v="41.400000000000006"/>
    <n v="140.19417475728156"/>
  </r>
  <r>
    <s v="NFX-100041"/>
    <x v="40"/>
    <s v="Movie"/>
    <x v="7"/>
    <n v="2012"/>
    <s v="Germany"/>
    <s v="2024-07-04"/>
    <n v="174"/>
    <s v="PG"/>
    <n v="8.1999999999999993"/>
    <n v="578.70000000000005"/>
    <s v="German"/>
    <s v="Martin Scorsese"/>
    <s v="Tom Hardy"/>
    <m/>
    <n v="94"/>
    <n v="483.2"/>
    <s v="Hit"/>
    <s v="Blockbuster"/>
    <s v="Yes"/>
    <s v="Low"/>
    <n v="389.2"/>
    <n v="514.04255319148945"/>
  </r>
  <r>
    <s v="NFX-100042"/>
    <x v="41"/>
    <s v="TV Show"/>
    <x v="0"/>
    <n v="2003"/>
    <s v="USA"/>
    <s v="2024-03-31"/>
    <n v="49"/>
    <s v="18+"/>
    <n v="8.5"/>
    <n v="153"/>
    <s v="Spanish"/>
    <s v="Zoya Akhtar"/>
    <s v="Tom Hardy"/>
    <n v="6"/>
    <n v="47"/>
    <n v="148.69999999999999"/>
    <s v="Hit"/>
    <s v="Normal"/>
    <s v="No"/>
    <s v="Low"/>
    <n v="101.69999999999999"/>
    <n v="316.38297872340422"/>
  </r>
  <r>
    <s v="NFX-100043"/>
    <x v="42"/>
    <s v="Movie"/>
    <x v="1"/>
    <n v="2016"/>
    <s v="Australia"/>
    <s v="2020-07-05"/>
    <n v="102"/>
    <s v="PG-13"/>
    <n v="8.9"/>
    <n v="8.4"/>
    <s v="Spanish"/>
    <s v="James Cameron"/>
    <s v="Shah Rukh Khan"/>
    <m/>
    <n v="109"/>
    <n v="406.4"/>
    <s v="Hit"/>
    <s v="Normal"/>
    <s v="No"/>
    <s v="High"/>
    <n v="297.39999999999998"/>
    <n v="372.8440366972477"/>
  </r>
  <r>
    <s v="NFX-100044"/>
    <x v="43"/>
    <s v="Movie"/>
    <x v="10"/>
    <n v="2022"/>
    <s v="Canada"/>
    <s v="2023-06-19"/>
    <n v="104"/>
    <s v="18+"/>
    <n v="8.3000000000000007"/>
    <n v="27"/>
    <s v="Spanish"/>
    <s v="Martin Scorsese"/>
    <s v="Ryan Gosling"/>
    <m/>
    <n v="96"/>
    <n v="615.6"/>
    <s v="Hit"/>
    <s v="Normal"/>
    <s v="No"/>
    <s v="Low"/>
    <n v="519.6"/>
    <n v="641.25"/>
  </r>
  <r>
    <s v="NFX-100045"/>
    <x v="44"/>
    <s v="Movie"/>
    <x v="7"/>
    <n v="2019"/>
    <s v="Australia"/>
    <s v="2018-10-11"/>
    <n v="114"/>
    <s v="PG"/>
    <n v="4.9000000000000004"/>
    <n v="121.2"/>
    <s v="Korean"/>
    <s v="Rajkumar Hirani"/>
    <s v="Chris Evans"/>
    <m/>
    <n v="80"/>
    <n v="261.10000000000002"/>
    <s v="Flop"/>
    <s v="Normal"/>
    <s v="Yes"/>
    <s v="Low"/>
    <n v="181.10000000000002"/>
    <n v="326.37500000000006"/>
  </r>
  <r>
    <s v="NFX-100046"/>
    <x v="45"/>
    <s v="Movie"/>
    <x v="7"/>
    <n v="2019"/>
    <s v="Spain"/>
    <s v="2019-11-15"/>
    <n v="157"/>
    <s v="PG-13"/>
    <n v="6.4"/>
    <n v="345.5"/>
    <s v="German"/>
    <s v="Guillermo del Toro"/>
    <s v="Lee Jung-jae"/>
    <m/>
    <n v="139"/>
    <n v="280.60000000000002"/>
    <s v="Average"/>
    <s v="Popular"/>
    <s v="No"/>
    <s v="High"/>
    <n v="141.60000000000002"/>
    <n v="201.87050359712231"/>
  </r>
  <r>
    <s v="NFX-100047"/>
    <x v="46"/>
    <s v="TV Show"/>
    <x v="3"/>
    <n v="2018"/>
    <s v="Spain"/>
    <s v="2018-07-09"/>
    <n v="43"/>
    <s v="G"/>
    <n v="5.0999999999999996"/>
    <n v="180.5"/>
    <s v="Hindi"/>
    <s v="Bong Joon-ho"/>
    <s v="Leonardo DiCaprio"/>
    <n v="5"/>
    <n v="157"/>
    <n v="200.3"/>
    <s v="Flop"/>
    <s v="Normal"/>
    <s v="Yes"/>
    <s v="High"/>
    <n v="43.300000000000011"/>
    <n v="127.57961783439491"/>
  </r>
  <r>
    <s v="NFX-100048"/>
    <x v="47"/>
    <s v="Movie"/>
    <x v="7"/>
    <n v="2011"/>
    <s v="Spain"/>
    <s v="2023-09-11"/>
    <n v="87"/>
    <s v="PG-13"/>
    <n v="8.8000000000000007"/>
    <n v="392.9"/>
    <s v="Korean"/>
    <s v="James Cameron"/>
    <s v="Timothée Chalamet"/>
    <m/>
    <n v="11"/>
    <n v="40.700000000000003"/>
    <s v="Hit"/>
    <s v="Popular"/>
    <s v="No"/>
    <s v="Low"/>
    <n v="29.700000000000003"/>
    <n v="370"/>
  </r>
  <r>
    <s v="NFX-100049"/>
    <x v="48"/>
    <s v="TV Show"/>
    <x v="4"/>
    <n v="2018"/>
    <s v="UK"/>
    <s v="2021-07-30"/>
    <n v="51"/>
    <s v="PG-13"/>
    <n v="9.3000000000000007"/>
    <n v="536.20000000000005"/>
    <s v="Spanish"/>
    <s v="Ridley Scott"/>
    <s v="Scarlett Johansson"/>
    <n v="1"/>
    <n v="134"/>
    <n v="644.79999999999995"/>
    <s v="Hit"/>
    <s v="Blockbuster"/>
    <s v="No"/>
    <s v="High"/>
    <n v="510.79999999999995"/>
    <n v="481.19402985074623"/>
  </r>
  <r>
    <s v="NFX-100050"/>
    <x v="49"/>
    <s v="Movie"/>
    <x v="7"/>
    <n v="2024"/>
    <s v="Japan"/>
    <s v="2021-05-13"/>
    <n v="155"/>
    <s v="18+"/>
    <n v="7.6"/>
    <n v="477"/>
    <s v="French"/>
    <s v="Guillermo del Toro"/>
    <s v="Brad Pitt"/>
    <m/>
    <n v="85"/>
    <n v="544.20000000000005"/>
    <s v="Average"/>
    <s v="Blockbuster"/>
    <s v="No"/>
    <s v="Low"/>
    <n v="459.20000000000005"/>
    <n v="640.23529411764719"/>
  </r>
  <r>
    <s v="NFX-100051"/>
    <x v="50"/>
    <s v="Movie"/>
    <x v="9"/>
    <n v="2021"/>
    <s v="Spain"/>
    <s v="2019-09-30"/>
    <n v="149"/>
    <s v="18+"/>
    <n v="5.7"/>
    <n v="585.5"/>
    <s v="French"/>
    <s v="Guillermo del Toro"/>
    <s v="Scarlett Johansson"/>
    <m/>
    <n v="20"/>
    <n v="114.5"/>
    <s v="Flop"/>
    <s v="Blockbuster"/>
    <s v="No"/>
    <s v="Low"/>
    <n v="94.5"/>
    <n v="572.5"/>
  </r>
  <r>
    <s v="NFX-100052"/>
    <x v="51"/>
    <s v="TV Show"/>
    <x v="10"/>
    <n v="2005"/>
    <s v="Japan"/>
    <s v="2022-12-04"/>
    <n v="40"/>
    <s v="PG-13"/>
    <n v="5.3"/>
    <n v="397.5"/>
    <s v="Hindi"/>
    <s v="Park Chan-wook"/>
    <s v="Lee Jung-jae"/>
    <n v="3"/>
    <n v="145"/>
    <n v="178.7"/>
    <s v="Flop"/>
    <s v="Popular"/>
    <s v="No"/>
    <s v="High"/>
    <n v="33.699999999999989"/>
    <n v="123.24137931034483"/>
  </r>
  <r>
    <s v="NFX-100053"/>
    <x v="52"/>
    <s v="TV Show"/>
    <x v="4"/>
    <n v="2010"/>
    <s v="Australia"/>
    <s v="2018-01-08"/>
    <n v="37"/>
    <s v="PG-13"/>
    <n v="8"/>
    <n v="42.7"/>
    <s v="Korean"/>
    <s v="Zoya Akhtar"/>
    <s v="Brad Pitt"/>
    <n v="5"/>
    <n v="140"/>
    <n v="838.8"/>
    <s v="Hit"/>
    <s v="Normal"/>
    <s v="No"/>
    <s v="High"/>
    <n v="698.8"/>
    <n v="599.14285714285711"/>
  </r>
  <r>
    <s v="NFX-100054"/>
    <x v="53"/>
    <s v="TV Show"/>
    <x v="9"/>
    <n v="2020"/>
    <s v="USA"/>
    <s v="2023-05-28"/>
    <n v="39"/>
    <s v="PG-13"/>
    <n v="6"/>
    <n v="352"/>
    <s v="German"/>
    <s v="Rajkumar Hirani"/>
    <s v="Ranbir Kapoor"/>
    <n v="3"/>
    <n v="126"/>
    <n v="623.70000000000005"/>
    <s v="Average"/>
    <s v="Popular"/>
    <s v="No"/>
    <s v="High"/>
    <n v="497.70000000000005"/>
    <n v="495"/>
  </r>
  <r>
    <s v="NFX-100055"/>
    <x v="54"/>
    <s v="Movie"/>
    <x v="4"/>
    <n v="2017"/>
    <s v="Japan"/>
    <s v="2018-08-04"/>
    <n v="116"/>
    <s v="G"/>
    <n v="8.3000000000000007"/>
    <n v="210.7"/>
    <s v="French"/>
    <s v="Steven Spielberg"/>
    <s v="Tom Hardy"/>
    <m/>
    <n v="104"/>
    <n v="458.8"/>
    <s v="Hit"/>
    <s v="Popular"/>
    <s v="Yes"/>
    <s v="High"/>
    <n v="354.8"/>
    <n v="441.15384615384619"/>
  </r>
  <r>
    <s v="NFX-100056"/>
    <x v="55"/>
    <s v="Movie"/>
    <x v="1"/>
    <n v="2012"/>
    <s v="India"/>
    <s v="2023-05-07"/>
    <n v="174"/>
    <s v="G"/>
    <n v="5.4"/>
    <n v="345.7"/>
    <s v="English"/>
    <s v="Zoya Akhtar"/>
    <s v="Deepika Padukone"/>
    <m/>
    <n v="107"/>
    <n v="418.6"/>
    <s v="Flop"/>
    <s v="Popular"/>
    <s v="Yes"/>
    <s v="High"/>
    <n v="311.60000000000002"/>
    <n v="391.21495327102809"/>
  </r>
  <r>
    <s v="NFX-100057"/>
    <x v="56"/>
    <s v="Movie"/>
    <x v="5"/>
    <n v="2006"/>
    <s v="Spain"/>
    <s v="2022-04-27"/>
    <n v="130"/>
    <s v="PG-13"/>
    <n v="9"/>
    <n v="152.80000000000001"/>
    <s v="Korean"/>
    <s v="Zoya Akhtar"/>
    <s v="Tom Hardy"/>
    <m/>
    <n v="161"/>
    <n v="250.5"/>
    <s v="Hit"/>
    <s v="Normal"/>
    <s v="No"/>
    <s v="High"/>
    <n v="89.5"/>
    <n v="155.59006211180125"/>
  </r>
  <r>
    <s v="NFX-100058"/>
    <x v="57"/>
    <s v="TV Show"/>
    <x v="5"/>
    <n v="2019"/>
    <s v="Australia"/>
    <s v="2022-02-24"/>
    <n v="60"/>
    <s v="16+"/>
    <n v="8.3000000000000007"/>
    <n v="343.5"/>
    <s v="Hindi"/>
    <s v="Ridley Scott"/>
    <s v="Chris Evans"/>
    <n v="5"/>
    <n v="131"/>
    <n v="365.7"/>
    <s v="Hit"/>
    <s v="Popular"/>
    <s v="No"/>
    <s v="High"/>
    <n v="234.7"/>
    <n v="279.16030534351142"/>
  </r>
  <r>
    <s v="NFX-100059"/>
    <x v="58"/>
    <s v="Movie"/>
    <x v="1"/>
    <n v="2010"/>
    <s v="Spain"/>
    <s v="2022-02-21"/>
    <n v="160"/>
    <s v="PG-13"/>
    <n v="5.8"/>
    <n v="72.099999999999994"/>
    <s v="Japanese"/>
    <s v="Quentin Tarantino"/>
    <s v="Robert Downey Jr."/>
    <m/>
    <n v="151"/>
    <n v="638.4"/>
    <s v="Flop"/>
    <s v="Normal"/>
    <s v="No"/>
    <s v="High"/>
    <n v="487.4"/>
    <n v="422.78145695364236"/>
  </r>
  <r>
    <s v="NFX-100060"/>
    <x v="59"/>
    <s v="TV Show"/>
    <x v="10"/>
    <n v="2020"/>
    <s v="South Korea"/>
    <s v="2024-07-15"/>
    <n v="54"/>
    <s v="16+"/>
    <n v="4.8"/>
    <n v="225"/>
    <s v="German"/>
    <s v="Quentin Tarantino"/>
    <s v="Ryan Gosling"/>
    <n v="7"/>
    <n v="140"/>
    <n v="308.10000000000002"/>
    <s v="Flop"/>
    <s v="Popular"/>
    <s v="No"/>
    <s v="High"/>
    <n v="168.10000000000002"/>
    <n v="220.07142857142861"/>
  </r>
  <r>
    <s v="NFX-100061"/>
    <x v="60"/>
    <s v="Movie"/>
    <x v="0"/>
    <n v="2006"/>
    <s v="Japan"/>
    <s v="2022-06-24"/>
    <n v="166"/>
    <s v="G"/>
    <n v="6.5"/>
    <n v="446.1"/>
    <s v="Korean"/>
    <s v="Park Chan-wook"/>
    <s v="Scarlett Johansson"/>
    <m/>
    <n v="6"/>
    <n v="9.9"/>
    <s v="Average"/>
    <s v="Blockbuster"/>
    <s v="Yes"/>
    <s v="Low"/>
    <n v="3.9000000000000004"/>
    <n v="165"/>
  </r>
  <r>
    <s v="NFX-100062"/>
    <x v="61"/>
    <s v="Movie"/>
    <x v="9"/>
    <n v="2021"/>
    <s v="Australia"/>
    <s v="2023-07-24"/>
    <n v="157"/>
    <s v="PG"/>
    <n v="5.5"/>
    <n v="70.5"/>
    <s v="French"/>
    <s v="Zoya Akhtar"/>
    <s v="Timothée Chalamet"/>
    <m/>
    <n v="87"/>
    <n v="389.8"/>
    <s v="Flop"/>
    <s v="Normal"/>
    <s v="Yes"/>
    <s v="Low"/>
    <n v="302.8"/>
    <n v="448.04597701149424"/>
  </r>
  <r>
    <s v="NFX-100063"/>
    <x v="62"/>
    <s v="Movie"/>
    <x v="8"/>
    <n v="2011"/>
    <s v="UK"/>
    <s v="2019-05-22"/>
    <n v="131"/>
    <s v="PG"/>
    <n v="6.4"/>
    <n v="369.8"/>
    <s v="French"/>
    <s v="Zoya Akhtar"/>
    <s v="Song Kang-ho"/>
    <m/>
    <n v="156"/>
    <n v="336.2"/>
    <s v="Average"/>
    <s v="Popular"/>
    <s v="Yes"/>
    <s v="High"/>
    <n v="180.2"/>
    <n v="215.5128205128205"/>
  </r>
  <r>
    <s v="NFX-100064"/>
    <x v="63"/>
    <s v="TV Show"/>
    <x v="2"/>
    <n v="2011"/>
    <s v="Canada"/>
    <s v="2019-05-04"/>
    <n v="48"/>
    <s v="G"/>
    <n v="8.5"/>
    <n v="135.9"/>
    <s v="Hindi"/>
    <s v="Bong Joon-ho"/>
    <s v="Ranbir Kapoor"/>
    <n v="8"/>
    <n v="46"/>
    <n v="236.1"/>
    <s v="Hit"/>
    <s v="Normal"/>
    <s v="Yes"/>
    <s v="Low"/>
    <n v="190.1"/>
    <n v="513.26086956521738"/>
  </r>
  <r>
    <s v="NFX-100065"/>
    <x v="64"/>
    <s v="TV Show"/>
    <x v="7"/>
    <n v="2009"/>
    <s v="South Korea"/>
    <s v="2019-04-24"/>
    <n v="50"/>
    <s v="18+"/>
    <n v="7.7"/>
    <n v="409.4"/>
    <s v="Korean"/>
    <s v="Zoya Akhtar"/>
    <s v="Robert Downey Jr."/>
    <n v="7"/>
    <n v="72"/>
    <n v="401.6"/>
    <s v="Average"/>
    <s v="Blockbuster"/>
    <s v="No"/>
    <s v="Low"/>
    <n v="329.6"/>
    <n v="557.77777777777783"/>
  </r>
  <r>
    <s v="NFX-100066"/>
    <x v="65"/>
    <s v="TV Show"/>
    <x v="4"/>
    <n v="2000"/>
    <s v="Spain"/>
    <s v="2024-02-12"/>
    <n v="47"/>
    <s v="18+"/>
    <n v="5.0999999999999996"/>
    <n v="255.5"/>
    <s v="Spanish"/>
    <s v="Bong Joon-ho"/>
    <s v="Brad Pitt"/>
    <n v="6"/>
    <n v="36"/>
    <n v="200.4"/>
    <s v="Flop"/>
    <s v="Popular"/>
    <s v="No"/>
    <s v="Low"/>
    <n v="164.4"/>
    <n v="556.66666666666663"/>
  </r>
  <r>
    <s v="NFX-100067"/>
    <x v="66"/>
    <s v="TV Show"/>
    <x v="0"/>
    <n v="2025"/>
    <s v="Spain"/>
    <s v="2021-09-03"/>
    <n v="57"/>
    <s v="18+"/>
    <n v="7.5"/>
    <n v="218.8"/>
    <s v="Japanese"/>
    <s v="James Cameron"/>
    <s v="Robert Downey Jr."/>
    <n v="3"/>
    <n v="146"/>
    <n v="855.5"/>
    <s v="Average"/>
    <s v="Popular"/>
    <s v="No"/>
    <s v="High"/>
    <n v="709.5"/>
    <n v="585.95890410958907"/>
  </r>
  <r>
    <s v="NFX-100068"/>
    <x v="67"/>
    <s v="Movie"/>
    <x v="7"/>
    <n v="2018"/>
    <s v="France"/>
    <s v="2023-03-18"/>
    <n v="144"/>
    <s v="PG-13"/>
    <n v="6.6"/>
    <n v="163.4"/>
    <s v="French"/>
    <s v="Christopher Nolan"/>
    <s v="Timothée Chalamet"/>
    <m/>
    <n v="169"/>
    <n v="894.3"/>
    <s v="Average"/>
    <s v="Normal"/>
    <s v="No"/>
    <s v="High"/>
    <n v="725.3"/>
    <n v="529.17159763313612"/>
  </r>
  <r>
    <s v="NFX-100069"/>
    <x v="68"/>
    <s v="Movie"/>
    <x v="7"/>
    <n v="2003"/>
    <s v="India"/>
    <s v="2022-05-17"/>
    <n v="84"/>
    <s v="16+"/>
    <n v="5.7"/>
    <n v="484.3"/>
    <s v="Korean"/>
    <s v="Greta Gerwig"/>
    <s v="Emma Stone"/>
    <m/>
    <n v="27"/>
    <n v="97"/>
    <s v="Flop"/>
    <s v="Blockbuster"/>
    <s v="No"/>
    <s v="Low"/>
    <n v="70"/>
    <n v="359.25925925925924"/>
  </r>
  <r>
    <s v="NFX-100070"/>
    <x v="69"/>
    <s v="TV Show"/>
    <x v="7"/>
    <n v="2002"/>
    <s v="USA"/>
    <s v="2022-10-31"/>
    <n v="37"/>
    <s v="PG"/>
    <n v="9.4"/>
    <n v="73.7"/>
    <s v="Japanese"/>
    <s v="Zoya Akhtar"/>
    <s v="Leonardo DiCaprio"/>
    <n v="5"/>
    <n v="118"/>
    <n v="705.8"/>
    <s v="Hit"/>
    <s v="Normal"/>
    <s v="Yes"/>
    <s v="High"/>
    <n v="587.79999999999995"/>
    <n v="598.13559322033893"/>
  </r>
  <r>
    <s v="NFX-100071"/>
    <x v="70"/>
    <s v="Movie"/>
    <x v="3"/>
    <n v="2021"/>
    <s v="Germany"/>
    <s v="2019-11-14"/>
    <n v="168"/>
    <s v="PG"/>
    <n v="5.2"/>
    <n v="232.1"/>
    <s v="Hindi"/>
    <s v="Zoya Akhtar"/>
    <s v="Song Kang-ho"/>
    <m/>
    <n v="171"/>
    <n v="974.2"/>
    <s v="Flop"/>
    <s v="Popular"/>
    <s v="Yes"/>
    <s v="High"/>
    <n v="803.2"/>
    <n v="569.70760233918134"/>
  </r>
  <r>
    <s v="NFX-100072"/>
    <x v="71"/>
    <s v="TV Show"/>
    <x v="10"/>
    <n v="2014"/>
    <s v="Canada"/>
    <s v="2020-01-21"/>
    <n v="32"/>
    <s v="18+"/>
    <n v="4.8"/>
    <n v="88.6"/>
    <s v="German"/>
    <s v="Ridley Scott"/>
    <s v="Shah Rukh Khan"/>
    <n v="6"/>
    <n v="71"/>
    <n v="419.7"/>
    <s v="Flop"/>
    <s v="Normal"/>
    <s v="No"/>
    <s v="Low"/>
    <n v="348.7"/>
    <n v="591.12676056338023"/>
  </r>
  <r>
    <s v="NFX-100073"/>
    <x v="72"/>
    <s v="Movie"/>
    <x v="10"/>
    <n v="2014"/>
    <s v="France"/>
    <s v="2024-06-21"/>
    <n v="142"/>
    <s v="18+"/>
    <n v="5.5"/>
    <n v="574.6"/>
    <s v="Korean"/>
    <s v="Guillermo del Toro"/>
    <s v="Ranbir Kapoor"/>
    <m/>
    <n v="61"/>
    <n v="237.8"/>
    <s v="Flop"/>
    <s v="Blockbuster"/>
    <s v="No"/>
    <s v="Low"/>
    <n v="176.8"/>
    <n v="389.83606557377055"/>
  </r>
  <r>
    <s v="NFX-100074"/>
    <x v="73"/>
    <s v="TV Show"/>
    <x v="6"/>
    <n v="2007"/>
    <s v="Germany"/>
    <s v="2018-08-23"/>
    <n v="57"/>
    <s v="G"/>
    <n v="8.4"/>
    <n v="448.4"/>
    <s v="French"/>
    <s v="James Cameron"/>
    <s v="Brad Pitt"/>
    <n v="2"/>
    <n v="169"/>
    <n v="213.7"/>
    <s v="Hit"/>
    <s v="Blockbuster"/>
    <s v="Yes"/>
    <s v="High"/>
    <n v="44.699999999999989"/>
    <n v="126.44970414201183"/>
  </r>
  <r>
    <s v="NFX-100075"/>
    <x v="74"/>
    <s v="TV Show"/>
    <x v="6"/>
    <n v="2024"/>
    <s v="UK"/>
    <s v="2022-05-13"/>
    <n v="57"/>
    <s v="16+"/>
    <n v="7.6"/>
    <n v="216.9"/>
    <s v="English"/>
    <s v="Quentin Tarantino"/>
    <s v="Song Kang-ho"/>
    <n v="3"/>
    <n v="67"/>
    <n v="431.7"/>
    <s v="Average"/>
    <s v="Popular"/>
    <s v="No"/>
    <s v="Low"/>
    <n v="364.7"/>
    <n v="644.32835820895514"/>
  </r>
  <r>
    <s v="NFX-100076"/>
    <x v="75"/>
    <s v="TV Show"/>
    <x v="3"/>
    <n v="2007"/>
    <s v="India"/>
    <s v="2019-10-09"/>
    <n v="35"/>
    <s v="18+"/>
    <n v="4.9000000000000004"/>
    <n v="209.9"/>
    <s v="German"/>
    <s v="James Cameron"/>
    <s v="Chris Evans"/>
    <n v="4"/>
    <n v="112"/>
    <n v="265.10000000000002"/>
    <s v="Flop"/>
    <s v="Popular"/>
    <s v="No"/>
    <s v="High"/>
    <n v="153.10000000000002"/>
    <n v="236.69642857142858"/>
  </r>
  <r>
    <s v="NFX-100077"/>
    <x v="76"/>
    <s v="TV Show"/>
    <x v="3"/>
    <n v="2004"/>
    <s v="Japan"/>
    <s v="2020-08-09"/>
    <n v="40"/>
    <s v="18+"/>
    <n v="7.9"/>
    <n v="36.5"/>
    <s v="French"/>
    <s v="Park Chan-wook"/>
    <s v="Robert Downey Jr."/>
    <n v="5"/>
    <n v="114"/>
    <n v="573.9"/>
    <s v="Average"/>
    <s v="Normal"/>
    <s v="No"/>
    <s v="High"/>
    <n v="459.9"/>
    <n v="503.4210526315789"/>
  </r>
  <r>
    <s v="NFX-100078"/>
    <x v="77"/>
    <s v="TV Show"/>
    <x v="7"/>
    <n v="2019"/>
    <s v="India"/>
    <s v="2023-08-18"/>
    <n v="47"/>
    <s v="PG"/>
    <n v="7.3"/>
    <n v="52.6"/>
    <s v="Spanish"/>
    <s v="Steven Spielberg"/>
    <s v="Ranbir Kapoor"/>
    <n v="2"/>
    <n v="153"/>
    <n v="636.1"/>
    <s v="Average"/>
    <s v="Normal"/>
    <s v="Yes"/>
    <s v="High"/>
    <n v="483.1"/>
    <n v="415.75163398692814"/>
  </r>
  <r>
    <s v="NFX-100079"/>
    <x v="78"/>
    <s v="TV Show"/>
    <x v="9"/>
    <n v="2002"/>
    <s v="France"/>
    <s v="2019-04-03"/>
    <n v="51"/>
    <s v="16+"/>
    <n v="8.1999999999999993"/>
    <n v="201.7"/>
    <s v="Japanese"/>
    <s v="Anurag Kashyap"/>
    <s v="Chris Evans"/>
    <n v="8"/>
    <n v="60"/>
    <n v="162.30000000000001"/>
    <s v="Hit"/>
    <s v="Popular"/>
    <s v="No"/>
    <s v="Low"/>
    <n v="102.30000000000001"/>
    <n v="270.5"/>
  </r>
  <r>
    <s v="NFX-100080"/>
    <x v="79"/>
    <s v="TV Show"/>
    <x v="10"/>
    <n v="2000"/>
    <s v="UK"/>
    <s v="2018-08-20"/>
    <n v="60"/>
    <s v="G"/>
    <n v="5.7"/>
    <n v="89.5"/>
    <s v="Spanish"/>
    <s v="Park Chan-wook"/>
    <s v="Deepika Padukone"/>
    <n v="8"/>
    <n v="76"/>
    <n v="433.9"/>
    <s v="Flop"/>
    <s v="Normal"/>
    <s v="Yes"/>
    <s v="Low"/>
    <n v="357.9"/>
    <n v="570.92105263157885"/>
  </r>
  <r>
    <s v="NFX-100081"/>
    <x v="80"/>
    <s v="Movie"/>
    <x v="7"/>
    <n v="2006"/>
    <s v="Canada"/>
    <s v="2024-05-10"/>
    <n v="101"/>
    <s v="18+"/>
    <n v="6.8"/>
    <n v="214"/>
    <s v="Hindi"/>
    <s v="Guillermo del Toro"/>
    <s v="Ranbir Kapoor"/>
    <m/>
    <n v="143"/>
    <n v="184.3"/>
    <s v="Average"/>
    <s v="Popular"/>
    <s v="No"/>
    <s v="High"/>
    <n v="41.300000000000011"/>
    <n v="128.88111888111888"/>
  </r>
  <r>
    <s v="NFX-100082"/>
    <x v="81"/>
    <s v="Movie"/>
    <x v="4"/>
    <n v="2017"/>
    <s v="India"/>
    <s v="2021-06-04"/>
    <n v="135"/>
    <s v="PG"/>
    <n v="8.8000000000000007"/>
    <n v="302.39999999999998"/>
    <s v="Korean"/>
    <s v="Ridley Scott"/>
    <s v="Leonardo DiCaprio"/>
    <m/>
    <n v="131"/>
    <n v="822.3"/>
    <s v="Hit"/>
    <s v="Popular"/>
    <s v="Yes"/>
    <s v="High"/>
    <n v="691.3"/>
    <n v="627.70992366412213"/>
  </r>
  <r>
    <s v="NFX-100083"/>
    <x v="82"/>
    <s v="TV Show"/>
    <x v="1"/>
    <n v="2021"/>
    <s v="France"/>
    <s v="2022-08-22"/>
    <n v="41"/>
    <s v="PG"/>
    <n v="7.5"/>
    <n v="122.5"/>
    <s v="German"/>
    <s v="Anurag Kashyap"/>
    <s v="Chris Evans"/>
    <n v="5"/>
    <n v="175"/>
    <n v="706.7"/>
    <s v="Average"/>
    <s v="Normal"/>
    <s v="Yes"/>
    <s v="High"/>
    <n v="531.70000000000005"/>
    <n v="403.82857142857142"/>
  </r>
  <r>
    <s v="NFX-100084"/>
    <x v="83"/>
    <s v="Movie"/>
    <x v="5"/>
    <n v="2003"/>
    <s v="India"/>
    <s v="2022-02-02"/>
    <n v="123"/>
    <s v="PG"/>
    <n v="7.7"/>
    <n v="379.4"/>
    <s v="Hindi"/>
    <s v="Rajkumar Hirani"/>
    <s v="Shah Rukh Khan"/>
    <m/>
    <n v="13"/>
    <n v="34.5"/>
    <s v="Average"/>
    <s v="Popular"/>
    <s v="Yes"/>
    <s v="Low"/>
    <n v="21.5"/>
    <n v="265.38461538461536"/>
  </r>
  <r>
    <s v="NFX-100085"/>
    <x v="84"/>
    <s v="Movie"/>
    <x v="6"/>
    <n v="2020"/>
    <s v="Japan"/>
    <s v="2021-09-12"/>
    <n v="171"/>
    <s v="PG-13"/>
    <n v="7.2"/>
    <n v="464.8"/>
    <s v="English"/>
    <s v="Guillermo del Toro"/>
    <s v="Brad Pitt"/>
    <m/>
    <n v="125"/>
    <n v="294.8"/>
    <s v="Average"/>
    <s v="Blockbuster"/>
    <s v="No"/>
    <s v="High"/>
    <n v="169.8"/>
    <n v="235.84"/>
  </r>
  <r>
    <s v="NFX-100086"/>
    <x v="85"/>
    <s v="TV Show"/>
    <x v="8"/>
    <n v="2001"/>
    <s v="South Korea"/>
    <s v="2019-04-17"/>
    <n v="31"/>
    <s v="18+"/>
    <n v="8.6999999999999993"/>
    <n v="182.2"/>
    <s v="English"/>
    <s v="Zoya Akhtar"/>
    <s v="Ryan Gosling"/>
    <n v="5"/>
    <n v="126"/>
    <n v="331.6"/>
    <s v="Hit"/>
    <s v="Normal"/>
    <s v="No"/>
    <s v="High"/>
    <n v="205.60000000000002"/>
    <n v="263.17460317460319"/>
  </r>
  <r>
    <s v="NFX-100087"/>
    <x v="86"/>
    <s v="TV Show"/>
    <x v="8"/>
    <n v="2024"/>
    <s v="Australia"/>
    <s v="2019-01-22"/>
    <n v="50"/>
    <s v="PG-13"/>
    <n v="5.5"/>
    <n v="106.4"/>
    <s v="Korean"/>
    <s v="Ridley Scott"/>
    <s v="Robert Downey Jr."/>
    <n v="5"/>
    <n v="100"/>
    <n v="429.2"/>
    <s v="Flop"/>
    <s v="Normal"/>
    <s v="No"/>
    <s v="High"/>
    <n v="329.2"/>
    <n v="429.2"/>
  </r>
  <r>
    <s v="NFX-100088"/>
    <x v="87"/>
    <s v="Movie"/>
    <x v="7"/>
    <n v="2002"/>
    <s v="Japan"/>
    <s v="2021-12-14"/>
    <n v="145"/>
    <s v="G"/>
    <n v="6.1"/>
    <n v="103.8"/>
    <s v="English"/>
    <s v="Anurag Kashyap"/>
    <s v="Song Kang-ho"/>
    <m/>
    <n v="190"/>
    <n v="391"/>
    <s v="Average"/>
    <s v="Normal"/>
    <s v="Yes"/>
    <s v="High"/>
    <n v="201"/>
    <n v="205.78947368421052"/>
  </r>
  <r>
    <s v="NFX-100089"/>
    <x v="88"/>
    <s v="Movie"/>
    <x v="8"/>
    <n v="2004"/>
    <s v="Canada"/>
    <s v="2024-05-15"/>
    <n v="142"/>
    <s v="16+"/>
    <n v="6.3"/>
    <n v="504.6"/>
    <s v="Japanese"/>
    <s v="Bong Joon-ho"/>
    <s v="Chris Evans"/>
    <m/>
    <n v="160"/>
    <n v="808.8"/>
    <s v="Average"/>
    <s v="Blockbuster"/>
    <s v="No"/>
    <s v="High"/>
    <n v="648.79999999999995"/>
    <n v="505.5"/>
  </r>
  <r>
    <s v="NFX-100090"/>
    <x v="89"/>
    <s v="Movie"/>
    <x v="0"/>
    <n v="2019"/>
    <s v="Japan"/>
    <s v="2021-08-03"/>
    <n v="149"/>
    <s v="G"/>
    <n v="5.6"/>
    <n v="134.69999999999999"/>
    <s v="Spanish"/>
    <s v="Sanjay Leela Bhansali"/>
    <s v="Brad Pitt"/>
    <m/>
    <n v="18"/>
    <n v="52.7"/>
    <s v="Flop"/>
    <s v="Normal"/>
    <s v="Yes"/>
    <s v="Low"/>
    <n v="34.700000000000003"/>
    <n v="292.77777777777783"/>
  </r>
  <r>
    <s v="NFX-100091"/>
    <x v="90"/>
    <s v="TV Show"/>
    <x v="2"/>
    <n v="2005"/>
    <s v="Australia"/>
    <s v="2019-02-20"/>
    <n v="39"/>
    <s v="G"/>
    <n v="6.2"/>
    <n v="366.2"/>
    <s v="French"/>
    <s v="Park Chan-wook"/>
    <s v="Emma Stone"/>
    <n v="7"/>
    <n v="5"/>
    <n v="19.600000000000001"/>
    <s v="Average"/>
    <s v="Popular"/>
    <s v="Yes"/>
    <s v="Low"/>
    <n v="14.600000000000001"/>
    <n v="392.00000000000006"/>
  </r>
  <r>
    <s v="NFX-100092"/>
    <x v="91"/>
    <s v="Movie"/>
    <x v="1"/>
    <n v="2020"/>
    <s v="South Korea"/>
    <s v="2022-05-04"/>
    <n v="96"/>
    <s v="PG"/>
    <n v="8.5"/>
    <n v="232.9"/>
    <s v="Japanese"/>
    <s v="Rajkumar Hirani"/>
    <s v="Shah Rukh Khan"/>
    <m/>
    <n v="114"/>
    <n v="170"/>
    <s v="Hit"/>
    <s v="Popular"/>
    <s v="Yes"/>
    <s v="High"/>
    <n v="56"/>
    <n v="149.12280701754386"/>
  </r>
  <r>
    <s v="NFX-100093"/>
    <x v="92"/>
    <s v="TV Show"/>
    <x v="3"/>
    <n v="2015"/>
    <s v="Canada"/>
    <s v="2020-01-16"/>
    <n v="54"/>
    <s v="PG-13"/>
    <n v="7.2"/>
    <n v="61.3"/>
    <s v="English"/>
    <s v="Christopher Nolan"/>
    <s v="Emma Stone"/>
    <n v="4"/>
    <n v="8"/>
    <n v="24.6"/>
    <s v="Average"/>
    <s v="Normal"/>
    <s v="No"/>
    <s v="Low"/>
    <n v="16.600000000000001"/>
    <n v="307.5"/>
  </r>
  <r>
    <s v="NFX-100094"/>
    <x v="93"/>
    <s v="TV Show"/>
    <x v="5"/>
    <n v="2008"/>
    <s v="USA"/>
    <s v="2019-03-22"/>
    <n v="60"/>
    <s v="18+"/>
    <n v="4.5"/>
    <n v="157.30000000000001"/>
    <s v="Korean"/>
    <s v="James Cameron"/>
    <s v="Song Kang-ho"/>
    <n v="4"/>
    <n v="64"/>
    <n v="255.6"/>
    <s v="Flop"/>
    <s v="Normal"/>
    <s v="No"/>
    <s v="Low"/>
    <n v="191.6"/>
    <n v="399.375"/>
  </r>
  <r>
    <s v="NFX-100095"/>
    <x v="94"/>
    <s v="Movie"/>
    <x v="5"/>
    <n v="2020"/>
    <s v="Australia"/>
    <s v="2020-05-20"/>
    <n v="132"/>
    <s v="18+"/>
    <n v="7.5"/>
    <n v="504.5"/>
    <s v="Japanese"/>
    <s v="Denis Villeneuve"/>
    <s v="Scarlett Johansson"/>
    <m/>
    <n v="160"/>
    <n v="603.1"/>
    <s v="Average"/>
    <s v="Blockbuster"/>
    <s v="No"/>
    <s v="High"/>
    <n v="443.1"/>
    <n v="376.9375"/>
  </r>
  <r>
    <s v="NFX-100096"/>
    <x v="95"/>
    <s v="Movie"/>
    <x v="5"/>
    <n v="2015"/>
    <s v="Germany"/>
    <s v="2022-04-22"/>
    <n v="96"/>
    <s v="16+"/>
    <n v="6"/>
    <n v="392.8"/>
    <s v="English"/>
    <s v="Denis Villeneuve"/>
    <s v="Brad Pitt"/>
    <m/>
    <n v="31"/>
    <n v="196.1"/>
    <s v="Average"/>
    <s v="Popular"/>
    <s v="No"/>
    <s v="Low"/>
    <n v="165.1"/>
    <n v="632.58064516129025"/>
  </r>
  <r>
    <s v="NFX-100097"/>
    <x v="96"/>
    <s v="Movie"/>
    <x v="4"/>
    <n v="2008"/>
    <s v="South Korea"/>
    <s v="2023-02-02"/>
    <n v="118"/>
    <s v="16+"/>
    <n v="8.8000000000000007"/>
    <n v="214.5"/>
    <s v="Korean"/>
    <s v="Sanjay Leela Bhansali"/>
    <s v="Brad Pitt"/>
    <m/>
    <n v="96"/>
    <n v="600.6"/>
    <s v="Hit"/>
    <s v="Popular"/>
    <s v="No"/>
    <s v="Low"/>
    <n v="504.6"/>
    <n v="625.625"/>
  </r>
  <r>
    <s v="NFX-100098"/>
    <x v="97"/>
    <s v="TV Show"/>
    <x v="10"/>
    <n v="2023"/>
    <s v="Spain"/>
    <s v="2022-07-29"/>
    <n v="32"/>
    <s v="18+"/>
    <n v="8.1"/>
    <n v="485.7"/>
    <s v="English"/>
    <s v="Park Chan-wook"/>
    <s v="Tom Hardy"/>
    <n v="4"/>
    <n v="139"/>
    <n v="281.39999999999998"/>
    <s v="Hit"/>
    <s v="Blockbuster"/>
    <s v="No"/>
    <s v="High"/>
    <n v="142.39999999999998"/>
    <n v="202.44604316546759"/>
  </r>
  <r>
    <s v="NFX-100099"/>
    <x v="98"/>
    <s v="TV Show"/>
    <x v="0"/>
    <n v="2021"/>
    <s v="Spain"/>
    <s v="2022-11-03"/>
    <n v="46"/>
    <s v="PG-13"/>
    <n v="8.1999999999999993"/>
    <n v="166"/>
    <s v="Korean"/>
    <s v="Bong Joon-ho"/>
    <s v="Song Kang-ho"/>
    <n v="7"/>
    <n v="191"/>
    <n v="719.6"/>
    <s v="Hit"/>
    <s v="Normal"/>
    <s v="No"/>
    <s v="High"/>
    <n v="528.6"/>
    <n v="376.75392670157072"/>
  </r>
  <r>
    <s v="NFX-100100"/>
    <x v="99"/>
    <s v="Movie"/>
    <x v="9"/>
    <n v="2019"/>
    <s v="Germany"/>
    <s v="2022-01-11"/>
    <n v="154"/>
    <s v="G"/>
    <n v="6.8"/>
    <n v="94.7"/>
    <s v="English"/>
    <s v="Zoya Akhtar"/>
    <s v="Shah Rukh Khan"/>
    <m/>
    <n v="59"/>
    <n v="76.7"/>
    <s v="Average"/>
    <s v="Normal"/>
    <s v="Yes"/>
    <s v="Low"/>
    <n v="17.700000000000003"/>
    <n v="130"/>
  </r>
  <r>
    <s v="NFX-100101"/>
    <x v="100"/>
    <s v="TV Show"/>
    <x v="7"/>
    <n v="2008"/>
    <s v="UK"/>
    <s v="2019-03-19"/>
    <n v="58"/>
    <s v="PG"/>
    <n v="7.3"/>
    <n v="422.3"/>
    <s v="Hindi"/>
    <s v="Christopher Nolan"/>
    <s v="Timothée Chalamet"/>
    <n v="2"/>
    <n v="78"/>
    <n v="369.6"/>
    <s v="Average"/>
    <s v="Blockbuster"/>
    <s v="Yes"/>
    <s v="Low"/>
    <n v="291.60000000000002"/>
    <n v="473.84615384615387"/>
  </r>
  <r>
    <s v="NFX-100102"/>
    <x v="101"/>
    <s v="TV Show"/>
    <x v="9"/>
    <n v="2013"/>
    <s v="Australia"/>
    <s v="2021-12-06"/>
    <n v="39"/>
    <s v="PG-13"/>
    <n v="4.5999999999999996"/>
    <n v="501.3"/>
    <s v="French"/>
    <s v="Denis Villeneuve"/>
    <s v="Song Kang-ho"/>
    <n v="5"/>
    <n v="48"/>
    <n v="273.10000000000002"/>
    <s v="Flop"/>
    <s v="Blockbuster"/>
    <s v="No"/>
    <s v="Low"/>
    <n v="225.10000000000002"/>
    <n v="568.95833333333337"/>
  </r>
  <r>
    <s v="NFX-100103"/>
    <x v="102"/>
    <s v="Movie"/>
    <x v="10"/>
    <n v="2008"/>
    <s v="USA"/>
    <s v="2024-03-21"/>
    <n v="86"/>
    <s v="18+"/>
    <n v="8.6"/>
    <n v="354.5"/>
    <s v="English"/>
    <s v="Anurag Kashyap"/>
    <s v="Robert Downey Jr."/>
    <m/>
    <n v="24"/>
    <n v="57"/>
    <s v="Hit"/>
    <s v="Popular"/>
    <s v="No"/>
    <s v="Low"/>
    <n v="33"/>
    <n v="237.5"/>
  </r>
  <r>
    <s v="NFX-100104"/>
    <x v="103"/>
    <s v="Movie"/>
    <x v="0"/>
    <n v="2006"/>
    <s v="Canada"/>
    <s v="2020-06-29"/>
    <n v="117"/>
    <s v="16+"/>
    <n v="4.8"/>
    <n v="141.5"/>
    <s v="English"/>
    <s v="Anurag Kashyap"/>
    <s v="Timothée Chalamet"/>
    <m/>
    <n v="166"/>
    <n v="465.5"/>
    <s v="Flop"/>
    <s v="Normal"/>
    <s v="No"/>
    <s v="High"/>
    <n v="299.5"/>
    <n v="280.42168674698792"/>
  </r>
  <r>
    <s v="NFX-100105"/>
    <x v="104"/>
    <s v="TV Show"/>
    <x v="10"/>
    <n v="2007"/>
    <s v="Germany"/>
    <s v="2023-06-17"/>
    <n v="51"/>
    <s v="G"/>
    <n v="5.9"/>
    <n v="70.5"/>
    <s v="German"/>
    <s v="Zoya Akhtar"/>
    <s v="Shah Rukh Khan"/>
    <n v="4"/>
    <n v="112"/>
    <n v="379.2"/>
    <s v="Flop"/>
    <s v="Normal"/>
    <s v="Yes"/>
    <s v="High"/>
    <n v="267.2"/>
    <n v="338.57142857142856"/>
  </r>
  <r>
    <s v="NFX-100106"/>
    <x v="105"/>
    <s v="TV Show"/>
    <x v="2"/>
    <n v="2003"/>
    <s v="Australia"/>
    <s v="2021-09-18"/>
    <n v="35"/>
    <s v="18+"/>
    <n v="9"/>
    <n v="266"/>
    <s v="German"/>
    <s v="Greta Gerwig"/>
    <s v="Ranbir Kapoor"/>
    <n v="4"/>
    <n v="122"/>
    <n v="325.2"/>
    <s v="Hit"/>
    <s v="Popular"/>
    <s v="No"/>
    <s v="High"/>
    <n v="203.2"/>
    <n v="266.55737704918027"/>
  </r>
  <r>
    <s v="NFX-100107"/>
    <x v="106"/>
    <s v="Movie"/>
    <x v="9"/>
    <n v="2025"/>
    <s v="USA"/>
    <s v="2021-02-02"/>
    <n v="121"/>
    <s v="18+"/>
    <n v="8.9"/>
    <n v="331.2"/>
    <s v="Hindi"/>
    <s v="James Cameron"/>
    <s v="Shah Rukh Khan"/>
    <m/>
    <n v="144"/>
    <n v="822.1"/>
    <s v="Hit"/>
    <s v="Popular"/>
    <s v="No"/>
    <s v="High"/>
    <n v="678.1"/>
    <n v="570.90277777777783"/>
  </r>
  <r>
    <s v="NFX-100108"/>
    <x v="107"/>
    <s v="TV Show"/>
    <x v="6"/>
    <n v="2020"/>
    <s v="Canada"/>
    <s v="2020-07-15"/>
    <n v="42"/>
    <s v="PG-13"/>
    <n v="7.1"/>
    <n v="260.60000000000002"/>
    <s v="Hindi"/>
    <s v="Greta Gerwig"/>
    <s v="Chris Evans"/>
    <n v="3"/>
    <n v="189"/>
    <n v="672.4"/>
    <s v="Average"/>
    <s v="Popular"/>
    <s v="No"/>
    <s v="High"/>
    <n v="483.4"/>
    <n v="355.7671957671958"/>
  </r>
  <r>
    <s v="NFX-100109"/>
    <x v="108"/>
    <s v="Movie"/>
    <x v="4"/>
    <n v="2002"/>
    <s v="India"/>
    <s v="2021-01-03"/>
    <n v="106"/>
    <s v="18+"/>
    <n v="8.1999999999999993"/>
    <n v="123.9"/>
    <s v="English"/>
    <s v="Sanjay Leela Bhansali"/>
    <s v="Brad Pitt"/>
    <m/>
    <n v="173"/>
    <n v="1049.4000000000001"/>
    <s v="Hit"/>
    <s v="Normal"/>
    <s v="No"/>
    <s v="High"/>
    <n v="876.40000000000009"/>
    <n v="606.58959537572264"/>
  </r>
  <r>
    <s v="NFX-100110"/>
    <x v="109"/>
    <s v="TV Show"/>
    <x v="7"/>
    <n v="2022"/>
    <s v="South Korea"/>
    <s v="2019-04-14"/>
    <n v="35"/>
    <s v="18+"/>
    <n v="9.1999999999999993"/>
    <n v="416"/>
    <s v="Hindi"/>
    <s v="Ridley Scott"/>
    <s v="Ryan Gosling"/>
    <n v="8"/>
    <n v="64"/>
    <n v="353.1"/>
    <s v="Hit"/>
    <s v="Blockbuster"/>
    <s v="No"/>
    <s v="Low"/>
    <n v="289.10000000000002"/>
    <n v="551.71875"/>
  </r>
  <r>
    <s v="NFX-100111"/>
    <x v="110"/>
    <s v="Movie"/>
    <x v="6"/>
    <n v="2024"/>
    <s v="UK"/>
    <s v="2021-01-17"/>
    <n v="88"/>
    <s v="18+"/>
    <n v="4.5999999999999996"/>
    <n v="435.6"/>
    <s v="Japanese"/>
    <s v="Guillermo del Toro"/>
    <s v="Ryan Gosling"/>
    <m/>
    <n v="183"/>
    <n v="777.5"/>
    <s v="Flop"/>
    <s v="Blockbuster"/>
    <s v="No"/>
    <s v="High"/>
    <n v="594.5"/>
    <n v="424.8633879781421"/>
  </r>
  <r>
    <s v="NFX-100112"/>
    <x v="111"/>
    <s v="Movie"/>
    <x v="8"/>
    <n v="2008"/>
    <s v="Japan"/>
    <s v="2024-01-14"/>
    <n v="151"/>
    <s v="G"/>
    <n v="8.8000000000000007"/>
    <n v="556.4"/>
    <s v="French"/>
    <s v="Ridley Scott"/>
    <s v="Jennifer Lawrence"/>
    <m/>
    <n v="14"/>
    <n v="90.5"/>
    <s v="Hit"/>
    <s v="Blockbuster"/>
    <s v="Yes"/>
    <s v="Low"/>
    <n v="76.5"/>
    <n v="646.42857142857144"/>
  </r>
  <r>
    <s v="NFX-100113"/>
    <x v="112"/>
    <s v="TV Show"/>
    <x v="9"/>
    <n v="2005"/>
    <s v="South Korea"/>
    <s v="2020-04-17"/>
    <n v="55"/>
    <s v="G"/>
    <n v="8.9"/>
    <n v="323.39999999999998"/>
    <s v="Hindi"/>
    <s v="Park Chan-wook"/>
    <s v="Jennifer Lawrence"/>
    <n v="5"/>
    <n v="56"/>
    <n v="300.60000000000002"/>
    <s v="Hit"/>
    <s v="Popular"/>
    <s v="Yes"/>
    <s v="Low"/>
    <n v="244.60000000000002"/>
    <n v="536.78571428571433"/>
  </r>
  <r>
    <s v="NFX-100114"/>
    <x v="113"/>
    <s v="Movie"/>
    <x v="6"/>
    <n v="2023"/>
    <s v="USA"/>
    <s v="2018-03-16"/>
    <n v="178"/>
    <s v="G"/>
    <n v="7.8"/>
    <n v="20.7"/>
    <s v="Korean"/>
    <s v="Park Chan-wook"/>
    <s v="Scarlett Johansson"/>
    <m/>
    <n v="160"/>
    <n v="979.4"/>
    <s v="Average"/>
    <s v="Normal"/>
    <s v="Yes"/>
    <s v="High"/>
    <n v="819.4"/>
    <n v="612.125"/>
  </r>
  <r>
    <s v="NFX-100115"/>
    <x v="114"/>
    <s v="TV Show"/>
    <x v="9"/>
    <n v="2015"/>
    <s v="Germany"/>
    <s v="2019-03-21"/>
    <n v="47"/>
    <s v="16+"/>
    <n v="5.4"/>
    <n v="141.1"/>
    <s v="Spanish"/>
    <s v="Christopher Nolan"/>
    <s v="Tom Hardy"/>
    <n v="8"/>
    <n v="145"/>
    <n v="838.5"/>
    <s v="Flop"/>
    <s v="Normal"/>
    <s v="No"/>
    <s v="High"/>
    <n v="693.5"/>
    <n v="578.27586206896558"/>
  </r>
  <r>
    <s v="NFX-100116"/>
    <x v="115"/>
    <s v="TV Show"/>
    <x v="5"/>
    <n v="2012"/>
    <s v="Germany"/>
    <s v="2021-03-03"/>
    <n v="45"/>
    <s v="16+"/>
    <n v="5.0999999999999996"/>
    <n v="276.89999999999998"/>
    <s v="Japanese"/>
    <s v="Anurag Kashyap"/>
    <s v="Deepika Padukone"/>
    <n v="5"/>
    <n v="29"/>
    <n v="159.69999999999999"/>
    <s v="Flop"/>
    <s v="Popular"/>
    <s v="No"/>
    <s v="Low"/>
    <n v="130.69999999999999"/>
    <n v="550.68965517241372"/>
  </r>
  <r>
    <s v="NFX-100117"/>
    <x v="116"/>
    <s v="Movie"/>
    <x v="7"/>
    <n v="2002"/>
    <s v="South Korea"/>
    <s v="2022-01-11"/>
    <n v="160"/>
    <s v="16+"/>
    <n v="6.2"/>
    <n v="137.30000000000001"/>
    <s v="Korean"/>
    <s v="Park Chan-wook"/>
    <s v="Tom Hardy"/>
    <m/>
    <n v="48"/>
    <n v="251.8"/>
    <s v="Average"/>
    <s v="Normal"/>
    <s v="No"/>
    <s v="Low"/>
    <n v="203.8"/>
    <n v="524.58333333333337"/>
  </r>
  <r>
    <s v="NFX-100118"/>
    <x v="117"/>
    <s v="TV Show"/>
    <x v="3"/>
    <n v="2012"/>
    <s v="Germany"/>
    <s v="2023-11-23"/>
    <n v="44"/>
    <s v="16+"/>
    <n v="5.6"/>
    <n v="275.3"/>
    <s v="French"/>
    <s v="Sanjay Leela Bhansali"/>
    <s v="Brad Pitt"/>
    <n v="1"/>
    <n v="51"/>
    <n v="64.400000000000006"/>
    <s v="Flop"/>
    <s v="Popular"/>
    <s v="No"/>
    <s v="Low"/>
    <n v="13.400000000000006"/>
    <n v="126.27450980392159"/>
  </r>
  <r>
    <s v="NFX-100119"/>
    <x v="118"/>
    <s v="Movie"/>
    <x v="5"/>
    <n v="2017"/>
    <s v="Japan"/>
    <s v="2018-09-05"/>
    <n v="137"/>
    <s v="18+"/>
    <n v="5.4"/>
    <n v="395.6"/>
    <s v="German"/>
    <s v="Greta Gerwig"/>
    <s v="Song Kang-ho"/>
    <m/>
    <n v="116"/>
    <n v="607.5"/>
    <s v="Flop"/>
    <s v="Popular"/>
    <s v="No"/>
    <s v="High"/>
    <n v="491.5"/>
    <n v="523.70689655172407"/>
  </r>
  <r>
    <s v="NFX-100120"/>
    <x v="119"/>
    <s v="TV Show"/>
    <x v="2"/>
    <n v="2009"/>
    <s v="India"/>
    <s v="2023-08-16"/>
    <n v="39"/>
    <s v="PG"/>
    <n v="5.0999999999999996"/>
    <n v="20.3"/>
    <s v="Japanese"/>
    <s v="Steven Spielberg"/>
    <s v="Chris Evans"/>
    <n v="1"/>
    <n v="124"/>
    <n v="164.9"/>
    <s v="Flop"/>
    <s v="Normal"/>
    <s v="Yes"/>
    <s v="High"/>
    <n v="40.900000000000006"/>
    <n v="132.98387096774192"/>
  </r>
  <r>
    <s v="NFX-100121"/>
    <x v="120"/>
    <s v="TV Show"/>
    <x v="6"/>
    <n v="2011"/>
    <s v="France"/>
    <s v="2022-08-11"/>
    <n v="35"/>
    <s v="PG-13"/>
    <n v="7.1"/>
    <n v="187.5"/>
    <s v="Hindi"/>
    <s v="Christopher Nolan"/>
    <s v="Deepika Padukone"/>
    <n v="1"/>
    <n v="99"/>
    <n v="206.5"/>
    <s v="Average"/>
    <s v="Normal"/>
    <s v="No"/>
    <s v="Low"/>
    <n v="107.5"/>
    <n v="208.5858585858586"/>
  </r>
  <r>
    <s v="NFX-100122"/>
    <x v="121"/>
    <s v="TV Show"/>
    <x v="7"/>
    <n v="2020"/>
    <s v="Canada"/>
    <s v="2022-07-01"/>
    <n v="31"/>
    <s v="PG"/>
    <n v="5.3"/>
    <n v="591.79999999999995"/>
    <s v="French"/>
    <s v="Guillermo del Toro"/>
    <s v="Jennifer Lawrence"/>
    <n v="2"/>
    <n v="175"/>
    <n v="967.1"/>
    <s v="Flop"/>
    <s v="Blockbuster"/>
    <s v="Yes"/>
    <s v="High"/>
    <n v="792.1"/>
    <n v="552.62857142857149"/>
  </r>
  <r>
    <s v="NFX-100123"/>
    <x v="122"/>
    <s v="Movie"/>
    <x v="0"/>
    <n v="2006"/>
    <s v="Spain"/>
    <s v="2022-12-31"/>
    <n v="108"/>
    <s v="18+"/>
    <n v="6.9"/>
    <n v="422.4"/>
    <s v="Korean"/>
    <s v="Steven Spielberg"/>
    <s v="Shah Rukh Khan"/>
    <m/>
    <n v="97"/>
    <n v="440.8"/>
    <s v="Average"/>
    <s v="Blockbuster"/>
    <s v="No"/>
    <s v="Low"/>
    <n v="343.8"/>
    <n v="454.43298969072163"/>
  </r>
  <r>
    <s v="NFX-100124"/>
    <x v="123"/>
    <s v="Movie"/>
    <x v="4"/>
    <n v="2022"/>
    <s v="Canada"/>
    <s v="2023-07-19"/>
    <n v="124"/>
    <s v="PG-13"/>
    <n v="5.4"/>
    <n v="482.6"/>
    <s v="Korean"/>
    <s v="Greta Gerwig"/>
    <s v="Lee Jung-jae"/>
    <m/>
    <n v="168"/>
    <n v="339.6"/>
    <s v="Flop"/>
    <s v="Blockbuster"/>
    <s v="No"/>
    <s v="High"/>
    <n v="171.60000000000002"/>
    <n v="202.14285714285714"/>
  </r>
  <r>
    <s v="NFX-100125"/>
    <x v="124"/>
    <s v="TV Show"/>
    <x v="3"/>
    <n v="2016"/>
    <s v="Spain"/>
    <s v="2019-12-26"/>
    <n v="45"/>
    <s v="16+"/>
    <n v="6.9"/>
    <n v="420.7"/>
    <s v="Spanish"/>
    <s v="Bong Joon-ho"/>
    <s v="Shah Rukh Khan"/>
    <n v="8"/>
    <n v="52"/>
    <n v="246.9"/>
    <s v="Average"/>
    <s v="Blockbuster"/>
    <s v="No"/>
    <s v="Low"/>
    <n v="194.9"/>
    <n v="474.80769230769238"/>
  </r>
  <r>
    <s v="NFX-100126"/>
    <x v="125"/>
    <s v="TV Show"/>
    <x v="5"/>
    <n v="2005"/>
    <s v="Spain"/>
    <s v="2020-08-06"/>
    <n v="47"/>
    <s v="16+"/>
    <n v="6.3"/>
    <n v="208.6"/>
    <s v="Spanish"/>
    <s v="Sanjay Leela Bhansali"/>
    <s v="Robert Downey Jr."/>
    <n v="5"/>
    <n v="190"/>
    <n v="915.4"/>
    <s v="Average"/>
    <s v="Popular"/>
    <s v="No"/>
    <s v="High"/>
    <n v="725.4"/>
    <n v="481.78947368421052"/>
  </r>
  <r>
    <s v="NFX-100127"/>
    <x v="126"/>
    <s v="TV Show"/>
    <x v="5"/>
    <n v="2003"/>
    <s v="Australia"/>
    <s v="2018-06-25"/>
    <n v="50"/>
    <s v="G"/>
    <n v="5.6"/>
    <n v="329.7"/>
    <s v="Hindi"/>
    <s v="Sanjay Leela Bhansali"/>
    <s v="Emma Stone"/>
    <n v="5"/>
    <n v="114"/>
    <n v="285.3"/>
    <s v="Flop"/>
    <s v="Popular"/>
    <s v="Yes"/>
    <s v="High"/>
    <n v="171.3"/>
    <n v="250.26315789473682"/>
  </r>
  <r>
    <s v="NFX-100128"/>
    <x v="127"/>
    <s v="TV Show"/>
    <x v="3"/>
    <n v="2009"/>
    <s v="Australia"/>
    <s v="2023-04-06"/>
    <n v="48"/>
    <s v="PG-13"/>
    <n v="7.7"/>
    <n v="562.4"/>
    <s v="French"/>
    <s v="Steven Spielberg"/>
    <s v="Emma Stone"/>
    <n v="7"/>
    <n v="92"/>
    <n v="343.3"/>
    <s v="Average"/>
    <s v="Blockbuster"/>
    <s v="No"/>
    <s v="Low"/>
    <n v="251.3"/>
    <n v="373.1521739130435"/>
  </r>
  <r>
    <s v="NFX-100129"/>
    <x v="128"/>
    <s v="TV Show"/>
    <x v="9"/>
    <n v="2007"/>
    <s v="USA"/>
    <s v="2018-10-27"/>
    <n v="36"/>
    <s v="PG-13"/>
    <n v="8.8000000000000007"/>
    <n v="61.9"/>
    <s v="French"/>
    <s v="Bong Joon-ho"/>
    <s v="Tom Hardy"/>
    <n v="4"/>
    <n v="89"/>
    <n v="332.1"/>
    <s v="Hit"/>
    <s v="Normal"/>
    <s v="No"/>
    <s v="Low"/>
    <n v="243.10000000000002"/>
    <n v="373.14606741573033"/>
  </r>
  <r>
    <s v="NFX-100130"/>
    <x v="129"/>
    <s v="TV Show"/>
    <x v="10"/>
    <n v="2007"/>
    <s v="Spain"/>
    <s v="2020-08-05"/>
    <n v="42"/>
    <s v="G"/>
    <n v="5.4"/>
    <n v="371.7"/>
    <s v="Japanese"/>
    <s v="James Cameron"/>
    <s v="Deepika Padukone"/>
    <n v="6"/>
    <n v="51"/>
    <n v="115.7"/>
    <s v="Flop"/>
    <s v="Popular"/>
    <s v="Yes"/>
    <s v="Low"/>
    <n v="64.7"/>
    <n v="226.8627450980392"/>
  </r>
  <r>
    <s v="NFX-100131"/>
    <x v="130"/>
    <s v="TV Show"/>
    <x v="2"/>
    <n v="2017"/>
    <s v="Australia"/>
    <s v="2021-07-02"/>
    <n v="42"/>
    <s v="PG-13"/>
    <n v="5.4"/>
    <n v="316.60000000000002"/>
    <s v="Japanese"/>
    <s v="Greta Gerwig"/>
    <s v="Ranbir Kapoor"/>
    <n v="1"/>
    <n v="173"/>
    <n v="511.4"/>
    <s v="Flop"/>
    <s v="Popular"/>
    <s v="No"/>
    <s v="High"/>
    <n v="338.4"/>
    <n v="295.60693641618496"/>
  </r>
  <r>
    <s v="NFX-100132"/>
    <x v="131"/>
    <s v="TV Show"/>
    <x v="5"/>
    <n v="2021"/>
    <s v="UK"/>
    <s v="2023-07-20"/>
    <n v="38"/>
    <s v="16+"/>
    <n v="7.5"/>
    <n v="165.7"/>
    <s v="Korean"/>
    <s v="Christopher Nolan"/>
    <s v="Ranbir Kapoor"/>
    <n v="3"/>
    <n v="61"/>
    <n v="282.10000000000002"/>
    <s v="Average"/>
    <s v="Normal"/>
    <s v="No"/>
    <s v="Low"/>
    <n v="221.10000000000002"/>
    <n v="462.45901639344265"/>
  </r>
  <r>
    <s v="NFX-100133"/>
    <x v="132"/>
    <s v="Movie"/>
    <x v="6"/>
    <n v="2003"/>
    <s v="South Korea"/>
    <s v="2020-02-22"/>
    <n v="81"/>
    <s v="PG"/>
    <n v="8"/>
    <n v="341.3"/>
    <s v="Hindi"/>
    <s v="Sanjay Leela Bhansali"/>
    <s v="Emma Stone"/>
    <m/>
    <n v="164"/>
    <n v="747.6"/>
    <s v="Hit"/>
    <s v="Popular"/>
    <s v="Yes"/>
    <s v="High"/>
    <n v="583.6"/>
    <n v="455.85365853658539"/>
  </r>
  <r>
    <s v="NFX-100134"/>
    <x v="133"/>
    <s v="Movie"/>
    <x v="7"/>
    <n v="2008"/>
    <s v="Australia"/>
    <s v="2020-09-23"/>
    <n v="168"/>
    <s v="PG"/>
    <n v="8.8000000000000007"/>
    <n v="483.1"/>
    <s v="Japanese"/>
    <s v="Guillermo del Toro"/>
    <s v="Song Kang-ho"/>
    <m/>
    <n v="194"/>
    <n v="740.2"/>
    <s v="Hit"/>
    <s v="Blockbuster"/>
    <s v="Yes"/>
    <s v="High"/>
    <n v="546.20000000000005"/>
    <n v="381.54639175257734"/>
  </r>
  <r>
    <s v="NFX-100135"/>
    <x v="134"/>
    <s v="Movie"/>
    <x v="9"/>
    <n v="2002"/>
    <s v="India"/>
    <s v="2020-01-11"/>
    <n v="91"/>
    <s v="PG"/>
    <n v="5.0999999999999996"/>
    <n v="254.8"/>
    <s v="Japanese"/>
    <s v="Rajkumar Hirani"/>
    <s v="Timothée Chalamet"/>
    <m/>
    <n v="117"/>
    <n v="233.6"/>
    <s v="Flop"/>
    <s v="Popular"/>
    <s v="Yes"/>
    <s v="High"/>
    <n v="116.6"/>
    <n v="199.65811965811966"/>
  </r>
  <r>
    <s v="NFX-100136"/>
    <x v="135"/>
    <s v="Movie"/>
    <x v="3"/>
    <n v="2004"/>
    <s v="Canada"/>
    <s v="2020-12-30"/>
    <n v="155"/>
    <s v="PG"/>
    <n v="7.7"/>
    <n v="343.9"/>
    <s v="English"/>
    <s v="James Cameron"/>
    <s v="Deepika Padukone"/>
    <m/>
    <n v="36"/>
    <n v="170.8"/>
    <s v="Average"/>
    <s v="Popular"/>
    <s v="Yes"/>
    <s v="Low"/>
    <n v="134.80000000000001"/>
    <n v="474.44444444444446"/>
  </r>
  <r>
    <s v="NFX-100137"/>
    <x v="136"/>
    <s v="TV Show"/>
    <x v="3"/>
    <n v="2022"/>
    <s v="USA"/>
    <s v="2023-06-01"/>
    <n v="40"/>
    <s v="PG-13"/>
    <n v="4.9000000000000004"/>
    <n v="517.1"/>
    <s v="Spanish"/>
    <s v="Steven Spielberg"/>
    <s v="Jennifer Lawrence"/>
    <n v="6"/>
    <n v="57"/>
    <n v="217.6"/>
    <s v="Flop"/>
    <s v="Blockbuster"/>
    <s v="No"/>
    <s v="Low"/>
    <n v="160.6"/>
    <n v="381.75438596491227"/>
  </r>
  <r>
    <s v="NFX-100138"/>
    <x v="137"/>
    <s v="Movie"/>
    <x v="5"/>
    <n v="2001"/>
    <s v="Canada"/>
    <s v="2021-06-20"/>
    <n v="156"/>
    <s v="18+"/>
    <n v="6.9"/>
    <n v="12.1"/>
    <s v="Hindi"/>
    <s v="Denis Villeneuve"/>
    <s v="Scarlett Johansson"/>
    <m/>
    <n v="86"/>
    <n v="484.1"/>
    <s v="Average"/>
    <s v="Normal"/>
    <s v="No"/>
    <s v="Low"/>
    <n v="398.1"/>
    <n v="562.90697674418607"/>
  </r>
  <r>
    <s v="NFX-100139"/>
    <x v="138"/>
    <s v="TV Show"/>
    <x v="2"/>
    <n v="2022"/>
    <s v="UK"/>
    <s v="2024-06-17"/>
    <n v="35"/>
    <s v="16+"/>
    <n v="7.3"/>
    <n v="573"/>
    <s v="Korean"/>
    <s v="James Cameron"/>
    <s v="Ryan Gosling"/>
    <n v="1"/>
    <n v="197"/>
    <n v="346.1"/>
    <s v="Average"/>
    <s v="Blockbuster"/>
    <s v="No"/>
    <s v="High"/>
    <n v="149.10000000000002"/>
    <n v="175.68527918781726"/>
  </r>
  <r>
    <s v="NFX-100140"/>
    <x v="139"/>
    <s v="Movie"/>
    <x v="5"/>
    <n v="2004"/>
    <s v="Canada"/>
    <s v="2021-09-04"/>
    <n v="168"/>
    <s v="PG-13"/>
    <n v="9.1"/>
    <n v="162.30000000000001"/>
    <s v="English"/>
    <s v="Bong Joon-ho"/>
    <s v="Deepika Padukone"/>
    <m/>
    <n v="12"/>
    <n v="54.1"/>
    <s v="Hit"/>
    <s v="Normal"/>
    <s v="No"/>
    <s v="Low"/>
    <n v="42.1"/>
    <n v="450.83333333333337"/>
  </r>
  <r>
    <s v="NFX-100141"/>
    <x v="140"/>
    <s v="Movie"/>
    <x v="2"/>
    <n v="2013"/>
    <s v="South Korea"/>
    <s v="2024-08-29"/>
    <n v="162"/>
    <s v="PG"/>
    <n v="4.8"/>
    <n v="91"/>
    <s v="Hindi"/>
    <s v="Christopher Nolan"/>
    <s v="Tom Hardy"/>
    <m/>
    <n v="134"/>
    <n v="662.9"/>
    <s v="Flop"/>
    <s v="Normal"/>
    <s v="Yes"/>
    <s v="High"/>
    <n v="528.9"/>
    <n v="494.70149253731341"/>
  </r>
  <r>
    <s v="NFX-100142"/>
    <x v="141"/>
    <s v="TV Show"/>
    <x v="10"/>
    <n v="2019"/>
    <s v="Japan"/>
    <s v="2023-10-21"/>
    <n v="54"/>
    <s v="16+"/>
    <n v="9.6"/>
    <n v="189"/>
    <s v="Korean"/>
    <s v="James Cameron"/>
    <s v="Tom Hardy"/>
    <n v="1"/>
    <n v="138"/>
    <n v="598.1"/>
    <s v="Hit"/>
    <s v="Normal"/>
    <s v="No"/>
    <s v="High"/>
    <n v="460.1"/>
    <n v="433.40579710144931"/>
  </r>
  <r>
    <s v="NFX-100143"/>
    <x v="142"/>
    <s v="TV Show"/>
    <x v="4"/>
    <n v="2014"/>
    <s v="Spain"/>
    <s v="2020-04-30"/>
    <n v="30"/>
    <s v="G"/>
    <n v="6.4"/>
    <n v="595.29999999999995"/>
    <s v="German"/>
    <s v="Sanjay Leela Bhansali"/>
    <s v="Scarlett Johansson"/>
    <n v="6"/>
    <n v="149"/>
    <n v="652"/>
    <s v="Average"/>
    <s v="Blockbuster"/>
    <s v="Yes"/>
    <s v="High"/>
    <n v="503"/>
    <n v="437.58389261744969"/>
  </r>
  <r>
    <s v="NFX-100144"/>
    <x v="143"/>
    <s v="TV Show"/>
    <x v="2"/>
    <n v="2003"/>
    <s v="Canada"/>
    <s v="2024-07-31"/>
    <n v="37"/>
    <s v="PG-13"/>
    <n v="7.6"/>
    <n v="281.8"/>
    <s v="Hindi"/>
    <s v="Christopher Nolan"/>
    <s v="Tom Hardy"/>
    <n v="1"/>
    <n v="148"/>
    <n v="805.8"/>
    <s v="Average"/>
    <s v="Popular"/>
    <s v="No"/>
    <s v="High"/>
    <n v="657.8"/>
    <n v="544.45945945945948"/>
  </r>
  <r>
    <s v="NFX-100145"/>
    <x v="144"/>
    <s v="TV Show"/>
    <x v="4"/>
    <n v="2021"/>
    <s v="South Korea"/>
    <s v="2022-07-16"/>
    <n v="46"/>
    <s v="PG"/>
    <n v="6.4"/>
    <n v="363.8"/>
    <s v="Spanish"/>
    <s v="Quentin Tarantino"/>
    <s v="Robert Downey Jr."/>
    <n v="7"/>
    <n v="82"/>
    <n v="449.1"/>
    <s v="Average"/>
    <s v="Popular"/>
    <s v="Yes"/>
    <s v="Low"/>
    <n v="367.1"/>
    <n v="547.68292682926835"/>
  </r>
  <r>
    <s v="NFX-100146"/>
    <x v="145"/>
    <s v="Movie"/>
    <x v="3"/>
    <n v="2016"/>
    <s v="Japan"/>
    <s v="2022-12-09"/>
    <n v="174"/>
    <s v="PG"/>
    <n v="5.9"/>
    <n v="82.6"/>
    <s v="German"/>
    <s v="Greta Gerwig"/>
    <s v="Brad Pitt"/>
    <m/>
    <n v="129"/>
    <n v="463.3"/>
    <s v="Flop"/>
    <s v="Normal"/>
    <s v="Yes"/>
    <s v="High"/>
    <n v="334.3"/>
    <n v="359.14728682170545"/>
  </r>
  <r>
    <s v="NFX-100147"/>
    <x v="146"/>
    <s v="TV Show"/>
    <x v="8"/>
    <n v="2025"/>
    <s v="Spain"/>
    <s v="2024-07-22"/>
    <n v="57"/>
    <s v="G"/>
    <n v="5.8"/>
    <n v="97.1"/>
    <s v="French"/>
    <s v="Zoya Akhtar"/>
    <s v="Scarlett Johansson"/>
    <n v="1"/>
    <n v="67"/>
    <n v="409.4"/>
    <s v="Flop"/>
    <s v="Normal"/>
    <s v="Yes"/>
    <s v="Low"/>
    <n v="342.4"/>
    <n v="611.04477611940297"/>
  </r>
  <r>
    <s v="NFX-100148"/>
    <x v="147"/>
    <s v="TV Show"/>
    <x v="4"/>
    <n v="2025"/>
    <s v="USA"/>
    <s v="2018-10-02"/>
    <n v="40"/>
    <s v="16+"/>
    <n v="8.1999999999999993"/>
    <n v="550.4"/>
    <s v="English"/>
    <s v="Guillermo del Toro"/>
    <s v="Robert Downey Jr."/>
    <n v="6"/>
    <n v="130"/>
    <n v="212.8"/>
    <s v="Hit"/>
    <s v="Blockbuster"/>
    <s v="No"/>
    <s v="High"/>
    <n v="82.800000000000011"/>
    <n v="163.69230769230768"/>
  </r>
  <r>
    <s v="NFX-100149"/>
    <x v="148"/>
    <s v="Movie"/>
    <x v="8"/>
    <n v="2019"/>
    <s v="Japan"/>
    <s v="2019-10-23"/>
    <n v="127"/>
    <s v="PG-13"/>
    <n v="4.7"/>
    <n v="163.5"/>
    <s v="English"/>
    <s v="Guillermo del Toro"/>
    <s v="Ranbir Kapoor"/>
    <m/>
    <n v="11"/>
    <n v="46.1"/>
    <s v="Flop"/>
    <s v="Normal"/>
    <s v="No"/>
    <s v="Low"/>
    <n v="35.1"/>
    <n v="419.09090909090912"/>
  </r>
  <r>
    <s v="NFX-100150"/>
    <x v="149"/>
    <s v="TV Show"/>
    <x v="1"/>
    <n v="2011"/>
    <s v="USA"/>
    <s v="2023-05-24"/>
    <n v="35"/>
    <s v="16+"/>
    <n v="7.1"/>
    <n v="487.6"/>
    <s v="Spanish"/>
    <s v="Steven Spielberg"/>
    <s v="Jennifer Lawrence"/>
    <n v="8"/>
    <n v="16"/>
    <n v="22.7"/>
    <s v="Average"/>
    <s v="Blockbuster"/>
    <s v="No"/>
    <s v="Low"/>
    <n v="6.6999999999999993"/>
    <n v="141.875"/>
  </r>
  <r>
    <s v="NFX-100151"/>
    <x v="150"/>
    <s v="Movie"/>
    <x v="4"/>
    <n v="2014"/>
    <s v="Germany"/>
    <s v="2019-08-12"/>
    <n v="92"/>
    <s v="16+"/>
    <n v="9"/>
    <n v="514.70000000000005"/>
    <s v="Hindi"/>
    <s v="Martin Scorsese"/>
    <s v="Tom Hardy"/>
    <m/>
    <n v="42"/>
    <n v="200.1"/>
    <s v="Hit"/>
    <s v="Blockbuster"/>
    <s v="No"/>
    <s v="Low"/>
    <n v="158.1"/>
    <n v="476.42857142857144"/>
  </r>
  <r>
    <s v="NFX-100152"/>
    <x v="151"/>
    <s v="TV Show"/>
    <x v="6"/>
    <n v="2000"/>
    <s v="India"/>
    <s v="2019-01-15"/>
    <n v="60"/>
    <s v="PG-13"/>
    <n v="5.0999999999999996"/>
    <n v="101.9"/>
    <s v="Korean"/>
    <s v="Sanjay Leela Bhansali"/>
    <s v="Deepika Padukone"/>
    <n v="1"/>
    <n v="68"/>
    <n v="387"/>
    <s v="Flop"/>
    <s v="Normal"/>
    <s v="No"/>
    <s v="Low"/>
    <n v="319"/>
    <n v="569.11764705882354"/>
  </r>
  <r>
    <s v="NFX-100153"/>
    <x v="152"/>
    <s v="TV Show"/>
    <x v="5"/>
    <n v="2013"/>
    <s v="Germany"/>
    <s v="2024-03-07"/>
    <n v="38"/>
    <s v="PG"/>
    <n v="5.4"/>
    <n v="182"/>
    <s v="Hindi"/>
    <s v="Rajkumar Hirani"/>
    <s v="Leonardo DiCaprio"/>
    <n v="3"/>
    <n v="58"/>
    <n v="88.1"/>
    <s v="Flop"/>
    <s v="Normal"/>
    <s v="Yes"/>
    <s v="Low"/>
    <n v="30.099999999999994"/>
    <n v="151.89655172413791"/>
  </r>
  <r>
    <s v="NFX-100154"/>
    <x v="153"/>
    <s v="Movie"/>
    <x v="7"/>
    <n v="2008"/>
    <s v="Canada"/>
    <s v="2023-06-25"/>
    <n v="167"/>
    <s v="PG"/>
    <n v="8.1999999999999993"/>
    <n v="143.4"/>
    <s v="Spanish"/>
    <s v="Ridley Scott"/>
    <s v="Chris Evans"/>
    <m/>
    <n v="178"/>
    <n v="477.4"/>
    <s v="Hit"/>
    <s v="Normal"/>
    <s v="Yes"/>
    <s v="High"/>
    <n v="299.39999999999998"/>
    <n v="268.20224719101122"/>
  </r>
  <r>
    <s v="NFX-100155"/>
    <x v="154"/>
    <s v="TV Show"/>
    <x v="9"/>
    <n v="2011"/>
    <s v="France"/>
    <s v="2024-07-31"/>
    <n v="31"/>
    <s v="16+"/>
    <n v="5.4"/>
    <n v="187.2"/>
    <s v="German"/>
    <s v="Quentin Tarantino"/>
    <s v="Timothée Chalamet"/>
    <n v="7"/>
    <n v="118"/>
    <n v="331.4"/>
    <s v="Flop"/>
    <s v="Normal"/>
    <s v="No"/>
    <s v="High"/>
    <n v="213.39999999999998"/>
    <n v="280.84745762711862"/>
  </r>
  <r>
    <s v="NFX-100156"/>
    <x v="155"/>
    <s v="TV Show"/>
    <x v="10"/>
    <n v="2004"/>
    <s v="USA"/>
    <s v="2022-01-01"/>
    <n v="33"/>
    <s v="16+"/>
    <n v="6.8"/>
    <n v="531.9"/>
    <s v="German"/>
    <s v="Zoya Akhtar"/>
    <s v="Chris Evans"/>
    <n v="8"/>
    <n v="61"/>
    <n v="283.5"/>
    <s v="Average"/>
    <s v="Blockbuster"/>
    <s v="No"/>
    <s v="Low"/>
    <n v="222.5"/>
    <n v="464.75409836065575"/>
  </r>
  <r>
    <s v="NFX-100157"/>
    <x v="156"/>
    <s v="Movie"/>
    <x v="1"/>
    <n v="2003"/>
    <s v="Germany"/>
    <s v="2018-12-04"/>
    <n v="161"/>
    <s v="PG-13"/>
    <n v="7.7"/>
    <n v="523.6"/>
    <s v="Korean"/>
    <s v="Park Chan-wook"/>
    <s v="Ranbir Kapoor"/>
    <m/>
    <n v="159"/>
    <n v="556.4"/>
    <s v="Average"/>
    <s v="Blockbuster"/>
    <s v="No"/>
    <s v="High"/>
    <n v="397.4"/>
    <n v="349.93710691823895"/>
  </r>
  <r>
    <s v="NFX-100158"/>
    <x v="157"/>
    <s v="TV Show"/>
    <x v="7"/>
    <n v="2004"/>
    <s v="Germany"/>
    <s v="2023-05-18"/>
    <n v="37"/>
    <s v="16+"/>
    <n v="4.7"/>
    <n v="469.7"/>
    <s v="German"/>
    <s v="Rajkumar Hirani"/>
    <s v="Scarlett Johansson"/>
    <n v="2"/>
    <n v="28"/>
    <n v="62.7"/>
    <s v="Flop"/>
    <s v="Blockbuster"/>
    <s v="No"/>
    <s v="Low"/>
    <n v="34.700000000000003"/>
    <n v="223.92857142857144"/>
  </r>
  <r>
    <s v="NFX-100159"/>
    <x v="158"/>
    <s v="TV Show"/>
    <x v="9"/>
    <n v="2025"/>
    <s v="Germany"/>
    <s v="2022-10-30"/>
    <n v="49"/>
    <s v="16+"/>
    <n v="6.7"/>
    <n v="499.1"/>
    <s v="German"/>
    <s v="Sanjay Leela Bhansali"/>
    <s v="Emma Stone"/>
    <n v="2"/>
    <n v="174"/>
    <n v="298.7"/>
    <s v="Average"/>
    <s v="Blockbuster"/>
    <s v="No"/>
    <s v="High"/>
    <n v="124.69999999999999"/>
    <n v="171.66666666666666"/>
  </r>
  <r>
    <s v="NFX-100160"/>
    <x v="159"/>
    <s v="Movie"/>
    <x v="4"/>
    <n v="2006"/>
    <s v="Australia"/>
    <s v="2019-05-01"/>
    <n v="145"/>
    <s v="PG-13"/>
    <n v="5.4"/>
    <n v="23.6"/>
    <s v="Hindi"/>
    <s v="Quentin Tarantino"/>
    <s v="Jennifer Lawrence"/>
    <m/>
    <n v="15"/>
    <n v="31.8"/>
    <s v="Flop"/>
    <s v="Normal"/>
    <s v="No"/>
    <s v="Low"/>
    <n v="16.8"/>
    <n v="212"/>
  </r>
  <r>
    <s v="NFX-100161"/>
    <x v="160"/>
    <s v="TV Show"/>
    <x v="7"/>
    <n v="2006"/>
    <s v="Germany"/>
    <s v="2019-10-03"/>
    <n v="59"/>
    <s v="16+"/>
    <n v="7.4"/>
    <n v="79.599999999999994"/>
    <s v="German"/>
    <s v="Steven Spielberg"/>
    <s v="Scarlett Johansson"/>
    <n v="8"/>
    <n v="166"/>
    <n v="646.6"/>
    <s v="Average"/>
    <s v="Normal"/>
    <s v="No"/>
    <s v="High"/>
    <n v="480.6"/>
    <n v="389.51807228915663"/>
  </r>
  <r>
    <s v="NFX-100162"/>
    <x v="161"/>
    <s v="Movie"/>
    <x v="5"/>
    <n v="2013"/>
    <s v="UK"/>
    <s v="2022-09-06"/>
    <n v="152"/>
    <s v="18+"/>
    <n v="7"/>
    <n v="338.6"/>
    <s v="French"/>
    <s v="Park Chan-wook"/>
    <s v="Shah Rukh Khan"/>
    <m/>
    <n v="62"/>
    <n v="249.6"/>
    <s v="Average"/>
    <s v="Popular"/>
    <s v="No"/>
    <s v="Low"/>
    <n v="187.6"/>
    <n v="402.58064516129031"/>
  </r>
  <r>
    <s v="NFX-100163"/>
    <x v="162"/>
    <s v="Movie"/>
    <x v="8"/>
    <n v="2019"/>
    <s v="France"/>
    <s v="2020-08-11"/>
    <n v="122"/>
    <s v="G"/>
    <n v="7.4"/>
    <n v="469.1"/>
    <s v="German"/>
    <s v="Quentin Tarantino"/>
    <s v="Chris Evans"/>
    <m/>
    <n v="119"/>
    <n v="555"/>
    <s v="Average"/>
    <s v="Blockbuster"/>
    <s v="Yes"/>
    <s v="High"/>
    <n v="436"/>
    <n v="466.38655462184875"/>
  </r>
  <r>
    <s v="NFX-100164"/>
    <x v="163"/>
    <s v="Movie"/>
    <x v="10"/>
    <n v="2018"/>
    <s v="Spain"/>
    <s v="2021-02-19"/>
    <n v="125"/>
    <s v="PG-13"/>
    <n v="9.6"/>
    <n v="188.3"/>
    <s v="Spanish"/>
    <s v="James Cameron"/>
    <s v="Ryan Gosling"/>
    <m/>
    <n v="12"/>
    <n v="54.7"/>
    <s v="Hit"/>
    <s v="Normal"/>
    <s v="No"/>
    <s v="Low"/>
    <n v="42.7"/>
    <n v="455.83333333333337"/>
  </r>
  <r>
    <s v="NFX-100165"/>
    <x v="164"/>
    <s v="Movie"/>
    <x v="5"/>
    <n v="2007"/>
    <s v="France"/>
    <s v="2018-09-22"/>
    <n v="179"/>
    <s v="16+"/>
    <n v="9.6"/>
    <n v="122.9"/>
    <s v="Spanish"/>
    <s v="Christopher Nolan"/>
    <s v="Tom Hardy"/>
    <m/>
    <n v="75"/>
    <n v="330.2"/>
    <s v="Hit"/>
    <s v="Normal"/>
    <s v="No"/>
    <s v="Low"/>
    <n v="255.2"/>
    <n v="440.26666666666665"/>
  </r>
  <r>
    <s v="NFX-100166"/>
    <x v="165"/>
    <s v="Movie"/>
    <x v="10"/>
    <n v="2005"/>
    <s v="South Korea"/>
    <s v="2023-09-16"/>
    <n v="172"/>
    <s v="18+"/>
    <n v="8.9"/>
    <n v="595.9"/>
    <s v="Korean"/>
    <s v="Guillermo del Toro"/>
    <s v="Ryan Gosling"/>
    <m/>
    <n v="74"/>
    <n v="161.80000000000001"/>
    <s v="Hit"/>
    <s v="Blockbuster"/>
    <s v="No"/>
    <s v="Low"/>
    <n v="87.800000000000011"/>
    <n v="218.64864864864865"/>
  </r>
  <r>
    <s v="NFX-100167"/>
    <x v="166"/>
    <s v="Movie"/>
    <x v="4"/>
    <n v="2016"/>
    <s v="India"/>
    <s v="2022-11-04"/>
    <n v="137"/>
    <s v="PG-13"/>
    <n v="7.8"/>
    <n v="330.8"/>
    <s v="Hindi"/>
    <s v="Anurag Kashyap"/>
    <s v="Lee Jung-jae"/>
    <m/>
    <n v="44"/>
    <n v="250"/>
    <s v="Average"/>
    <s v="Popular"/>
    <s v="No"/>
    <s v="Low"/>
    <n v="206"/>
    <n v="568.18181818181813"/>
  </r>
  <r>
    <s v="NFX-100168"/>
    <x v="167"/>
    <s v="TV Show"/>
    <x v="0"/>
    <n v="2017"/>
    <s v="Germany"/>
    <s v="2019-09-13"/>
    <n v="54"/>
    <s v="PG-13"/>
    <n v="8.1"/>
    <n v="109.5"/>
    <s v="English"/>
    <s v="Greta Gerwig"/>
    <s v="Emma Stone"/>
    <n v="1"/>
    <n v="139"/>
    <n v="852.3"/>
    <s v="Hit"/>
    <s v="Normal"/>
    <s v="No"/>
    <s v="High"/>
    <n v="713.3"/>
    <n v="613.16546762589917"/>
  </r>
  <r>
    <s v="NFX-100169"/>
    <x v="168"/>
    <s v="TV Show"/>
    <x v="2"/>
    <n v="2014"/>
    <s v="France"/>
    <s v="2018-07-08"/>
    <n v="54"/>
    <s v="G"/>
    <n v="8.5"/>
    <n v="387.3"/>
    <s v="French"/>
    <s v="Quentin Tarantino"/>
    <s v="Shah Rukh Khan"/>
    <n v="8"/>
    <n v="142"/>
    <n v="659.9"/>
    <s v="Hit"/>
    <s v="Popular"/>
    <s v="Yes"/>
    <s v="High"/>
    <n v="517.9"/>
    <n v="464.71830985915494"/>
  </r>
  <r>
    <s v="NFX-100170"/>
    <x v="169"/>
    <s v="TV Show"/>
    <x v="1"/>
    <n v="2009"/>
    <s v="Germany"/>
    <s v="2019-07-11"/>
    <n v="58"/>
    <s v="G"/>
    <n v="4.8"/>
    <n v="296.8"/>
    <s v="German"/>
    <s v="Rajkumar Hirani"/>
    <s v="Tom Hardy"/>
    <n v="6"/>
    <n v="99"/>
    <n v="305.2"/>
    <s v="Flop"/>
    <s v="Popular"/>
    <s v="Yes"/>
    <s v="Low"/>
    <n v="206.2"/>
    <n v="308.28282828282829"/>
  </r>
  <r>
    <s v="NFX-100171"/>
    <x v="170"/>
    <s v="TV Show"/>
    <x v="9"/>
    <n v="2011"/>
    <s v="Canada"/>
    <s v="2023-04-06"/>
    <n v="34"/>
    <s v="16+"/>
    <n v="4.9000000000000004"/>
    <n v="502"/>
    <s v="English"/>
    <s v="Denis Villeneuve"/>
    <s v="Deepika Padukone"/>
    <n v="7"/>
    <n v="131"/>
    <n v="446.3"/>
    <s v="Flop"/>
    <s v="Blockbuster"/>
    <s v="No"/>
    <s v="High"/>
    <n v="315.3"/>
    <n v="340.6870229007634"/>
  </r>
  <r>
    <s v="NFX-100172"/>
    <x v="171"/>
    <s v="Movie"/>
    <x v="6"/>
    <n v="2023"/>
    <s v="Australia"/>
    <s v="2024-06-15"/>
    <n v="137"/>
    <s v="18+"/>
    <n v="7"/>
    <n v="187.2"/>
    <s v="Japanese"/>
    <s v="Guillermo del Toro"/>
    <s v="Emma Stone"/>
    <m/>
    <n v="110"/>
    <n v="628.29999999999995"/>
    <s v="Average"/>
    <s v="Normal"/>
    <s v="No"/>
    <s v="High"/>
    <n v="518.29999999999995"/>
    <n v="571.18181818181813"/>
  </r>
  <r>
    <s v="NFX-100173"/>
    <x v="172"/>
    <s v="TV Show"/>
    <x v="8"/>
    <n v="2022"/>
    <s v="South Korea"/>
    <s v="2020-11-11"/>
    <n v="47"/>
    <s v="PG"/>
    <n v="7.7"/>
    <n v="570.5"/>
    <s v="Spanish"/>
    <s v="Sanjay Leela Bhansali"/>
    <s v="Scarlett Johansson"/>
    <n v="5"/>
    <n v="128"/>
    <n v="724.1"/>
    <s v="Average"/>
    <s v="Blockbuster"/>
    <s v="Yes"/>
    <s v="High"/>
    <n v="596.1"/>
    <n v="565.703125"/>
  </r>
  <r>
    <s v="NFX-100174"/>
    <x v="173"/>
    <s v="TV Show"/>
    <x v="10"/>
    <n v="2015"/>
    <s v="Germany"/>
    <s v="2024-03-18"/>
    <n v="47"/>
    <s v="G"/>
    <n v="6"/>
    <n v="143.30000000000001"/>
    <s v="Korean"/>
    <s v="James Cameron"/>
    <s v="Lee Jung-jae"/>
    <n v="5"/>
    <n v="5"/>
    <n v="9.6"/>
    <s v="Average"/>
    <s v="Normal"/>
    <s v="Yes"/>
    <s v="Low"/>
    <n v="4.5999999999999996"/>
    <n v="192"/>
  </r>
  <r>
    <s v="NFX-100175"/>
    <x v="174"/>
    <s v="Movie"/>
    <x v="9"/>
    <n v="2005"/>
    <s v="South Korea"/>
    <s v="2020-01-01"/>
    <n v="171"/>
    <s v="16+"/>
    <n v="4.7"/>
    <n v="60.5"/>
    <s v="English"/>
    <s v="Anurag Kashyap"/>
    <s v="Shah Rukh Khan"/>
    <m/>
    <n v="73"/>
    <n v="148.5"/>
    <s v="Flop"/>
    <s v="Normal"/>
    <s v="No"/>
    <s v="Low"/>
    <n v="75.5"/>
    <n v="203.42465753424656"/>
  </r>
  <r>
    <s v="NFX-100176"/>
    <x v="175"/>
    <s v="Movie"/>
    <x v="4"/>
    <n v="2019"/>
    <s v="India"/>
    <s v="2024-10-23"/>
    <n v="150"/>
    <s v="16+"/>
    <n v="8.1999999999999993"/>
    <n v="395.9"/>
    <s v="Korean"/>
    <s v="Park Chan-wook"/>
    <s v="Brad Pitt"/>
    <m/>
    <n v="17"/>
    <n v="93.6"/>
    <s v="Hit"/>
    <s v="Popular"/>
    <s v="No"/>
    <s v="Low"/>
    <n v="76.599999999999994"/>
    <n v="550.58823529411768"/>
  </r>
  <r>
    <s v="NFX-100177"/>
    <x v="176"/>
    <s v="TV Show"/>
    <x v="6"/>
    <n v="2025"/>
    <s v="Australia"/>
    <s v="2023-05-29"/>
    <n v="40"/>
    <s v="PG-13"/>
    <n v="6"/>
    <n v="95.1"/>
    <s v="French"/>
    <s v="Rajkumar Hirani"/>
    <s v="Scarlett Johansson"/>
    <n v="7"/>
    <n v="122"/>
    <n v="280.5"/>
    <s v="Average"/>
    <s v="Normal"/>
    <s v="No"/>
    <s v="High"/>
    <n v="158.5"/>
    <n v="229.91803278688522"/>
  </r>
  <r>
    <s v="NFX-100178"/>
    <x v="177"/>
    <s v="TV Show"/>
    <x v="5"/>
    <n v="2016"/>
    <s v="India"/>
    <s v="2018-01-17"/>
    <n v="40"/>
    <s v="G"/>
    <n v="5.0999999999999996"/>
    <n v="319.5"/>
    <s v="German"/>
    <s v="Ridley Scott"/>
    <s v="Jennifer Lawrence"/>
    <n v="5"/>
    <n v="175"/>
    <n v="569.6"/>
    <s v="Flop"/>
    <s v="Popular"/>
    <s v="Yes"/>
    <s v="High"/>
    <n v="394.6"/>
    <n v="325.48571428571427"/>
  </r>
  <r>
    <s v="NFX-100179"/>
    <x v="178"/>
    <s v="TV Show"/>
    <x v="10"/>
    <n v="2019"/>
    <s v="India"/>
    <s v="2024-02-11"/>
    <n v="58"/>
    <s v="18+"/>
    <n v="7.9"/>
    <n v="167.9"/>
    <s v="English"/>
    <s v="Zoya Akhtar"/>
    <s v="Ranbir Kapoor"/>
    <n v="6"/>
    <n v="10"/>
    <n v="30.3"/>
    <s v="Average"/>
    <s v="Normal"/>
    <s v="No"/>
    <s v="Low"/>
    <n v="20.3"/>
    <n v="303"/>
  </r>
  <r>
    <s v="NFX-100180"/>
    <x v="179"/>
    <s v="TV Show"/>
    <x v="4"/>
    <n v="2009"/>
    <s v="USA"/>
    <s v="2023-05-09"/>
    <n v="59"/>
    <s v="PG-13"/>
    <n v="6.1"/>
    <n v="211.5"/>
    <s v="German"/>
    <s v="Anurag Kashyap"/>
    <s v="Leonardo DiCaprio"/>
    <n v="5"/>
    <n v="195"/>
    <n v="544"/>
    <s v="Average"/>
    <s v="Popular"/>
    <s v="No"/>
    <s v="High"/>
    <n v="349"/>
    <n v="278.97435897435895"/>
  </r>
  <r>
    <s v="NFX-100181"/>
    <x v="180"/>
    <s v="Movie"/>
    <x v="6"/>
    <n v="2007"/>
    <s v="Spain"/>
    <s v="2019-09-20"/>
    <n v="176"/>
    <s v="18+"/>
    <n v="5.4"/>
    <n v="73.8"/>
    <s v="German"/>
    <s v="Steven Spielberg"/>
    <s v="Ryan Gosling"/>
    <m/>
    <n v="124"/>
    <n v="368.4"/>
    <s v="Flop"/>
    <s v="Normal"/>
    <s v="No"/>
    <s v="High"/>
    <n v="244.39999999999998"/>
    <n v="297.09677419354836"/>
  </r>
  <r>
    <s v="NFX-100182"/>
    <x v="181"/>
    <s v="TV Show"/>
    <x v="10"/>
    <n v="2003"/>
    <s v="Australia"/>
    <s v="2024-06-14"/>
    <n v="47"/>
    <s v="16+"/>
    <n v="6.4"/>
    <n v="287.60000000000002"/>
    <s v="Korean"/>
    <s v="Martin Scorsese"/>
    <s v="Tom Hardy"/>
    <n v="8"/>
    <n v="135"/>
    <n v="758.9"/>
    <s v="Average"/>
    <s v="Popular"/>
    <s v="No"/>
    <s v="High"/>
    <n v="623.9"/>
    <n v="562.14814814814815"/>
  </r>
  <r>
    <s v="NFX-100183"/>
    <x v="182"/>
    <s v="TV Show"/>
    <x v="0"/>
    <n v="2010"/>
    <s v="Canada"/>
    <s v="2019-11-19"/>
    <n v="52"/>
    <s v="PG-13"/>
    <n v="5.9"/>
    <n v="231.6"/>
    <s v="French"/>
    <s v="Park Chan-wook"/>
    <s v="Ranbir Kapoor"/>
    <n v="7"/>
    <n v="135"/>
    <n v="727.7"/>
    <s v="Flop"/>
    <s v="Popular"/>
    <s v="No"/>
    <s v="High"/>
    <n v="592.70000000000005"/>
    <n v="539.03703703703707"/>
  </r>
  <r>
    <s v="NFX-100184"/>
    <x v="183"/>
    <s v="Movie"/>
    <x v="7"/>
    <n v="2007"/>
    <s v="France"/>
    <s v="2021-04-26"/>
    <n v="96"/>
    <s v="18+"/>
    <n v="8"/>
    <n v="517"/>
    <s v="German"/>
    <s v="Park Chan-wook"/>
    <s v="Brad Pitt"/>
    <m/>
    <n v="22"/>
    <n v="37.6"/>
    <s v="Hit"/>
    <s v="Blockbuster"/>
    <s v="No"/>
    <s v="Low"/>
    <n v="15.600000000000001"/>
    <n v="170.90909090909093"/>
  </r>
  <r>
    <s v="NFX-100185"/>
    <x v="184"/>
    <s v="TV Show"/>
    <x v="10"/>
    <n v="2014"/>
    <s v="France"/>
    <s v="2019-08-24"/>
    <n v="53"/>
    <s v="PG-13"/>
    <n v="6.3"/>
    <n v="442.9"/>
    <s v="Korean"/>
    <s v="Ridley Scott"/>
    <s v="Robert Downey Jr."/>
    <n v="7"/>
    <n v="156"/>
    <n v="852.6"/>
    <s v="Average"/>
    <s v="Blockbuster"/>
    <s v="No"/>
    <s v="High"/>
    <n v="696.6"/>
    <n v="546.53846153846155"/>
  </r>
  <r>
    <s v="NFX-100186"/>
    <x v="185"/>
    <s v="Movie"/>
    <x v="7"/>
    <n v="2021"/>
    <s v="UK"/>
    <s v="2024-07-13"/>
    <n v="108"/>
    <s v="PG"/>
    <n v="8.3000000000000007"/>
    <n v="268.7"/>
    <s v="Korean"/>
    <s v="Bong Joon-ho"/>
    <s v="Song Kang-ho"/>
    <m/>
    <n v="83"/>
    <n v="505.2"/>
    <s v="Hit"/>
    <s v="Popular"/>
    <s v="Yes"/>
    <s v="Low"/>
    <n v="422.2"/>
    <n v="608.67469879518069"/>
  </r>
  <r>
    <s v="NFX-100187"/>
    <x v="186"/>
    <s v="Movie"/>
    <x v="6"/>
    <n v="2019"/>
    <s v="Japan"/>
    <s v="2019-12-03"/>
    <n v="176"/>
    <s v="G"/>
    <n v="7.1"/>
    <n v="392.4"/>
    <s v="French"/>
    <s v="Greta Gerwig"/>
    <s v="Robert Downey Jr."/>
    <m/>
    <n v="200"/>
    <n v="687.7"/>
    <s v="Average"/>
    <s v="Popular"/>
    <s v="Yes"/>
    <s v="High"/>
    <n v="487.70000000000005"/>
    <n v="343.85"/>
  </r>
  <r>
    <s v="NFX-100188"/>
    <x v="187"/>
    <s v="TV Show"/>
    <x v="1"/>
    <n v="2006"/>
    <s v="South Korea"/>
    <s v="2018-11-20"/>
    <n v="37"/>
    <s v="18+"/>
    <n v="7.5"/>
    <n v="251.4"/>
    <s v="English"/>
    <s v="Bong Joon-ho"/>
    <s v="Jennifer Lawrence"/>
    <n v="2"/>
    <n v="190"/>
    <n v="1023.7"/>
    <s v="Average"/>
    <s v="Popular"/>
    <s v="No"/>
    <s v="High"/>
    <n v="833.7"/>
    <n v="538.78947368421052"/>
  </r>
  <r>
    <s v="NFX-100189"/>
    <x v="188"/>
    <s v="Movie"/>
    <x v="1"/>
    <n v="2001"/>
    <s v="Canada"/>
    <s v="2023-11-10"/>
    <n v="112"/>
    <s v="PG-13"/>
    <n v="5"/>
    <n v="419.6"/>
    <s v="Spanish"/>
    <s v="Ridley Scott"/>
    <s v="Song Kang-ho"/>
    <m/>
    <n v="40"/>
    <n v="195.7"/>
    <s v="Flop"/>
    <s v="Blockbuster"/>
    <s v="No"/>
    <s v="Low"/>
    <n v="155.69999999999999"/>
    <n v="489.25"/>
  </r>
  <r>
    <s v="NFX-100190"/>
    <x v="189"/>
    <s v="Movie"/>
    <x v="7"/>
    <n v="2004"/>
    <s v="Canada"/>
    <s v="2023-05-18"/>
    <n v="133"/>
    <s v="18+"/>
    <n v="7.2"/>
    <n v="163.19999999999999"/>
    <s v="Hindi"/>
    <s v="Anurag Kashyap"/>
    <s v="Ryan Gosling"/>
    <m/>
    <n v="87"/>
    <n v="550.20000000000005"/>
    <s v="Average"/>
    <s v="Normal"/>
    <s v="No"/>
    <s v="Low"/>
    <n v="463.20000000000005"/>
    <n v="632.41379310344837"/>
  </r>
  <r>
    <s v="NFX-100191"/>
    <x v="190"/>
    <s v="TV Show"/>
    <x v="5"/>
    <n v="2007"/>
    <s v="Spain"/>
    <s v="2018-05-25"/>
    <n v="42"/>
    <s v="16+"/>
    <n v="6.1"/>
    <n v="132.9"/>
    <s v="English"/>
    <s v="Zoya Akhtar"/>
    <s v="Emma Stone"/>
    <n v="7"/>
    <n v="10"/>
    <n v="56.2"/>
    <s v="Average"/>
    <s v="Normal"/>
    <s v="No"/>
    <s v="Low"/>
    <n v="46.2"/>
    <n v="562"/>
  </r>
  <r>
    <s v="NFX-100192"/>
    <x v="191"/>
    <s v="Movie"/>
    <x v="4"/>
    <n v="2002"/>
    <s v="India"/>
    <s v="2023-06-02"/>
    <n v="161"/>
    <s v="PG"/>
    <n v="5.5"/>
    <n v="517.9"/>
    <s v="Korean"/>
    <s v="Greta Gerwig"/>
    <s v="Shah Rukh Khan"/>
    <m/>
    <n v="165"/>
    <n v="875.5"/>
    <s v="Flop"/>
    <s v="Blockbuster"/>
    <s v="Yes"/>
    <s v="High"/>
    <n v="710.5"/>
    <n v="530.60606060606062"/>
  </r>
  <r>
    <s v="NFX-100193"/>
    <x v="192"/>
    <s v="TV Show"/>
    <x v="2"/>
    <n v="2006"/>
    <s v="France"/>
    <s v="2021-01-01"/>
    <n v="34"/>
    <s v="16+"/>
    <n v="6.3"/>
    <n v="52.1"/>
    <s v="French"/>
    <s v="Quentin Tarantino"/>
    <s v="Tom Hardy"/>
    <n v="4"/>
    <n v="131"/>
    <n v="158.6"/>
    <s v="Average"/>
    <s v="Normal"/>
    <s v="No"/>
    <s v="High"/>
    <n v="27.599999999999994"/>
    <n v="121.06870229007633"/>
  </r>
  <r>
    <s v="NFX-100194"/>
    <x v="193"/>
    <s v="TV Show"/>
    <x v="0"/>
    <n v="2004"/>
    <s v="Australia"/>
    <s v="2020-03-24"/>
    <n v="59"/>
    <s v="18+"/>
    <n v="6.7"/>
    <n v="549.5"/>
    <s v="Japanese"/>
    <s v="Denis Villeneuve"/>
    <s v="Emma Stone"/>
    <n v="4"/>
    <n v="123"/>
    <n v="397"/>
    <s v="Average"/>
    <s v="Blockbuster"/>
    <s v="No"/>
    <s v="High"/>
    <n v="274"/>
    <n v="322.76422764227641"/>
  </r>
  <r>
    <s v="NFX-100195"/>
    <x v="194"/>
    <s v="TV Show"/>
    <x v="1"/>
    <n v="2014"/>
    <s v="India"/>
    <s v="2018-03-19"/>
    <n v="58"/>
    <s v="PG"/>
    <n v="8.3000000000000007"/>
    <n v="254.9"/>
    <s v="Korean"/>
    <s v="Steven Spielberg"/>
    <s v="Lee Jung-jae"/>
    <n v="2"/>
    <n v="16"/>
    <n v="21.9"/>
    <s v="Hit"/>
    <s v="Popular"/>
    <s v="Yes"/>
    <s v="Low"/>
    <n v="5.8999999999999986"/>
    <n v="136.875"/>
  </r>
  <r>
    <s v="NFX-100196"/>
    <x v="195"/>
    <s v="Movie"/>
    <x v="5"/>
    <n v="2007"/>
    <s v="France"/>
    <s v="2023-04-22"/>
    <n v="135"/>
    <s v="PG-13"/>
    <n v="7.9"/>
    <n v="528.29999999999995"/>
    <s v="Korean"/>
    <s v="Greta Gerwig"/>
    <s v="Tom Hardy"/>
    <m/>
    <n v="109"/>
    <n v="464"/>
    <s v="Average"/>
    <s v="Blockbuster"/>
    <s v="No"/>
    <s v="High"/>
    <n v="355"/>
    <n v="425.68807339449546"/>
  </r>
  <r>
    <s v="NFX-100197"/>
    <x v="196"/>
    <s v="Movie"/>
    <x v="1"/>
    <n v="2013"/>
    <s v="India"/>
    <s v="2018-06-05"/>
    <n v="88"/>
    <s v="PG"/>
    <n v="4.9000000000000004"/>
    <n v="102.7"/>
    <s v="English"/>
    <s v="Denis Villeneuve"/>
    <s v="Emma Stone"/>
    <m/>
    <n v="78"/>
    <n v="142.6"/>
    <s v="Flop"/>
    <s v="Normal"/>
    <s v="Yes"/>
    <s v="Low"/>
    <n v="64.599999999999994"/>
    <n v="182.82051282051282"/>
  </r>
  <r>
    <s v="NFX-100198"/>
    <x v="197"/>
    <s v="TV Show"/>
    <x v="4"/>
    <n v="2000"/>
    <s v="Australia"/>
    <s v="2018-07-13"/>
    <n v="42"/>
    <s v="16+"/>
    <n v="6.1"/>
    <n v="423.6"/>
    <s v="Japanese"/>
    <s v="Park Chan-wook"/>
    <s v="Song Kang-ho"/>
    <n v="5"/>
    <n v="13"/>
    <n v="31.5"/>
    <s v="Average"/>
    <s v="Blockbuster"/>
    <s v="No"/>
    <s v="Low"/>
    <n v="18.5"/>
    <n v="242.30769230769229"/>
  </r>
  <r>
    <s v="NFX-100199"/>
    <x v="198"/>
    <s v="Movie"/>
    <x v="3"/>
    <n v="2014"/>
    <s v="Japan"/>
    <s v="2023-08-28"/>
    <n v="136"/>
    <s v="PG-13"/>
    <n v="6.3"/>
    <n v="28.3"/>
    <s v="Hindi"/>
    <s v="Greta Gerwig"/>
    <s v="Tom Hardy"/>
    <m/>
    <n v="132"/>
    <n v="821.9"/>
    <s v="Average"/>
    <s v="Normal"/>
    <s v="No"/>
    <s v="High"/>
    <n v="689.9"/>
    <n v="622.65151515151513"/>
  </r>
  <r>
    <s v="NFX-100200"/>
    <x v="199"/>
    <s v="TV Show"/>
    <x v="8"/>
    <n v="2002"/>
    <s v="UK"/>
    <s v="2022-06-29"/>
    <n v="30"/>
    <s v="G"/>
    <n v="9.5"/>
    <n v="298"/>
    <s v="Korean"/>
    <s v="Ridley Scott"/>
    <s v="Lee Jung-jae"/>
    <n v="3"/>
    <n v="69"/>
    <n v="357"/>
    <s v="Hit"/>
    <s v="Popular"/>
    <s v="Yes"/>
    <s v="Low"/>
    <n v="288"/>
    <n v="517.39130434782612"/>
  </r>
  <r>
    <s v="NFX-100201"/>
    <x v="200"/>
    <s v="TV Show"/>
    <x v="2"/>
    <n v="2024"/>
    <s v="India"/>
    <s v="2022-09-30"/>
    <n v="45"/>
    <s v="PG"/>
    <n v="6.7"/>
    <n v="304.39999999999998"/>
    <s v="Hindi"/>
    <s v="Greta Gerwig"/>
    <s v="Deepika Padukone"/>
    <n v="4"/>
    <n v="104"/>
    <n v="259.39999999999998"/>
    <s v="Average"/>
    <s v="Popular"/>
    <s v="Yes"/>
    <s v="High"/>
    <n v="155.39999999999998"/>
    <n v="249.42307692307688"/>
  </r>
  <r>
    <s v="NFX-100202"/>
    <x v="201"/>
    <s v="TV Show"/>
    <x v="8"/>
    <n v="2020"/>
    <s v="Germany"/>
    <s v="2024-10-16"/>
    <n v="42"/>
    <s v="PG-13"/>
    <n v="6.3"/>
    <n v="124"/>
    <s v="French"/>
    <s v="Sanjay Leela Bhansali"/>
    <s v="Brad Pitt"/>
    <n v="7"/>
    <n v="63"/>
    <n v="271.5"/>
    <s v="Average"/>
    <s v="Normal"/>
    <s v="No"/>
    <s v="Low"/>
    <n v="208.5"/>
    <n v="430.95238095238091"/>
  </r>
  <r>
    <s v="NFX-100203"/>
    <x v="202"/>
    <s v="Movie"/>
    <x v="8"/>
    <n v="2023"/>
    <s v="Australia"/>
    <s v="2020-02-14"/>
    <n v="135"/>
    <s v="G"/>
    <n v="4.8"/>
    <n v="136.69999999999999"/>
    <s v="Spanish"/>
    <s v="Quentin Tarantino"/>
    <s v="Shah Rukh Khan"/>
    <m/>
    <n v="198"/>
    <n v="1004.3"/>
    <s v="Flop"/>
    <s v="Normal"/>
    <s v="Yes"/>
    <s v="High"/>
    <n v="806.3"/>
    <n v="507.22222222222217"/>
  </r>
  <r>
    <s v="NFX-100204"/>
    <x v="203"/>
    <s v="TV Show"/>
    <x v="5"/>
    <n v="2014"/>
    <s v="Australia"/>
    <s v="2023-02-04"/>
    <n v="36"/>
    <s v="PG-13"/>
    <n v="5.9"/>
    <n v="161.1"/>
    <s v="German"/>
    <s v="Greta Gerwig"/>
    <s v="Deepika Padukone"/>
    <n v="8"/>
    <n v="130"/>
    <n v="720.8"/>
    <s v="Flop"/>
    <s v="Normal"/>
    <s v="No"/>
    <s v="High"/>
    <n v="590.79999999999995"/>
    <n v="554.46153846153845"/>
  </r>
  <r>
    <s v="NFX-100205"/>
    <x v="204"/>
    <s v="Movie"/>
    <x v="9"/>
    <n v="2004"/>
    <s v="Germany"/>
    <s v="2018-06-29"/>
    <n v="138"/>
    <s v="PG-13"/>
    <n v="9.3000000000000007"/>
    <n v="592.70000000000005"/>
    <s v="Hindi"/>
    <s v="Christopher Nolan"/>
    <s v="Brad Pitt"/>
    <m/>
    <n v="158"/>
    <n v="797.8"/>
    <s v="Hit"/>
    <s v="Blockbuster"/>
    <s v="No"/>
    <s v="High"/>
    <n v="639.79999999999995"/>
    <n v="504.93670886075944"/>
  </r>
  <r>
    <s v="NFX-100206"/>
    <x v="205"/>
    <s v="Movie"/>
    <x v="4"/>
    <n v="2020"/>
    <s v="USA"/>
    <s v="2018-12-26"/>
    <n v="167"/>
    <s v="PG-13"/>
    <n v="5.5"/>
    <n v="445.1"/>
    <s v="German"/>
    <s v="Park Chan-wook"/>
    <s v="Shah Rukh Khan"/>
    <m/>
    <n v="149"/>
    <n v="447.4"/>
    <s v="Flop"/>
    <s v="Blockbuster"/>
    <s v="No"/>
    <s v="High"/>
    <n v="298.39999999999998"/>
    <n v="300.26845637583892"/>
  </r>
  <r>
    <s v="NFX-100207"/>
    <x v="206"/>
    <s v="Movie"/>
    <x v="8"/>
    <n v="2018"/>
    <s v="Germany"/>
    <s v="2019-07-06"/>
    <n v="121"/>
    <s v="G"/>
    <n v="8.1999999999999993"/>
    <n v="543.79999999999995"/>
    <s v="French"/>
    <s v="Sanjay Leela Bhansali"/>
    <s v="Scarlett Johansson"/>
    <m/>
    <n v="14"/>
    <n v="54.5"/>
    <s v="Hit"/>
    <s v="Blockbuster"/>
    <s v="Yes"/>
    <s v="Low"/>
    <n v="40.5"/>
    <n v="389.28571428571428"/>
  </r>
  <r>
    <s v="NFX-100208"/>
    <x v="207"/>
    <s v="Movie"/>
    <x v="10"/>
    <n v="2004"/>
    <s v="Canada"/>
    <s v="2022-01-19"/>
    <n v="121"/>
    <s v="18+"/>
    <n v="5.7"/>
    <n v="343.3"/>
    <s v="French"/>
    <s v="Steven Spielberg"/>
    <s v="Brad Pitt"/>
    <m/>
    <n v="115"/>
    <n v="280.10000000000002"/>
    <s v="Flop"/>
    <s v="Popular"/>
    <s v="No"/>
    <s v="High"/>
    <n v="165.10000000000002"/>
    <n v="243.56521739130437"/>
  </r>
  <r>
    <s v="NFX-100209"/>
    <x v="208"/>
    <s v="TV Show"/>
    <x v="3"/>
    <n v="2008"/>
    <s v="Spain"/>
    <s v="2022-12-22"/>
    <n v="56"/>
    <s v="18+"/>
    <n v="6.1"/>
    <n v="452.9"/>
    <s v="English"/>
    <s v="Greta Gerwig"/>
    <s v="Lee Jung-jae"/>
    <n v="2"/>
    <n v="59"/>
    <n v="173.3"/>
    <s v="Average"/>
    <s v="Blockbuster"/>
    <s v="No"/>
    <s v="Low"/>
    <n v="114.30000000000001"/>
    <n v="293.72881355932202"/>
  </r>
  <r>
    <s v="NFX-100210"/>
    <x v="209"/>
    <s v="Movie"/>
    <x v="1"/>
    <n v="2003"/>
    <s v="Australia"/>
    <s v="2020-04-13"/>
    <n v="87"/>
    <s v="G"/>
    <n v="6.1"/>
    <n v="385.8"/>
    <s v="Japanese"/>
    <s v="Anurag Kashyap"/>
    <s v="Brad Pitt"/>
    <m/>
    <n v="127"/>
    <n v="246.5"/>
    <s v="Average"/>
    <s v="Popular"/>
    <s v="Yes"/>
    <s v="High"/>
    <n v="119.5"/>
    <n v="194.09448818897638"/>
  </r>
  <r>
    <s v="NFX-100211"/>
    <x v="210"/>
    <s v="Movie"/>
    <x v="7"/>
    <n v="2003"/>
    <s v="Australia"/>
    <s v="2020-10-29"/>
    <n v="110"/>
    <s v="18+"/>
    <n v="4.8"/>
    <n v="460.9"/>
    <s v="Korean"/>
    <s v="Rajkumar Hirani"/>
    <s v="Song Kang-ho"/>
    <m/>
    <n v="44"/>
    <n v="226.3"/>
    <s v="Flop"/>
    <s v="Blockbuster"/>
    <s v="No"/>
    <s v="Low"/>
    <n v="182.3"/>
    <n v="514.31818181818187"/>
  </r>
  <r>
    <s v="NFX-100212"/>
    <x v="211"/>
    <s v="Movie"/>
    <x v="4"/>
    <n v="2007"/>
    <s v="Spain"/>
    <s v="2020-01-07"/>
    <n v="166"/>
    <s v="PG"/>
    <n v="8.3000000000000007"/>
    <n v="499.9"/>
    <s v="Japanese"/>
    <s v="Sanjay Leela Bhansali"/>
    <s v="Ranbir Kapoor"/>
    <m/>
    <n v="124"/>
    <n v="226.8"/>
    <s v="Hit"/>
    <s v="Blockbuster"/>
    <s v="Yes"/>
    <s v="High"/>
    <n v="102.80000000000001"/>
    <n v="182.90322580645162"/>
  </r>
  <r>
    <s v="NFX-100213"/>
    <x v="212"/>
    <s v="Movie"/>
    <x v="8"/>
    <n v="2024"/>
    <s v="USA"/>
    <s v="2018-01-14"/>
    <n v="142"/>
    <s v="PG-13"/>
    <n v="4.7"/>
    <n v="298.7"/>
    <s v="French"/>
    <s v="Bong Joon-ho"/>
    <s v="Robert Downey Jr."/>
    <m/>
    <n v="47"/>
    <n v="90.1"/>
    <s v="Flop"/>
    <s v="Popular"/>
    <s v="No"/>
    <s v="Low"/>
    <n v="43.099999999999994"/>
    <n v="191.70212765957447"/>
  </r>
  <r>
    <s v="NFX-100214"/>
    <x v="213"/>
    <s v="TV Show"/>
    <x v="4"/>
    <n v="2002"/>
    <s v="Germany"/>
    <s v="2020-08-08"/>
    <n v="39"/>
    <s v="G"/>
    <n v="6.2"/>
    <n v="198.1"/>
    <s v="English"/>
    <s v="Zoya Akhtar"/>
    <s v="Jennifer Lawrence"/>
    <n v="4"/>
    <n v="171"/>
    <n v="901.1"/>
    <s v="Average"/>
    <s v="Normal"/>
    <s v="Yes"/>
    <s v="High"/>
    <n v="730.1"/>
    <n v="526.95906432748541"/>
  </r>
  <r>
    <s v="NFX-100215"/>
    <x v="214"/>
    <s v="TV Show"/>
    <x v="0"/>
    <n v="2009"/>
    <s v="Japan"/>
    <s v="2018-04-11"/>
    <n v="48"/>
    <s v="G"/>
    <n v="4.5999999999999996"/>
    <n v="224.8"/>
    <s v="Hindi"/>
    <s v="Ridley Scott"/>
    <s v="Lee Jung-jae"/>
    <n v="2"/>
    <n v="49"/>
    <n v="295.8"/>
    <s v="Flop"/>
    <s v="Popular"/>
    <s v="Yes"/>
    <s v="Low"/>
    <n v="246.8"/>
    <n v="603.67346938775506"/>
  </r>
  <r>
    <s v="NFX-100216"/>
    <x v="215"/>
    <s v="Movie"/>
    <x v="10"/>
    <n v="2010"/>
    <s v="Spain"/>
    <s v="2020-10-09"/>
    <n v="120"/>
    <s v="PG-13"/>
    <n v="6.9"/>
    <n v="230.5"/>
    <s v="German"/>
    <s v="Christopher Nolan"/>
    <s v="Tom Hardy"/>
    <m/>
    <n v="117"/>
    <n v="538.79999999999995"/>
    <s v="Average"/>
    <s v="Popular"/>
    <s v="No"/>
    <s v="High"/>
    <n v="421.79999999999995"/>
    <n v="460.5128205128205"/>
  </r>
  <r>
    <s v="NFX-100217"/>
    <x v="216"/>
    <s v="Movie"/>
    <x v="8"/>
    <n v="2000"/>
    <s v="South Korea"/>
    <s v="2021-06-11"/>
    <n v="179"/>
    <s v="PG"/>
    <n v="5.9"/>
    <n v="528.70000000000005"/>
    <s v="Hindi"/>
    <s v="Bong Joon-ho"/>
    <s v="Emma Stone"/>
    <m/>
    <n v="22"/>
    <n v="83.2"/>
    <s v="Flop"/>
    <s v="Blockbuster"/>
    <s v="Yes"/>
    <s v="Low"/>
    <n v="61.2"/>
    <n v="378.18181818181819"/>
  </r>
  <r>
    <s v="NFX-100218"/>
    <x v="217"/>
    <s v="Movie"/>
    <x v="1"/>
    <n v="2007"/>
    <s v="Spain"/>
    <s v="2022-11-13"/>
    <n v="165"/>
    <s v="PG-13"/>
    <n v="8.8000000000000007"/>
    <n v="332"/>
    <s v="French"/>
    <s v="James Cameron"/>
    <s v="Chris Evans"/>
    <m/>
    <n v="21"/>
    <n v="120.5"/>
    <s v="Hit"/>
    <s v="Popular"/>
    <s v="No"/>
    <s v="Low"/>
    <n v="99.5"/>
    <n v="573.80952380952385"/>
  </r>
  <r>
    <s v="NFX-100219"/>
    <x v="218"/>
    <s v="TV Show"/>
    <x v="9"/>
    <n v="2022"/>
    <s v="India"/>
    <s v="2020-03-26"/>
    <n v="38"/>
    <s v="PG-13"/>
    <n v="8.9"/>
    <n v="180.7"/>
    <s v="German"/>
    <s v="Greta Gerwig"/>
    <s v="Jennifer Lawrence"/>
    <n v="1"/>
    <n v="104"/>
    <n v="151.19999999999999"/>
    <s v="Hit"/>
    <s v="Normal"/>
    <s v="No"/>
    <s v="High"/>
    <n v="47.199999999999989"/>
    <n v="145.38461538461539"/>
  </r>
  <r>
    <s v="NFX-100220"/>
    <x v="219"/>
    <s v="Movie"/>
    <x v="3"/>
    <n v="2006"/>
    <s v="South Korea"/>
    <s v="2020-02-18"/>
    <n v="169"/>
    <s v="18+"/>
    <n v="9.6"/>
    <n v="149"/>
    <s v="Korean"/>
    <s v="Steven Spielberg"/>
    <s v="Chris Evans"/>
    <m/>
    <n v="97"/>
    <n v="546.20000000000005"/>
    <s v="Hit"/>
    <s v="Normal"/>
    <s v="No"/>
    <s v="Low"/>
    <n v="449.20000000000005"/>
    <n v="563.09278350515467"/>
  </r>
  <r>
    <s v="NFX-100221"/>
    <x v="220"/>
    <s v="Movie"/>
    <x v="3"/>
    <n v="2022"/>
    <s v="USA"/>
    <s v="2022-08-12"/>
    <n v="175"/>
    <s v="PG-13"/>
    <n v="8.3000000000000007"/>
    <n v="216.9"/>
    <s v="French"/>
    <s v="Bong Joon-ho"/>
    <s v="Chris Evans"/>
    <m/>
    <n v="59"/>
    <n v="351.7"/>
    <s v="Hit"/>
    <s v="Popular"/>
    <s v="No"/>
    <s v="Low"/>
    <n v="292.7"/>
    <n v="596.10169491525426"/>
  </r>
  <r>
    <s v="NFX-100222"/>
    <x v="221"/>
    <s v="Movie"/>
    <x v="9"/>
    <n v="2003"/>
    <s v="India"/>
    <s v="2018-10-13"/>
    <n v="131"/>
    <s v="18+"/>
    <n v="6.1"/>
    <n v="384.6"/>
    <s v="French"/>
    <s v="Christopher Nolan"/>
    <s v="Robert Downey Jr."/>
    <m/>
    <n v="138"/>
    <n v="817.6"/>
    <s v="Average"/>
    <s v="Popular"/>
    <s v="No"/>
    <s v="High"/>
    <n v="679.6"/>
    <n v="592.463768115942"/>
  </r>
  <r>
    <s v="NFX-100223"/>
    <x v="222"/>
    <s v="TV Show"/>
    <x v="5"/>
    <n v="2010"/>
    <s v="France"/>
    <s v="2018-09-22"/>
    <n v="36"/>
    <s v="16+"/>
    <n v="5.3"/>
    <n v="174.5"/>
    <s v="English"/>
    <s v="Sanjay Leela Bhansali"/>
    <s v="Shah Rukh Khan"/>
    <n v="1"/>
    <n v="124"/>
    <n v="707.9"/>
    <s v="Flop"/>
    <s v="Normal"/>
    <s v="No"/>
    <s v="High"/>
    <n v="583.9"/>
    <n v="570.88709677419354"/>
  </r>
  <r>
    <s v="NFX-100224"/>
    <x v="223"/>
    <s v="Movie"/>
    <x v="6"/>
    <n v="2011"/>
    <s v="Spain"/>
    <s v="2022-07-12"/>
    <n v="143"/>
    <s v="G"/>
    <n v="4.7"/>
    <n v="30.1"/>
    <s v="French"/>
    <s v="Guillermo del Toro"/>
    <s v="Brad Pitt"/>
    <m/>
    <n v="105"/>
    <n v="442.1"/>
    <s v="Flop"/>
    <s v="Normal"/>
    <s v="Yes"/>
    <s v="High"/>
    <n v="337.1"/>
    <n v="421.04761904761904"/>
  </r>
  <r>
    <s v="NFX-100225"/>
    <x v="224"/>
    <s v="TV Show"/>
    <x v="9"/>
    <n v="2004"/>
    <s v="Australia"/>
    <s v="2022-08-21"/>
    <n v="52"/>
    <s v="G"/>
    <n v="9.1999999999999993"/>
    <n v="424.6"/>
    <s v="English"/>
    <s v="Denis Villeneuve"/>
    <s v="Lee Jung-jae"/>
    <n v="3"/>
    <n v="136"/>
    <n v="737.9"/>
    <s v="Hit"/>
    <s v="Blockbuster"/>
    <s v="Yes"/>
    <s v="High"/>
    <n v="601.9"/>
    <n v="542.57352941176475"/>
  </r>
  <r>
    <s v="NFX-100226"/>
    <x v="225"/>
    <s v="TV Show"/>
    <x v="0"/>
    <n v="2024"/>
    <s v="Germany"/>
    <s v="2020-02-26"/>
    <n v="53"/>
    <s v="16+"/>
    <n v="8.8000000000000007"/>
    <n v="55.2"/>
    <s v="German"/>
    <s v="Anurag Kashyap"/>
    <s v="Tom Hardy"/>
    <n v="4"/>
    <n v="174"/>
    <n v="342.4"/>
    <s v="Hit"/>
    <s v="Normal"/>
    <s v="No"/>
    <s v="High"/>
    <n v="168.39999999999998"/>
    <n v="196.7816091954023"/>
  </r>
  <r>
    <s v="NFX-100227"/>
    <x v="226"/>
    <s v="Movie"/>
    <x v="6"/>
    <n v="2006"/>
    <s v="Canada"/>
    <s v="2019-06-29"/>
    <n v="169"/>
    <s v="16+"/>
    <n v="4.9000000000000004"/>
    <n v="141.9"/>
    <s v="German"/>
    <s v="Greta Gerwig"/>
    <s v="Emma Stone"/>
    <m/>
    <n v="121"/>
    <n v="372.3"/>
    <s v="Flop"/>
    <s v="Normal"/>
    <s v="No"/>
    <s v="High"/>
    <n v="251.3"/>
    <n v="307.68595041322311"/>
  </r>
  <r>
    <s v="NFX-100228"/>
    <x v="227"/>
    <s v="Movie"/>
    <x v="8"/>
    <n v="2019"/>
    <s v="UK"/>
    <s v="2022-12-11"/>
    <n v="168"/>
    <s v="G"/>
    <n v="4.5999999999999996"/>
    <n v="461.6"/>
    <s v="English"/>
    <s v="Greta Gerwig"/>
    <s v="Emma Stone"/>
    <m/>
    <n v="173"/>
    <n v="436.3"/>
    <s v="Flop"/>
    <s v="Blockbuster"/>
    <s v="Yes"/>
    <s v="High"/>
    <n v="263.3"/>
    <n v="252.19653179190752"/>
  </r>
  <r>
    <s v="NFX-100229"/>
    <x v="228"/>
    <s v="TV Show"/>
    <x v="1"/>
    <n v="2014"/>
    <s v="Japan"/>
    <s v="2020-09-08"/>
    <n v="42"/>
    <s v="16+"/>
    <n v="8.5"/>
    <n v="354.5"/>
    <s v="Japanese"/>
    <s v="Rajkumar Hirani"/>
    <s v="Tom Hardy"/>
    <n v="2"/>
    <n v="155"/>
    <n v="946.6"/>
    <s v="Hit"/>
    <s v="Popular"/>
    <s v="No"/>
    <s v="High"/>
    <n v="791.6"/>
    <n v="610.70967741935488"/>
  </r>
  <r>
    <s v="NFX-100230"/>
    <x v="229"/>
    <s v="TV Show"/>
    <x v="4"/>
    <n v="2006"/>
    <s v="Japan"/>
    <s v="2020-10-08"/>
    <n v="42"/>
    <s v="18+"/>
    <n v="5.2"/>
    <n v="513.1"/>
    <s v="Korean"/>
    <s v="Quentin Tarantino"/>
    <s v="Emma Stone"/>
    <n v="4"/>
    <n v="105"/>
    <n v="175.3"/>
    <s v="Flop"/>
    <s v="Blockbuster"/>
    <s v="No"/>
    <s v="High"/>
    <n v="70.300000000000011"/>
    <n v="166.95238095238096"/>
  </r>
  <r>
    <s v="NFX-100231"/>
    <x v="230"/>
    <s v="Movie"/>
    <x v="7"/>
    <n v="2003"/>
    <s v="Canada"/>
    <s v="2018-12-15"/>
    <n v="109"/>
    <s v="PG"/>
    <n v="8.8000000000000007"/>
    <n v="243.9"/>
    <s v="French"/>
    <s v="Anurag Kashyap"/>
    <s v="Jennifer Lawrence"/>
    <m/>
    <n v="32"/>
    <n v="131.80000000000001"/>
    <s v="Hit"/>
    <s v="Popular"/>
    <s v="Yes"/>
    <s v="Low"/>
    <n v="99.800000000000011"/>
    <n v="411.87500000000006"/>
  </r>
  <r>
    <s v="NFX-100232"/>
    <x v="231"/>
    <s v="Movie"/>
    <x v="8"/>
    <n v="2017"/>
    <s v="USA"/>
    <s v="2019-07-07"/>
    <n v="168"/>
    <s v="18+"/>
    <n v="4.7"/>
    <n v="487.1"/>
    <s v="Korean"/>
    <s v="Steven Spielberg"/>
    <s v="Emma Stone"/>
    <m/>
    <n v="99"/>
    <n v="436.6"/>
    <s v="Flop"/>
    <s v="Blockbuster"/>
    <s v="No"/>
    <s v="Low"/>
    <n v="337.6"/>
    <n v="441.0101010101011"/>
  </r>
  <r>
    <s v="NFX-100233"/>
    <x v="232"/>
    <s v="TV Show"/>
    <x v="3"/>
    <n v="2023"/>
    <s v="USA"/>
    <s v="2024-09-06"/>
    <n v="38"/>
    <s v="16+"/>
    <n v="4.5"/>
    <n v="524.9"/>
    <s v="Spanish"/>
    <s v="James Cameron"/>
    <s v="Scarlett Johansson"/>
    <n v="1"/>
    <n v="167"/>
    <n v="260.7"/>
    <s v="Flop"/>
    <s v="Blockbuster"/>
    <s v="No"/>
    <s v="High"/>
    <n v="93.699999999999989"/>
    <n v="156.1077844311377"/>
  </r>
  <r>
    <s v="NFX-100234"/>
    <x v="233"/>
    <s v="Movie"/>
    <x v="2"/>
    <n v="2016"/>
    <s v="Canada"/>
    <s v="2021-11-27"/>
    <n v="107"/>
    <s v="G"/>
    <n v="6.2"/>
    <n v="73.900000000000006"/>
    <s v="French"/>
    <s v="Quentin Tarantino"/>
    <s v="Leonardo DiCaprio"/>
    <m/>
    <n v="38"/>
    <n v="119.1"/>
    <s v="Average"/>
    <s v="Normal"/>
    <s v="Yes"/>
    <s v="Low"/>
    <n v="81.099999999999994"/>
    <n v="313.4210526315789"/>
  </r>
  <r>
    <s v="NFX-100235"/>
    <x v="234"/>
    <s v="Movie"/>
    <x v="8"/>
    <n v="2025"/>
    <s v="India"/>
    <s v="2021-02-27"/>
    <n v="146"/>
    <s v="18+"/>
    <n v="5.8"/>
    <n v="270.5"/>
    <s v="English"/>
    <s v="Denis Villeneuve"/>
    <s v="Brad Pitt"/>
    <m/>
    <n v="76"/>
    <n v="297.7"/>
    <s v="Flop"/>
    <s v="Popular"/>
    <s v="No"/>
    <s v="Low"/>
    <n v="221.7"/>
    <n v="391.71052631578942"/>
  </r>
  <r>
    <s v="NFX-100236"/>
    <x v="235"/>
    <s v="Movie"/>
    <x v="10"/>
    <n v="2015"/>
    <s v="Germany"/>
    <s v="2024-04-13"/>
    <n v="153"/>
    <s v="18+"/>
    <n v="7.4"/>
    <n v="593"/>
    <s v="French"/>
    <s v="Denis Villeneuve"/>
    <s v="Jennifer Lawrence"/>
    <m/>
    <n v="16"/>
    <n v="100.4"/>
    <s v="Average"/>
    <s v="Blockbuster"/>
    <s v="No"/>
    <s v="Low"/>
    <n v="84.4"/>
    <n v="627.5"/>
  </r>
  <r>
    <s v="NFX-100237"/>
    <x v="236"/>
    <s v="TV Show"/>
    <x v="6"/>
    <n v="2016"/>
    <s v="Canada"/>
    <s v="2023-09-07"/>
    <n v="38"/>
    <s v="G"/>
    <n v="7.5"/>
    <n v="340.2"/>
    <s v="Hindi"/>
    <s v="Bong Joon-ho"/>
    <s v="Brad Pitt"/>
    <n v="8"/>
    <n v="125"/>
    <n v="723.5"/>
    <s v="Average"/>
    <s v="Popular"/>
    <s v="Yes"/>
    <s v="High"/>
    <n v="598.5"/>
    <n v="578.80000000000007"/>
  </r>
  <r>
    <s v="NFX-100238"/>
    <x v="237"/>
    <s v="TV Show"/>
    <x v="1"/>
    <n v="2009"/>
    <s v="UK"/>
    <s v="2019-07-01"/>
    <n v="30"/>
    <s v="18+"/>
    <n v="5.3"/>
    <n v="112.4"/>
    <s v="French"/>
    <s v="James Cameron"/>
    <s v="Scarlett Johansson"/>
    <n v="6"/>
    <n v="99"/>
    <n v="461.7"/>
    <s v="Flop"/>
    <s v="Normal"/>
    <s v="No"/>
    <s v="Low"/>
    <n v="362.7"/>
    <n v="466.36363636363632"/>
  </r>
  <r>
    <s v="NFX-100239"/>
    <x v="238"/>
    <s v="TV Show"/>
    <x v="5"/>
    <n v="2000"/>
    <s v="UK"/>
    <s v="2022-03-30"/>
    <n v="33"/>
    <s v="18+"/>
    <n v="6.1"/>
    <n v="99"/>
    <s v="French"/>
    <s v="Sanjay Leela Bhansali"/>
    <s v="Lee Jung-jae"/>
    <n v="7"/>
    <n v="74"/>
    <n v="479.1"/>
    <s v="Average"/>
    <s v="Normal"/>
    <s v="No"/>
    <s v="Low"/>
    <n v="405.1"/>
    <n v="647.43243243243251"/>
  </r>
  <r>
    <s v="NFX-100240"/>
    <x v="239"/>
    <s v="TV Show"/>
    <x v="3"/>
    <n v="2007"/>
    <s v="UK"/>
    <s v="2023-03-22"/>
    <n v="31"/>
    <s v="G"/>
    <n v="5.4"/>
    <n v="446.5"/>
    <s v="German"/>
    <s v="Anurag Kashyap"/>
    <s v="Shah Rukh Khan"/>
    <n v="7"/>
    <n v="61"/>
    <n v="250.3"/>
    <s v="Flop"/>
    <s v="Blockbuster"/>
    <s v="Yes"/>
    <s v="Low"/>
    <n v="189.3"/>
    <n v="410.32786885245906"/>
  </r>
  <r>
    <s v="NFX-100241"/>
    <x v="240"/>
    <s v="Movie"/>
    <x v="0"/>
    <n v="2024"/>
    <s v="Australia"/>
    <s v="2018-01-23"/>
    <n v="99"/>
    <s v="G"/>
    <n v="8.1999999999999993"/>
    <n v="569.6"/>
    <s v="Spanish"/>
    <s v="James Cameron"/>
    <s v="Jennifer Lawrence"/>
    <m/>
    <n v="198"/>
    <n v="607.79999999999995"/>
    <s v="Hit"/>
    <s v="Blockbuster"/>
    <s v="Yes"/>
    <s v="High"/>
    <n v="409.79999999999995"/>
    <n v="306.96969696969694"/>
  </r>
  <r>
    <s v="NFX-100242"/>
    <x v="241"/>
    <s v="Movie"/>
    <x v="3"/>
    <n v="2011"/>
    <s v="Germany"/>
    <s v="2024-04-24"/>
    <n v="167"/>
    <s v="18+"/>
    <n v="9.5"/>
    <n v="192.3"/>
    <s v="German"/>
    <s v="Ridley Scott"/>
    <s v="Emma Stone"/>
    <m/>
    <n v="20"/>
    <n v="120.9"/>
    <s v="Hit"/>
    <s v="Normal"/>
    <s v="No"/>
    <s v="Low"/>
    <n v="100.9"/>
    <n v="604.5"/>
  </r>
  <r>
    <s v="NFX-100243"/>
    <x v="242"/>
    <s v="TV Show"/>
    <x v="3"/>
    <n v="2014"/>
    <s v="Canada"/>
    <s v="2020-04-10"/>
    <n v="41"/>
    <s v="PG-13"/>
    <n v="4.8"/>
    <n v="429.9"/>
    <s v="German"/>
    <s v="Christopher Nolan"/>
    <s v="Scarlett Johansson"/>
    <n v="1"/>
    <n v="92"/>
    <n v="254.8"/>
    <s v="Flop"/>
    <s v="Blockbuster"/>
    <s v="No"/>
    <s v="Low"/>
    <n v="162.80000000000001"/>
    <n v="276.95652173913044"/>
  </r>
  <r>
    <s v="NFX-100244"/>
    <x v="243"/>
    <s v="TV Show"/>
    <x v="3"/>
    <n v="2009"/>
    <s v="India"/>
    <s v="2023-11-18"/>
    <n v="39"/>
    <s v="PG-13"/>
    <n v="6.3"/>
    <n v="461.5"/>
    <s v="English"/>
    <s v="Greta Gerwig"/>
    <s v="Tom Hardy"/>
    <n v="3"/>
    <n v="62"/>
    <n v="355.4"/>
    <s v="Average"/>
    <s v="Blockbuster"/>
    <s v="No"/>
    <s v="Low"/>
    <n v="293.39999999999998"/>
    <n v="573.22580645161281"/>
  </r>
  <r>
    <s v="NFX-100245"/>
    <x v="244"/>
    <s v="Movie"/>
    <x v="7"/>
    <n v="2023"/>
    <s v="Spain"/>
    <s v="2023-10-20"/>
    <n v="152"/>
    <s v="16+"/>
    <n v="6.7"/>
    <n v="99.8"/>
    <s v="Spanish"/>
    <s v="Zoya Akhtar"/>
    <s v="Tom Hardy"/>
    <m/>
    <n v="197"/>
    <n v="671.9"/>
    <s v="Average"/>
    <s v="Normal"/>
    <s v="No"/>
    <s v="High"/>
    <n v="474.9"/>
    <n v="341.06598984771574"/>
  </r>
  <r>
    <s v="NFX-100246"/>
    <x v="245"/>
    <s v="TV Show"/>
    <x v="1"/>
    <n v="2017"/>
    <s v="USA"/>
    <s v="2020-07-26"/>
    <n v="51"/>
    <s v="16+"/>
    <n v="7.7"/>
    <n v="262.10000000000002"/>
    <s v="Hindi"/>
    <s v="James Cameron"/>
    <s v="Ryan Gosling"/>
    <n v="5"/>
    <n v="130"/>
    <n v="579.29999999999995"/>
    <s v="Average"/>
    <s v="Popular"/>
    <s v="No"/>
    <s v="High"/>
    <n v="449.29999999999995"/>
    <n v="445.61538461538464"/>
  </r>
  <r>
    <s v="NFX-100247"/>
    <x v="246"/>
    <s v="Movie"/>
    <x v="1"/>
    <n v="2022"/>
    <s v="Japan"/>
    <s v="2024-02-16"/>
    <n v="162"/>
    <s v="16+"/>
    <n v="4.9000000000000004"/>
    <n v="41.9"/>
    <s v="Spanish"/>
    <s v="Martin Scorsese"/>
    <s v="Ranbir Kapoor"/>
    <m/>
    <n v="192"/>
    <n v="906"/>
    <s v="Flop"/>
    <s v="Normal"/>
    <s v="No"/>
    <s v="High"/>
    <n v="714"/>
    <n v="471.875"/>
  </r>
  <r>
    <s v="NFX-100248"/>
    <x v="247"/>
    <s v="TV Show"/>
    <x v="2"/>
    <n v="2025"/>
    <s v="Germany"/>
    <s v="2018-04-14"/>
    <n v="36"/>
    <s v="16+"/>
    <n v="9.1"/>
    <n v="328.5"/>
    <s v="Korean"/>
    <s v="Martin Scorsese"/>
    <s v="Jennifer Lawrence"/>
    <n v="8"/>
    <n v="136"/>
    <n v="556.4"/>
    <s v="Hit"/>
    <s v="Popular"/>
    <s v="No"/>
    <s v="High"/>
    <n v="420.4"/>
    <n v="409.11764705882348"/>
  </r>
  <r>
    <s v="NFX-100249"/>
    <x v="248"/>
    <s v="TV Show"/>
    <x v="1"/>
    <n v="2013"/>
    <s v="Canada"/>
    <s v="2020-02-23"/>
    <n v="55"/>
    <s v="16+"/>
    <n v="7.6"/>
    <n v="479.2"/>
    <s v="Japanese"/>
    <s v="Park Chan-wook"/>
    <s v="Lee Jung-jae"/>
    <n v="4"/>
    <n v="158"/>
    <n v="979.9"/>
    <s v="Average"/>
    <s v="Blockbuster"/>
    <s v="No"/>
    <s v="High"/>
    <n v="821.9"/>
    <n v="620.18987341772151"/>
  </r>
  <r>
    <s v="NFX-100250"/>
    <x v="249"/>
    <s v="Movie"/>
    <x v="0"/>
    <n v="2021"/>
    <s v="UK"/>
    <s v="2024-01-04"/>
    <n v="120"/>
    <s v="PG"/>
    <n v="9"/>
    <n v="502.8"/>
    <s v="Japanese"/>
    <s v="Greta Gerwig"/>
    <s v="Brad Pitt"/>
    <m/>
    <n v="172"/>
    <n v="1064.4000000000001"/>
    <s v="Hit"/>
    <s v="Blockbuster"/>
    <s v="Yes"/>
    <s v="High"/>
    <n v="892.40000000000009"/>
    <n v="618.83720930232562"/>
  </r>
  <r>
    <s v="NFX-100251"/>
    <x v="250"/>
    <s v="Movie"/>
    <x v="0"/>
    <n v="2019"/>
    <s v="Germany"/>
    <s v="2020-07-14"/>
    <n v="101"/>
    <s v="16+"/>
    <n v="6.7"/>
    <n v="176"/>
    <s v="German"/>
    <s v="Ridley Scott"/>
    <s v="Timothée Chalamet"/>
    <m/>
    <n v="129"/>
    <n v="249.4"/>
    <s v="Average"/>
    <s v="Normal"/>
    <s v="No"/>
    <s v="High"/>
    <n v="120.4"/>
    <n v="193.33333333333334"/>
  </r>
  <r>
    <s v="NFX-100252"/>
    <x v="251"/>
    <s v="Movie"/>
    <x v="6"/>
    <n v="2025"/>
    <s v="Spain"/>
    <s v="2024-07-04"/>
    <n v="171"/>
    <s v="16+"/>
    <n v="9"/>
    <n v="161.69999999999999"/>
    <s v="French"/>
    <s v="Greta Gerwig"/>
    <s v="Timothée Chalamet"/>
    <m/>
    <n v="49"/>
    <n v="164.5"/>
    <s v="Hit"/>
    <s v="Normal"/>
    <s v="No"/>
    <s v="Low"/>
    <n v="115.5"/>
    <n v="335.71428571428572"/>
  </r>
  <r>
    <s v="NFX-100253"/>
    <x v="252"/>
    <s v="TV Show"/>
    <x v="1"/>
    <n v="2008"/>
    <s v="South Korea"/>
    <s v="2019-04-18"/>
    <n v="35"/>
    <s v="G"/>
    <n v="9.1999999999999993"/>
    <n v="469.6"/>
    <s v="French"/>
    <s v="Greta Gerwig"/>
    <s v="Emma Stone"/>
    <n v="7"/>
    <n v="87"/>
    <n v="439.4"/>
    <s v="Hit"/>
    <s v="Blockbuster"/>
    <s v="Yes"/>
    <s v="Low"/>
    <n v="352.4"/>
    <n v="505.05747126436773"/>
  </r>
  <r>
    <s v="NFX-100254"/>
    <x v="253"/>
    <s v="Movie"/>
    <x v="0"/>
    <n v="2011"/>
    <s v="UK"/>
    <s v="2021-05-29"/>
    <n v="160"/>
    <s v="18+"/>
    <n v="9.1999999999999993"/>
    <n v="13.6"/>
    <s v="Japanese"/>
    <s v="James Cameron"/>
    <s v="Tom Hardy"/>
    <m/>
    <n v="133"/>
    <n v="334.9"/>
    <s v="Hit"/>
    <s v="Normal"/>
    <s v="No"/>
    <s v="High"/>
    <n v="201.89999999999998"/>
    <n v="251.80451127819546"/>
  </r>
  <r>
    <s v="NFX-100255"/>
    <x v="254"/>
    <s v="TV Show"/>
    <x v="10"/>
    <n v="2017"/>
    <s v="Canada"/>
    <s v="2020-12-31"/>
    <n v="59"/>
    <s v="18+"/>
    <n v="6.8"/>
    <n v="255.1"/>
    <s v="Korean"/>
    <s v="Greta Gerwig"/>
    <s v="Scarlett Johansson"/>
    <n v="2"/>
    <n v="95"/>
    <n v="473.4"/>
    <s v="Average"/>
    <s v="Popular"/>
    <s v="No"/>
    <s v="Low"/>
    <n v="378.4"/>
    <n v="498.31578947368422"/>
  </r>
  <r>
    <s v="NFX-100256"/>
    <x v="255"/>
    <s v="Movie"/>
    <x v="5"/>
    <n v="2019"/>
    <s v="Spain"/>
    <s v="2018-02-15"/>
    <n v="156"/>
    <s v="16+"/>
    <n v="6.7"/>
    <n v="16"/>
    <s v="Spanish"/>
    <s v="Park Chan-wook"/>
    <s v="Timothée Chalamet"/>
    <m/>
    <n v="81"/>
    <n v="254.2"/>
    <s v="Average"/>
    <s v="Normal"/>
    <s v="No"/>
    <s v="Low"/>
    <n v="173.2"/>
    <n v="313.82716049382714"/>
  </r>
  <r>
    <s v="NFX-100257"/>
    <x v="256"/>
    <s v="Movie"/>
    <x v="7"/>
    <n v="2019"/>
    <s v="Australia"/>
    <s v="2020-10-23"/>
    <n v="155"/>
    <s v="PG"/>
    <n v="7.9"/>
    <n v="201.6"/>
    <s v="French"/>
    <s v="Anurag Kashyap"/>
    <s v="Jennifer Lawrence"/>
    <m/>
    <n v="193"/>
    <n v="859.3"/>
    <s v="Average"/>
    <s v="Popular"/>
    <s v="Yes"/>
    <s v="High"/>
    <n v="666.3"/>
    <n v="445.23316062176167"/>
  </r>
  <r>
    <s v="NFX-100258"/>
    <x v="257"/>
    <s v="TV Show"/>
    <x v="1"/>
    <n v="2015"/>
    <s v="South Korea"/>
    <s v="2021-10-05"/>
    <n v="59"/>
    <s v="G"/>
    <n v="5.9"/>
    <n v="162.9"/>
    <s v="Hindi"/>
    <s v="Ridley Scott"/>
    <s v="Deepika Padukone"/>
    <n v="8"/>
    <n v="171"/>
    <n v="608.29999999999995"/>
    <s v="Flop"/>
    <s v="Normal"/>
    <s v="Yes"/>
    <s v="High"/>
    <n v="437.29999999999995"/>
    <n v="355.73099415204672"/>
  </r>
  <r>
    <s v="NFX-100259"/>
    <x v="258"/>
    <s v="Movie"/>
    <x v="7"/>
    <n v="2011"/>
    <s v="UK"/>
    <s v="2019-12-09"/>
    <n v="114"/>
    <s v="PG"/>
    <n v="8.8000000000000007"/>
    <n v="430.7"/>
    <s v="Hindi"/>
    <s v="Ridley Scott"/>
    <s v="Shah Rukh Khan"/>
    <m/>
    <n v="130"/>
    <n v="763.5"/>
    <s v="Hit"/>
    <s v="Blockbuster"/>
    <s v="Yes"/>
    <s v="High"/>
    <n v="633.5"/>
    <n v="587.30769230769226"/>
  </r>
  <r>
    <s v="NFX-100260"/>
    <x v="259"/>
    <s v="TV Show"/>
    <x v="8"/>
    <n v="2023"/>
    <s v="Australia"/>
    <s v="2018-01-01"/>
    <n v="44"/>
    <s v="PG"/>
    <n v="6.2"/>
    <n v="345.1"/>
    <s v="Spanish"/>
    <s v="James Cameron"/>
    <s v="Jennifer Lawrence"/>
    <n v="7"/>
    <n v="62"/>
    <n v="310.2"/>
    <s v="Average"/>
    <s v="Popular"/>
    <s v="Yes"/>
    <s v="Low"/>
    <n v="248.2"/>
    <n v="500.32258064516128"/>
  </r>
  <r>
    <s v="NFX-100261"/>
    <x v="260"/>
    <s v="Movie"/>
    <x v="1"/>
    <n v="2001"/>
    <s v="India"/>
    <s v="2023-10-08"/>
    <n v="134"/>
    <s v="18+"/>
    <n v="7.3"/>
    <n v="99.4"/>
    <s v="Japanese"/>
    <s v="Park Chan-wook"/>
    <s v="Emma Stone"/>
    <m/>
    <n v="157"/>
    <n v="305.8"/>
    <s v="Average"/>
    <s v="Normal"/>
    <s v="No"/>
    <s v="High"/>
    <n v="148.80000000000001"/>
    <n v="194.77707006369428"/>
  </r>
  <r>
    <s v="NFX-100262"/>
    <x v="261"/>
    <s v="TV Show"/>
    <x v="5"/>
    <n v="2009"/>
    <s v="UK"/>
    <s v="2019-09-28"/>
    <n v="43"/>
    <s v="G"/>
    <n v="8.1999999999999993"/>
    <n v="108.6"/>
    <s v="French"/>
    <s v="Steven Spielberg"/>
    <s v="Shah Rukh Khan"/>
    <n v="8"/>
    <n v="147"/>
    <n v="467.6"/>
    <s v="Hit"/>
    <s v="Normal"/>
    <s v="Yes"/>
    <s v="High"/>
    <n v="320.60000000000002"/>
    <n v="318.09523809523813"/>
  </r>
  <r>
    <s v="NFX-100263"/>
    <x v="262"/>
    <s v="TV Show"/>
    <x v="10"/>
    <n v="2025"/>
    <s v="Spain"/>
    <s v="2022-11-27"/>
    <n v="56"/>
    <s v="PG"/>
    <n v="5.0999999999999996"/>
    <n v="259.3"/>
    <s v="Hindi"/>
    <s v="Steven Spielberg"/>
    <s v="Ranbir Kapoor"/>
    <n v="7"/>
    <n v="198"/>
    <n v="436.3"/>
    <s v="Flop"/>
    <s v="Popular"/>
    <s v="Yes"/>
    <s v="High"/>
    <n v="238.3"/>
    <n v="220.35353535353534"/>
  </r>
  <r>
    <s v="NFX-100264"/>
    <x v="263"/>
    <s v="TV Show"/>
    <x v="3"/>
    <n v="2003"/>
    <s v="UK"/>
    <s v="2019-08-06"/>
    <n v="39"/>
    <s v="16+"/>
    <n v="6.1"/>
    <n v="105.1"/>
    <s v="French"/>
    <s v="Greta Gerwig"/>
    <s v="Lee Jung-jae"/>
    <n v="6"/>
    <n v="40"/>
    <n v="86.2"/>
    <s v="Average"/>
    <s v="Normal"/>
    <s v="No"/>
    <s v="Low"/>
    <n v="46.2"/>
    <n v="215.50000000000003"/>
  </r>
  <r>
    <s v="NFX-100265"/>
    <x v="264"/>
    <s v="TV Show"/>
    <x v="0"/>
    <n v="2006"/>
    <s v="India"/>
    <s v="2024-10-12"/>
    <n v="40"/>
    <s v="16+"/>
    <n v="8.4"/>
    <n v="485.1"/>
    <s v="Korean"/>
    <s v="Ridley Scott"/>
    <s v="Timothée Chalamet"/>
    <n v="3"/>
    <n v="38"/>
    <n v="84.5"/>
    <s v="Hit"/>
    <s v="Blockbuster"/>
    <s v="No"/>
    <s v="Low"/>
    <n v="46.5"/>
    <n v="222.36842105263159"/>
  </r>
  <r>
    <s v="NFX-100266"/>
    <x v="265"/>
    <s v="TV Show"/>
    <x v="7"/>
    <n v="2025"/>
    <s v="South Korea"/>
    <s v="2021-11-01"/>
    <n v="51"/>
    <s v="PG-13"/>
    <n v="6"/>
    <n v="559.79999999999995"/>
    <s v="Hindi"/>
    <s v="Steven Spielberg"/>
    <s v="Jennifer Lawrence"/>
    <n v="7"/>
    <n v="105"/>
    <n v="310.8"/>
    <s v="Average"/>
    <s v="Blockbuster"/>
    <s v="No"/>
    <s v="High"/>
    <n v="205.8"/>
    <n v="296"/>
  </r>
  <r>
    <s v="NFX-100267"/>
    <x v="266"/>
    <s v="Movie"/>
    <x v="2"/>
    <n v="2023"/>
    <s v="USA"/>
    <s v="2021-10-02"/>
    <n v="82"/>
    <s v="18+"/>
    <n v="8.9"/>
    <n v="187"/>
    <s v="Spanish"/>
    <s v="Steven Spielberg"/>
    <s v="Chris Evans"/>
    <m/>
    <n v="174"/>
    <n v="426.7"/>
    <s v="Hit"/>
    <s v="Normal"/>
    <s v="No"/>
    <s v="High"/>
    <n v="252.7"/>
    <n v="245.22988505747128"/>
  </r>
  <r>
    <s v="NFX-100268"/>
    <x v="267"/>
    <s v="TV Show"/>
    <x v="1"/>
    <n v="2002"/>
    <s v="South Korea"/>
    <s v="2024-03-07"/>
    <n v="43"/>
    <s v="18+"/>
    <n v="4.9000000000000004"/>
    <n v="210"/>
    <s v="French"/>
    <s v="Anurag Kashyap"/>
    <s v="Ranbir Kapoor"/>
    <n v="7"/>
    <n v="146"/>
    <n v="948.2"/>
    <s v="Flop"/>
    <s v="Popular"/>
    <s v="No"/>
    <s v="High"/>
    <n v="802.2"/>
    <n v="649.45205479452056"/>
  </r>
  <r>
    <s v="NFX-100269"/>
    <x v="268"/>
    <s v="TV Show"/>
    <x v="1"/>
    <n v="2014"/>
    <s v="France"/>
    <s v="2021-05-10"/>
    <n v="42"/>
    <s v="PG"/>
    <n v="7.7"/>
    <n v="255.3"/>
    <s v="Hindi"/>
    <s v="Anurag Kashyap"/>
    <s v="Leonardo DiCaprio"/>
    <n v="7"/>
    <n v="135"/>
    <n v="664.5"/>
    <s v="Average"/>
    <s v="Popular"/>
    <s v="Yes"/>
    <s v="High"/>
    <n v="529.5"/>
    <n v="492.22222222222223"/>
  </r>
  <r>
    <s v="NFX-100270"/>
    <x v="269"/>
    <s v="Movie"/>
    <x v="1"/>
    <n v="2017"/>
    <s v="Germany"/>
    <s v="2019-05-01"/>
    <n v="145"/>
    <s v="PG-13"/>
    <n v="5.9"/>
    <n v="74.900000000000006"/>
    <s v="Korean"/>
    <s v="James Cameron"/>
    <s v="Shah Rukh Khan"/>
    <m/>
    <n v="78"/>
    <n v="113.9"/>
    <s v="Flop"/>
    <s v="Normal"/>
    <s v="No"/>
    <s v="Low"/>
    <n v="35.900000000000006"/>
    <n v="146.02564102564105"/>
  </r>
  <r>
    <s v="NFX-100271"/>
    <x v="270"/>
    <s v="TV Show"/>
    <x v="9"/>
    <n v="2011"/>
    <s v="Japan"/>
    <s v="2019-06-16"/>
    <n v="38"/>
    <s v="18+"/>
    <n v="9.1999999999999993"/>
    <n v="315.3"/>
    <s v="English"/>
    <s v="Ridley Scott"/>
    <s v="Brad Pitt"/>
    <n v="3"/>
    <n v="97"/>
    <n v="266.7"/>
    <s v="Hit"/>
    <s v="Popular"/>
    <s v="No"/>
    <s v="Low"/>
    <n v="169.7"/>
    <n v="274.94845360824741"/>
  </r>
  <r>
    <s v="NFX-100272"/>
    <x v="271"/>
    <s v="TV Show"/>
    <x v="3"/>
    <n v="2003"/>
    <s v="India"/>
    <s v="2018-09-13"/>
    <n v="60"/>
    <s v="PG-13"/>
    <n v="6.8"/>
    <n v="507.2"/>
    <s v="Hindi"/>
    <s v="Christopher Nolan"/>
    <s v="Brad Pitt"/>
    <n v="3"/>
    <n v="67"/>
    <n v="123.5"/>
    <s v="Average"/>
    <s v="Blockbuster"/>
    <s v="No"/>
    <s v="Low"/>
    <n v="56.5"/>
    <n v="184.32835820895522"/>
  </r>
  <r>
    <s v="NFX-100273"/>
    <x v="272"/>
    <s v="Movie"/>
    <x v="9"/>
    <n v="2005"/>
    <s v="Australia"/>
    <s v="2021-12-16"/>
    <n v="166"/>
    <s v="18+"/>
    <n v="5.6"/>
    <n v="27"/>
    <s v="English"/>
    <s v="Steven Spielberg"/>
    <s v="Scarlett Johansson"/>
    <m/>
    <n v="31"/>
    <n v="159"/>
    <s v="Flop"/>
    <s v="Normal"/>
    <s v="No"/>
    <s v="Low"/>
    <n v="128"/>
    <n v="512.90322580645159"/>
  </r>
  <r>
    <s v="NFX-100274"/>
    <x v="273"/>
    <s v="Movie"/>
    <x v="1"/>
    <n v="2015"/>
    <s v="Japan"/>
    <s v="2023-03-31"/>
    <n v="176"/>
    <s v="18+"/>
    <n v="6.7"/>
    <n v="359.4"/>
    <s v="English"/>
    <s v="Denis Villeneuve"/>
    <s v="Tom Hardy"/>
    <m/>
    <n v="169"/>
    <n v="800.5"/>
    <s v="Average"/>
    <s v="Popular"/>
    <s v="No"/>
    <s v="High"/>
    <n v="631.5"/>
    <n v="473.66863905325448"/>
  </r>
  <r>
    <s v="NFX-100275"/>
    <x v="274"/>
    <s v="TV Show"/>
    <x v="0"/>
    <n v="2015"/>
    <s v="Australia"/>
    <s v="2020-01-30"/>
    <n v="40"/>
    <s v="G"/>
    <n v="4.8"/>
    <n v="593.5"/>
    <s v="Japanese"/>
    <s v="Ridley Scott"/>
    <s v="Scarlett Johansson"/>
    <n v="2"/>
    <n v="109"/>
    <n v="456.3"/>
    <s v="Flop"/>
    <s v="Blockbuster"/>
    <s v="Yes"/>
    <s v="High"/>
    <n v="347.3"/>
    <n v="418.62385321100913"/>
  </r>
  <r>
    <s v="NFX-100276"/>
    <x v="275"/>
    <s v="Movie"/>
    <x v="0"/>
    <n v="2015"/>
    <s v="Spain"/>
    <s v="2019-01-11"/>
    <n v="128"/>
    <s v="G"/>
    <n v="9.4"/>
    <n v="347"/>
    <s v="Korean"/>
    <s v="Rajkumar Hirani"/>
    <s v="Jennifer Lawrence"/>
    <m/>
    <n v="46"/>
    <n v="201"/>
    <s v="Hit"/>
    <s v="Popular"/>
    <s v="Yes"/>
    <s v="Low"/>
    <n v="155"/>
    <n v="436.95652173913049"/>
  </r>
  <r>
    <s v="NFX-100277"/>
    <x v="276"/>
    <s v="Movie"/>
    <x v="10"/>
    <n v="2023"/>
    <s v="Germany"/>
    <s v="2020-02-20"/>
    <n v="87"/>
    <s v="PG"/>
    <n v="9.4"/>
    <n v="179.2"/>
    <s v="French"/>
    <s v="Anurag Kashyap"/>
    <s v="Shah Rukh Khan"/>
    <m/>
    <n v="147"/>
    <n v="638.29999999999995"/>
    <s v="Hit"/>
    <s v="Normal"/>
    <s v="Yes"/>
    <s v="High"/>
    <n v="491.29999999999995"/>
    <n v="434.21768707482988"/>
  </r>
  <r>
    <s v="NFX-100278"/>
    <x v="277"/>
    <s v="Movie"/>
    <x v="7"/>
    <n v="2003"/>
    <s v="Canada"/>
    <s v="2021-08-16"/>
    <n v="136"/>
    <s v="18+"/>
    <n v="5.7"/>
    <n v="299.89999999999998"/>
    <s v="English"/>
    <s v="Martin Scorsese"/>
    <s v="Jennifer Lawrence"/>
    <m/>
    <n v="5"/>
    <n v="30.5"/>
    <s v="Flop"/>
    <s v="Popular"/>
    <s v="No"/>
    <s v="Low"/>
    <n v="25.5"/>
    <n v="610"/>
  </r>
  <r>
    <s v="NFX-100279"/>
    <x v="278"/>
    <s v="Movie"/>
    <x v="6"/>
    <n v="2020"/>
    <s v="Spain"/>
    <s v="2021-12-03"/>
    <n v="88"/>
    <s v="PG-13"/>
    <n v="7.1"/>
    <n v="35.5"/>
    <s v="German"/>
    <s v="Greta Gerwig"/>
    <s v="Emma Stone"/>
    <m/>
    <n v="95"/>
    <n v="295"/>
    <s v="Average"/>
    <s v="Normal"/>
    <s v="No"/>
    <s v="Low"/>
    <n v="200"/>
    <n v="310.5263157894737"/>
  </r>
  <r>
    <s v="NFX-100280"/>
    <x v="279"/>
    <s v="TV Show"/>
    <x v="8"/>
    <n v="2018"/>
    <s v="France"/>
    <s v="2022-08-16"/>
    <n v="33"/>
    <s v="G"/>
    <n v="7.7"/>
    <n v="465.1"/>
    <s v="Hindi"/>
    <s v="Christopher Nolan"/>
    <s v="Ryan Gosling"/>
    <n v="7"/>
    <n v="93"/>
    <n v="127.8"/>
    <s v="Average"/>
    <s v="Blockbuster"/>
    <s v="Yes"/>
    <s v="Low"/>
    <n v="34.799999999999997"/>
    <n v="137.41935483870969"/>
  </r>
  <r>
    <s v="NFX-100281"/>
    <x v="280"/>
    <s v="TV Show"/>
    <x v="5"/>
    <n v="2024"/>
    <s v="Canada"/>
    <s v="2021-03-19"/>
    <n v="31"/>
    <s v="PG-13"/>
    <n v="9.4"/>
    <n v="55.8"/>
    <s v="Spanish"/>
    <s v="Ridley Scott"/>
    <s v="Timothée Chalamet"/>
    <n v="8"/>
    <n v="6"/>
    <n v="24.3"/>
    <s v="Hit"/>
    <s v="Normal"/>
    <s v="No"/>
    <s v="Low"/>
    <n v="18.3"/>
    <n v="405"/>
  </r>
  <r>
    <s v="NFX-100282"/>
    <x v="281"/>
    <s v="TV Show"/>
    <x v="10"/>
    <n v="2003"/>
    <s v="France"/>
    <s v="2019-08-23"/>
    <n v="53"/>
    <s v="G"/>
    <n v="8.6"/>
    <n v="373.3"/>
    <s v="German"/>
    <s v="Sanjay Leela Bhansali"/>
    <s v="Deepika Padukone"/>
    <n v="3"/>
    <n v="22"/>
    <n v="124.8"/>
    <s v="Hit"/>
    <s v="Popular"/>
    <s v="Yes"/>
    <s v="Low"/>
    <n v="102.8"/>
    <n v="567.27272727272725"/>
  </r>
  <r>
    <s v="NFX-100283"/>
    <x v="282"/>
    <s v="TV Show"/>
    <x v="1"/>
    <n v="2006"/>
    <s v="Canada"/>
    <s v="2024-07-14"/>
    <n v="45"/>
    <s v="16+"/>
    <n v="8.6999999999999993"/>
    <n v="377.4"/>
    <s v="Spanish"/>
    <s v="Christopher Nolan"/>
    <s v="Shah Rukh Khan"/>
    <n v="1"/>
    <n v="111"/>
    <n v="139.1"/>
    <s v="Hit"/>
    <s v="Popular"/>
    <s v="No"/>
    <s v="High"/>
    <n v="28.099999999999994"/>
    <n v="125.3153153153153"/>
  </r>
  <r>
    <s v="NFX-100284"/>
    <x v="283"/>
    <s v="TV Show"/>
    <x v="5"/>
    <n v="2003"/>
    <s v="USA"/>
    <s v="2018-10-10"/>
    <n v="36"/>
    <s v="G"/>
    <n v="8.6999999999999993"/>
    <n v="506.8"/>
    <s v="English"/>
    <s v="Steven Spielberg"/>
    <s v="Leonardo DiCaprio"/>
    <n v="3"/>
    <n v="92"/>
    <n v="135.6"/>
    <s v="Hit"/>
    <s v="Blockbuster"/>
    <s v="Yes"/>
    <s v="Low"/>
    <n v="43.599999999999994"/>
    <n v="147.39130434782609"/>
  </r>
  <r>
    <s v="NFX-100285"/>
    <x v="284"/>
    <s v="TV Show"/>
    <x v="5"/>
    <n v="2016"/>
    <s v="USA"/>
    <s v="2023-02-02"/>
    <n v="40"/>
    <s v="16+"/>
    <n v="4.9000000000000004"/>
    <n v="558.20000000000005"/>
    <s v="English"/>
    <s v="Anurag Kashyap"/>
    <s v="Scarlett Johansson"/>
    <n v="5"/>
    <n v="138"/>
    <n v="385"/>
    <s v="Flop"/>
    <s v="Blockbuster"/>
    <s v="No"/>
    <s v="High"/>
    <n v="247"/>
    <n v="278.98550724637681"/>
  </r>
  <r>
    <s v="NFX-100286"/>
    <x v="285"/>
    <s v="Movie"/>
    <x v="6"/>
    <n v="2009"/>
    <s v="India"/>
    <s v="2019-06-02"/>
    <n v="95"/>
    <s v="16+"/>
    <n v="7.1"/>
    <n v="400.1"/>
    <s v="Korean"/>
    <s v="Bong Joon-ho"/>
    <s v="Ryan Gosling"/>
    <m/>
    <n v="96"/>
    <n v="438.2"/>
    <s v="Average"/>
    <s v="Blockbuster"/>
    <s v="No"/>
    <s v="Low"/>
    <n v="342.2"/>
    <n v="456.45833333333331"/>
  </r>
  <r>
    <s v="NFX-100287"/>
    <x v="286"/>
    <s v="TV Show"/>
    <x v="0"/>
    <n v="2021"/>
    <s v="Japan"/>
    <s v="2023-01-28"/>
    <n v="55"/>
    <s v="18+"/>
    <n v="4.7"/>
    <n v="556.29999999999995"/>
    <s v="Japanese"/>
    <s v="Zoya Akhtar"/>
    <s v="Jennifer Lawrence"/>
    <n v="7"/>
    <n v="73"/>
    <n v="375.3"/>
    <s v="Flop"/>
    <s v="Blockbuster"/>
    <s v="No"/>
    <s v="Low"/>
    <n v="302.3"/>
    <n v="514.10958904109589"/>
  </r>
  <r>
    <s v="NFX-100288"/>
    <x v="287"/>
    <s v="TV Show"/>
    <x v="3"/>
    <n v="2013"/>
    <s v="Canada"/>
    <s v="2021-06-12"/>
    <n v="46"/>
    <s v="PG-13"/>
    <n v="5"/>
    <n v="241.4"/>
    <s v="Hindi"/>
    <s v="Ridley Scott"/>
    <s v="Ryan Gosling"/>
    <n v="3"/>
    <n v="58"/>
    <n v="265.5"/>
    <s v="Flop"/>
    <s v="Popular"/>
    <s v="No"/>
    <s v="Low"/>
    <n v="207.5"/>
    <n v="457.75862068965517"/>
  </r>
  <r>
    <s v="NFX-100289"/>
    <x v="288"/>
    <s v="Movie"/>
    <x v="8"/>
    <n v="2009"/>
    <s v="France"/>
    <s v="2021-01-18"/>
    <n v="103"/>
    <s v="16+"/>
    <n v="6"/>
    <n v="577.20000000000005"/>
    <s v="French"/>
    <s v="Ridley Scott"/>
    <s v="Deepika Padukone"/>
    <m/>
    <n v="189"/>
    <n v="467.9"/>
    <s v="Average"/>
    <s v="Blockbuster"/>
    <s v="No"/>
    <s v="High"/>
    <n v="278.89999999999998"/>
    <n v="247.56613756613754"/>
  </r>
  <r>
    <s v="NFX-100290"/>
    <x v="289"/>
    <s v="Movie"/>
    <x v="4"/>
    <n v="2011"/>
    <s v="Japan"/>
    <s v="2023-05-06"/>
    <n v="166"/>
    <s v="PG"/>
    <n v="8.3000000000000007"/>
    <n v="509.2"/>
    <s v="English"/>
    <s v="Steven Spielberg"/>
    <s v="Ryan Gosling"/>
    <m/>
    <n v="112"/>
    <n v="274.10000000000002"/>
    <s v="Hit"/>
    <s v="Blockbuster"/>
    <s v="Yes"/>
    <s v="High"/>
    <n v="162.10000000000002"/>
    <n v="244.73214285714286"/>
  </r>
  <r>
    <s v="NFX-100291"/>
    <x v="290"/>
    <s v="TV Show"/>
    <x v="4"/>
    <n v="2019"/>
    <s v="South Korea"/>
    <s v="2024-04-12"/>
    <n v="46"/>
    <s v="PG-13"/>
    <n v="8.9"/>
    <n v="52"/>
    <s v="Hindi"/>
    <s v="James Cameron"/>
    <s v="Emma Stone"/>
    <n v="3"/>
    <n v="128"/>
    <n v="332.4"/>
    <s v="Hit"/>
    <s v="Normal"/>
    <s v="No"/>
    <s v="High"/>
    <n v="204.39999999999998"/>
    <n v="259.6875"/>
  </r>
  <r>
    <s v="NFX-100292"/>
    <x v="291"/>
    <s v="TV Show"/>
    <x v="4"/>
    <n v="2008"/>
    <s v="Australia"/>
    <s v="2018-03-10"/>
    <n v="58"/>
    <s v="G"/>
    <n v="6.4"/>
    <n v="3.4"/>
    <s v="French"/>
    <s v="James Cameron"/>
    <s v="Ryan Gosling"/>
    <n v="1"/>
    <n v="111"/>
    <n v="491.8"/>
    <s v="Average"/>
    <s v="Normal"/>
    <s v="Yes"/>
    <s v="High"/>
    <n v="380.8"/>
    <n v="443.06306306306311"/>
  </r>
  <r>
    <s v="NFX-100293"/>
    <x v="292"/>
    <s v="TV Show"/>
    <x v="5"/>
    <n v="2002"/>
    <s v="South Korea"/>
    <s v="2018-11-19"/>
    <n v="49"/>
    <s v="16+"/>
    <n v="5.6"/>
    <n v="212.1"/>
    <s v="English"/>
    <s v="Rajkumar Hirani"/>
    <s v="Jennifer Lawrence"/>
    <n v="6"/>
    <n v="34"/>
    <n v="158"/>
    <s v="Flop"/>
    <s v="Popular"/>
    <s v="No"/>
    <s v="Low"/>
    <n v="124"/>
    <n v="464.70588235294122"/>
  </r>
  <r>
    <s v="NFX-100294"/>
    <x v="293"/>
    <s v="Movie"/>
    <x v="2"/>
    <n v="2024"/>
    <s v="Germany"/>
    <s v="2024-08-19"/>
    <n v="170"/>
    <s v="PG"/>
    <n v="6.3"/>
    <n v="487.3"/>
    <s v="Japanese"/>
    <s v="Rajkumar Hirani"/>
    <s v="Chris Evans"/>
    <m/>
    <n v="165"/>
    <n v="410.4"/>
    <s v="Average"/>
    <s v="Blockbuster"/>
    <s v="Yes"/>
    <s v="High"/>
    <n v="245.39999999999998"/>
    <n v="248.72727272727272"/>
  </r>
  <r>
    <s v="NFX-100295"/>
    <x v="294"/>
    <s v="TV Show"/>
    <x v="7"/>
    <n v="2012"/>
    <s v="South Korea"/>
    <s v="2019-07-08"/>
    <n v="58"/>
    <s v="PG-13"/>
    <n v="6.3"/>
    <n v="299"/>
    <s v="Spanish"/>
    <s v="Steven Spielberg"/>
    <s v="Tom Hardy"/>
    <n v="5"/>
    <n v="58"/>
    <n v="374"/>
    <s v="Average"/>
    <s v="Popular"/>
    <s v="No"/>
    <s v="Low"/>
    <n v="316"/>
    <n v="644.82758620689651"/>
  </r>
  <r>
    <s v="NFX-100296"/>
    <x v="295"/>
    <s v="Movie"/>
    <x v="6"/>
    <n v="2021"/>
    <s v="India"/>
    <s v="2024-10-28"/>
    <n v="134"/>
    <s v="PG-13"/>
    <n v="8.6999999999999993"/>
    <n v="20.6"/>
    <s v="English"/>
    <s v="Ridley Scott"/>
    <s v="Emma Stone"/>
    <m/>
    <n v="89"/>
    <n v="280.60000000000002"/>
    <s v="Hit"/>
    <s v="Normal"/>
    <s v="No"/>
    <s v="Low"/>
    <n v="191.60000000000002"/>
    <n v="315.28089887640454"/>
  </r>
  <r>
    <s v="NFX-100297"/>
    <x v="296"/>
    <s v="TV Show"/>
    <x v="6"/>
    <n v="2009"/>
    <s v="Spain"/>
    <s v="2022-06-25"/>
    <n v="52"/>
    <s v="16+"/>
    <n v="9"/>
    <n v="361"/>
    <s v="French"/>
    <s v="Steven Spielberg"/>
    <s v="Jennifer Lawrence"/>
    <n v="2"/>
    <n v="10"/>
    <n v="50.6"/>
    <s v="Hit"/>
    <s v="Popular"/>
    <s v="No"/>
    <s v="Low"/>
    <n v="40.6"/>
    <n v="506.00000000000006"/>
  </r>
  <r>
    <s v="NFX-100298"/>
    <x v="297"/>
    <s v="TV Show"/>
    <x v="7"/>
    <n v="2019"/>
    <s v="USA"/>
    <s v="2021-12-26"/>
    <n v="30"/>
    <s v="16+"/>
    <n v="8"/>
    <n v="291.89999999999998"/>
    <s v="French"/>
    <s v="Quentin Tarantino"/>
    <s v="Timothée Chalamet"/>
    <n v="7"/>
    <n v="175"/>
    <n v="1012.4"/>
    <s v="Hit"/>
    <s v="Popular"/>
    <s v="No"/>
    <s v="High"/>
    <n v="837.4"/>
    <n v="578.51428571428562"/>
  </r>
  <r>
    <s v="NFX-100299"/>
    <x v="298"/>
    <s v="Movie"/>
    <x v="7"/>
    <n v="2017"/>
    <s v="USA"/>
    <s v="2018-06-25"/>
    <n v="115"/>
    <s v="16+"/>
    <n v="4.9000000000000004"/>
    <n v="27.7"/>
    <s v="English"/>
    <s v="Sanjay Leela Bhansali"/>
    <s v="Tom Hardy"/>
    <m/>
    <n v="41"/>
    <n v="106.2"/>
    <s v="Flop"/>
    <s v="Normal"/>
    <s v="No"/>
    <s v="Low"/>
    <n v="65.2"/>
    <n v="259.02439024390247"/>
  </r>
  <r>
    <s v="NFX-100300"/>
    <x v="299"/>
    <s v="TV Show"/>
    <x v="0"/>
    <n v="2016"/>
    <s v="France"/>
    <s v="2023-11-29"/>
    <n v="36"/>
    <s v="PG"/>
    <n v="4.7"/>
    <n v="414.3"/>
    <s v="English"/>
    <s v="Anurag Kashyap"/>
    <s v="Lee Jung-jae"/>
    <n v="6"/>
    <n v="112"/>
    <n v="212.6"/>
    <s v="Flop"/>
    <s v="Blockbuster"/>
    <s v="Yes"/>
    <s v="High"/>
    <n v="100.6"/>
    <n v="189.82142857142856"/>
  </r>
  <r>
    <s v="NFX-100301"/>
    <x v="300"/>
    <s v="Movie"/>
    <x v="9"/>
    <n v="2014"/>
    <s v="Germany"/>
    <s v="2024-01-14"/>
    <n v="176"/>
    <s v="PG-13"/>
    <n v="8.8000000000000007"/>
    <n v="562.6"/>
    <s v="Japanese"/>
    <s v="Quentin Tarantino"/>
    <s v="Ranbir Kapoor"/>
    <m/>
    <n v="167"/>
    <n v="1033.3"/>
    <s v="Hit"/>
    <s v="Blockbuster"/>
    <s v="No"/>
    <s v="High"/>
    <n v="866.3"/>
    <n v="618.74251497005991"/>
  </r>
  <r>
    <s v="NFX-100302"/>
    <x v="301"/>
    <s v="Movie"/>
    <x v="5"/>
    <n v="2014"/>
    <s v="USA"/>
    <s v="2018-02-26"/>
    <n v="158"/>
    <s v="18+"/>
    <n v="8.1"/>
    <n v="8.6"/>
    <s v="Spanish"/>
    <s v="Park Chan-wook"/>
    <s v="Emma Stone"/>
    <m/>
    <n v="149"/>
    <n v="876.4"/>
    <s v="Hit"/>
    <s v="Normal"/>
    <s v="No"/>
    <s v="High"/>
    <n v="727.4"/>
    <n v="588.18791946308716"/>
  </r>
  <r>
    <s v="NFX-100303"/>
    <x v="302"/>
    <s v="TV Show"/>
    <x v="10"/>
    <n v="2016"/>
    <s v="India"/>
    <s v="2020-11-25"/>
    <n v="49"/>
    <s v="PG-13"/>
    <n v="6.5"/>
    <n v="424.5"/>
    <s v="Korean"/>
    <s v="Greta Gerwig"/>
    <s v="Tom Hardy"/>
    <n v="5"/>
    <n v="19"/>
    <n v="26.3"/>
    <s v="Average"/>
    <s v="Blockbuster"/>
    <s v="No"/>
    <s v="Low"/>
    <n v="7.3000000000000007"/>
    <n v="138.42105263157896"/>
  </r>
  <r>
    <s v="NFX-100304"/>
    <x v="303"/>
    <s v="TV Show"/>
    <x v="4"/>
    <n v="2021"/>
    <s v="France"/>
    <s v="2019-12-27"/>
    <n v="49"/>
    <s v="PG-13"/>
    <n v="8.1"/>
    <n v="285.89999999999998"/>
    <s v="French"/>
    <s v="Christopher Nolan"/>
    <s v="Ranbir Kapoor"/>
    <n v="3"/>
    <n v="15"/>
    <n v="28"/>
    <s v="Hit"/>
    <s v="Popular"/>
    <s v="No"/>
    <s v="Low"/>
    <n v="13"/>
    <n v="186.66666666666666"/>
  </r>
  <r>
    <s v="NFX-100305"/>
    <x v="304"/>
    <s v="Movie"/>
    <x v="9"/>
    <n v="2011"/>
    <s v="UK"/>
    <s v="2023-02-25"/>
    <n v="100"/>
    <s v="18+"/>
    <n v="7.4"/>
    <n v="175.6"/>
    <s v="Hindi"/>
    <s v="Bong Joon-ho"/>
    <s v="Tom Hardy"/>
    <m/>
    <n v="198"/>
    <n v="698.1"/>
    <s v="Average"/>
    <s v="Normal"/>
    <s v="No"/>
    <s v="High"/>
    <n v="500.1"/>
    <n v="352.57575757575756"/>
  </r>
  <r>
    <s v="NFX-100306"/>
    <x v="305"/>
    <s v="Movie"/>
    <x v="9"/>
    <n v="2007"/>
    <s v="Spain"/>
    <s v="2018-11-12"/>
    <n v="144"/>
    <s v="PG"/>
    <n v="6.3"/>
    <n v="21.2"/>
    <s v="Hindi"/>
    <s v="Quentin Tarantino"/>
    <s v="Chris Evans"/>
    <m/>
    <n v="21"/>
    <n v="90.1"/>
    <s v="Average"/>
    <s v="Normal"/>
    <s v="Yes"/>
    <s v="Low"/>
    <n v="69.099999999999994"/>
    <n v="429.04761904761904"/>
  </r>
  <r>
    <s v="NFX-100307"/>
    <x v="306"/>
    <s v="Movie"/>
    <x v="4"/>
    <n v="2004"/>
    <s v="USA"/>
    <s v="2018-10-22"/>
    <n v="98"/>
    <s v="G"/>
    <n v="8.8000000000000007"/>
    <n v="169.4"/>
    <s v="German"/>
    <s v="Ridley Scott"/>
    <s v="Chris Evans"/>
    <m/>
    <n v="123"/>
    <n v="650.9"/>
    <s v="Hit"/>
    <s v="Normal"/>
    <s v="Yes"/>
    <s v="High"/>
    <n v="527.9"/>
    <n v="529.18699186991876"/>
  </r>
  <r>
    <s v="NFX-100308"/>
    <x v="307"/>
    <s v="TV Show"/>
    <x v="1"/>
    <n v="2008"/>
    <s v="USA"/>
    <s v="2022-09-26"/>
    <n v="57"/>
    <s v="PG"/>
    <n v="5.7"/>
    <n v="157.4"/>
    <s v="French"/>
    <s v="Denis Villeneuve"/>
    <s v="Ryan Gosling"/>
    <n v="5"/>
    <n v="88"/>
    <n v="140.9"/>
    <s v="Flop"/>
    <s v="Normal"/>
    <s v="Yes"/>
    <s v="Low"/>
    <n v="52.900000000000006"/>
    <n v="160.11363636363637"/>
  </r>
  <r>
    <s v="NFX-100309"/>
    <x v="308"/>
    <s v="TV Show"/>
    <x v="6"/>
    <n v="2023"/>
    <s v="France"/>
    <s v="2020-12-24"/>
    <n v="54"/>
    <s v="G"/>
    <n v="6.2"/>
    <n v="117.8"/>
    <s v="English"/>
    <s v="Park Chan-wook"/>
    <s v="Emma Stone"/>
    <n v="5"/>
    <n v="177"/>
    <n v="545.4"/>
    <s v="Average"/>
    <s v="Normal"/>
    <s v="Yes"/>
    <s v="High"/>
    <n v="368.4"/>
    <n v="308.13559322033899"/>
  </r>
  <r>
    <s v="NFX-100310"/>
    <x v="309"/>
    <s v="TV Show"/>
    <x v="10"/>
    <n v="2000"/>
    <s v="South Korea"/>
    <s v="2018-03-24"/>
    <n v="52"/>
    <s v="18+"/>
    <n v="6.5"/>
    <n v="114.1"/>
    <s v="English"/>
    <s v="Quentin Tarantino"/>
    <s v="Leonardo DiCaprio"/>
    <n v="5"/>
    <n v="88"/>
    <n v="112.6"/>
    <s v="Average"/>
    <s v="Normal"/>
    <s v="No"/>
    <s v="Low"/>
    <n v="24.599999999999994"/>
    <n v="127.95454545454545"/>
  </r>
  <r>
    <s v="NFX-100311"/>
    <x v="310"/>
    <s v="TV Show"/>
    <x v="0"/>
    <n v="2009"/>
    <s v="Australia"/>
    <s v="2020-12-03"/>
    <n v="59"/>
    <s v="G"/>
    <n v="5"/>
    <n v="344.5"/>
    <s v="German"/>
    <s v="Greta Gerwig"/>
    <s v="Chris Evans"/>
    <n v="7"/>
    <n v="97"/>
    <n v="175.6"/>
    <s v="Flop"/>
    <s v="Popular"/>
    <s v="Yes"/>
    <s v="Low"/>
    <n v="78.599999999999994"/>
    <n v="181.03092783505156"/>
  </r>
  <r>
    <s v="NFX-100312"/>
    <x v="311"/>
    <s v="TV Show"/>
    <x v="8"/>
    <n v="2021"/>
    <s v="Germany"/>
    <s v="2020-10-13"/>
    <n v="50"/>
    <s v="G"/>
    <n v="7.8"/>
    <n v="89.7"/>
    <s v="German"/>
    <s v="James Cameron"/>
    <s v="Lee Jung-jae"/>
    <n v="1"/>
    <n v="53"/>
    <n v="70.7"/>
    <s v="Average"/>
    <s v="Normal"/>
    <s v="Yes"/>
    <s v="Low"/>
    <n v="17.700000000000003"/>
    <n v="133.39622641509433"/>
  </r>
  <r>
    <s v="NFX-100313"/>
    <x v="312"/>
    <s v="Movie"/>
    <x v="4"/>
    <n v="2004"/>
    <s v="Spain"/>
    <s v="2023-03-19"/>
    <n v="126"/>
    <s v="PG-13"/>
    <n v="6.9"/>
    <n v="513.79999999999995"/>
    <s v="English"/>
    <s v="Steven Spielberg"/>
    <s v="Scarlett Johansson"/>
    <m/>
    <n v="167"/>
    <n v="482.8"/>
    <s v="Average"/>
    <s v="Blockbuster"/>
    <s v="No"/>
    <s v="High"/>
    <n v="315.8"/>
    <n v="289.10179640718565"/>
  </r>
  <r>
    <s v="NFX-100314"/>
    <x v="313"/>
    <s v="TV Show"/>
    <x v="1"/>
    <n v="2013"/>
    <s v="Australia"/>
    <s v="2019-09-06"/>
    <n v="56"/>
    <s v="PG-13"/>
    <n v="8.3000000000000007"/>
    <n v="68.599999999999994"/>
    <s v="English"/>
    <s v="Guillermo del Toro"/>
    <s v="Ranbir Kapoor"/>
    <n v="6"/>
    <n v="83"/>
    <n v="452.8"/>
    <s v="Hit"/>
    <s v="Normal"/>
    <s v="No"/>
    <s v="Low"/>
    <n v="369.8"/>
    <n v="545.54216867469881"/>
  </r>
  <r>
    <s v="NFX-100315"/>
    <x v="314"/>
    <s v="Movie"/>
    <x v="6"/>
    <n v="2005"/>
    <s v="South Korea"/>
    <s v="2020-07-08"/>
    <n v="115"/>
    <s v="G"/>
    <n v="9.1999999999999993"/>
    <n v="347.2"/>
    <s v="French"/>
    <s v="Ridley Scott"/>
    <s v="Robert Downey Jr."/>
    <m/>
    <n v="38"/>
    <n v="64.099999999999994"/>
    <s v="Hit"/>
    <s v="Popular"/>
    <s v="Yes"/>
    <s v="Low"/>
    <n v="26.099999999999994"/>
    <n v="168.68421052631578"/>
  </r>
  <r>
    <s v="NFX-100316"/>
    <x v="315"/>
    <s v="TV Show"/>
    <x v="10"/>
    <n v="2013"/>
    <s v="France"/>
    <s v="2018-11-06"/>
    <n v="59"/>
    <s v="G"/>
    <n v="6.8"/>
    <n v="502.9"/>
    <s v="French"/>
    <s v="Greta Gerwig"/>
    <s v="Brad Pitt"/>
    <n v="4"/>
    <n v="96"/>
    <n v="487.5"/>
    <s v="Average"/>
    <s v="Blockbuster"/>
    <s v="Yes"/>
    <s v="Low"/>
    <n v="391.5"/>
    <n v="507.8125"/>
  </r>
  <r>
    <s v="NFX-100317"/>
    <x v="316"/>
    <s v="TV Show"/>
    <x v="6"/>
    <n v="2016"/>
    <s v="South Korea"/>
    <s v="2019-04-13"/>
    <n v="55"/>
    <s v="G"/>
    <n v="7.9"/>
    <n v="22.3"/>
    <s v="Korean"/>
    <s v="Zoya Akhtar"/>
    <s v="Timothée Chalamet"/>
    <n v="7"/>
    <n v="16"/>
    <n v="98.1"/>
    <s v="Average"/>
    <s v="Normal"/>
    <s v="Yes"/>
    <s v="Low"/>
    <n v="82.1"/>
    <n v="613.125"/>
  </r>
  <r>
    <s v="NFX-100318"/>
    <x v="317"/>
    <s v="TV Show"/>
    <x v="6"/>
    <n v="2024"/>
    <s v="Japan"/>
    <s v="2019-08-16"/>
    <n v="34"/>
    <s v="G"/>
    <n v="7.4"/>
    <n v="82.6"/>
    <s v="Korean"/>
    <s v="Steven Spielberg"/>
    <s v="Robert Downey Jr."/>
    <n v="2"/>
    <n v="162"/>
    <n v="1051.5"/>
    <s v="Average"/>
    <s v="Normal"/>
    <s v="Yes"/>
    <s v="High"/>
    <n v="889.5"/>
    <n v="649.07407407407402"/>
  </r>
  <r>
    <s v="NFX-100319"/>
    <x v="318"/>
    <s v="Movie"/>
    <x v="7"/>
    <n v="2013"/>
    <s v="Germany"/>
    <s v="2022-11-03"/>
    <n v="94"/>
    <s v="G"/>
    <n v="9.4"/>
    <n v="422.5"/>
    <s v="Japanese"/>
    <s v="Park Chan-wook"/>
    <s v="Deepika Padukone"/>
    <m/>
    <n v="67"/>
    <n v="231.3"/>
    <s v="Hit"/>
    <s v="Blockbuster"/>
    <s v="Yes"/>
    <s v="Low"/>
    <n v="164.3"/>
    <n v="345.2238805970149"/>
  </r>
  <r>
    <s v="NFX-100320"/>
    <x v="319"/>
    <s v="TV Show"/>
    <x v="6"/>
    <n v="2019"/>
    <s v="Spain"/>
    <s v="2020-10-01"/>
    <n v="33"/>
    <s v="16+"/>
    <n v="5.2"/>
    <n v="458.8"/>
    <s v="English"/>
    <s v="Quentin Tarantino"/>
    <s v="Deepika Padukone"/>
    <n v="6"/>
    <n v="33"/>
    <n v="191.2"/>
    <s v="Flop"/>
    <s v="Blockbuster"/>
    <s v="No"/>
    <s v="Low"/>
    <n v="158.19999999999999"/>
    <n v="579.39393939393938"/>
  </r>
  <r>
    <s v="NFX-100321"/>
    <x v="320"/>
    <s v="Movie"/>
    <x v="10"/>
    <n v="2003"/>
    <s v="France"/>
    <s v="2019-12-29"/>
    <n v="153"/>
    <s v="18+"/>
    <n v="8.6"/>
    <n v="446.9"/>
    <s v="Korean"/>
    <s v="Martin Scorsese"/>
    <s v="Tom Hardy"/>
    <m/>
    <n v="169"/>
    <n v="819.2"/>
    <s v="Hit"/>
    <s v="Blockbuster"/>
    <s v="No"/>
    <s v="High"/>
    <n v="650.20000000000005"/>
    <n v="484.73372781065092"/>
  </r>
  <r>
    <s v="NFX-100322"/>
    <x v="321"/>
    <s v="TV Show"/>
    <x v="6"/>
    <n v="2008"/>
    <s v="Spain"/>
    <s v="2020-05-16"/>
    <n v="56"/>
    <s v="PG"/>
    <n v="9.1"/>
    <n v="181.6"/>
    <s v="Hindi"/>
    <s v="Ridley Scott"/>
    <s v="Ranbir Kapoor"/>
    <n v="4"/>
    <n v="26"/>
    <n v="62.8"/>
    <s v="Hit"/>
    <s v="Normal"/>
    <s v="Yes"/>
    <s v="Low"/>
    <n v="36.799999999999997"/>
    <n v="241.53846153846152"/>
  </r>
  <r>
    <s v="NFX-100323"/>
    <x v="322"/>
    <s v="Movie"/>
    <x v="5"/>
    <n v="2018"/>
    <s v="South Korea"/>
    <s v="2023-09-15"/>
    <n v="117"/>
    <s v="16+"/>
    <n v="5.5"/>
    <n v="80.2"/>
    <s v="German"/>
    <s v="Martin Scorsese"/>
    <s v="Scarlett Johansson"/>
    <m/>
    <n v="48"/>
    <n v="264.8"/>
    <s v="Flop"/>
    <s v="Normal"/>
    <s v="No"/>
    <s v="Low"/>
    <n v="216.8"/>
    <n v="551.66666666666663"/>
  </r>
  <r>
    <s v="NFX-100324"/>
    <x v="323"/>
    <s v="TV Show"/>
    <x v="10"/>
    <n v="2016"/>
    <s v="Japan"/>
    <s v="2023-10-11"/>
    <n v="52"/>
    <s v="G"/>
    <n v="4.5999999999999996"/>
    <n v="5.3"/>
    <s v="Japanese"/>
    <s v="Steven Spielberg"/>
    <s v="Scarlett Johansson"/>
    <n v="1"/>
    <n v="57"/>
    <n v="363.1"/>
    <s v="Flop"/>
    <s v="Normal"/>
    <s v="Yes"/>
    <s v="Low"/>
    <n v="306.10000000000002"/>
    <n v="637.01754385964909"/>
  </r>
  <r>
    <s v="NFX-100325"/>
    <x v="324"/>
    <s v="Movie"/>
    <x v="3"/>
    <n v="2007"/>
    <s v="Japan"/>
    <s v="2023-09-25"/>
    <n v="113"/>
    <s v="16+"/>
    <n v="7.3"/>
    <n v="301.60000000000002"/>
    <s v="Korean"/>
    <s v="Quentin Tarantino"/>
    <s v="Scarlett Johansson"/>
    <m/>
    <n v="97"/>
    <n v="255.3"/>
    <s v="Average"/>
    <s v="Popular"/>
    <s v="No"/>
    <s v="Low"/>
    <n v="158.30000000000001"/>
    <n v="263.1958762886598"/>
  </r>
  <r>
    <s v="NFX-100326"/>
    <x v="325"/>
    <s v="Movie"/>
    <x v="10"/>
    <n v="2021"/>
    <s v="Australia"/>
    <s v="2020-03-28"/>
    <n v="100"/>
    <s v="18+"/>
    <n v="5.3"/>
    <n v="78.8"/>
    <s v="English"/>
    <s v="Christopher Nolan"/>
    <s v="Tom Hardy"/>
    <m/>
    <n v="90"/>
    <n v="421.6"/>
    <s v="Flop"/>
    <s v="Normal"/>
    <s v="No"/>
    <s v="Low"/>
    <n v="331.6"/>
    <n v="468.44444444444446"/>
  </r>
  <r>
    <s v="NFX-100327"/>
    <x v="326"/>
    <s v="TV Show"/>
    <x v="5"/>
    <n v="2000"/>
    <s v="Australia"/>
    <s v="2018-12-06"/>
    <n v="54"/>
    <s v="G"/>
    <n v="6.1"/>
    <n v="45.2"/>
    <s v="Japanese"/>
    <s v="Ridley Scott"/>
    <s v="Leonardo DiCaprio"/>
    <n v="2"/>
    <n v="193"/>
    <n v="953.2"/>
    <s v="Average"/>
    <s v="Normal"/>
    <s v="Yes"/>
    <s v="High"/>
    <n v="760.2"/>
    <n v="493.88601036269438"/>
  </r>
  <r>
    <s v="NFX-100328"/>
    <x v="327"/>
    <s v="Movie"/>
    <x v="10"/>
    <n v="2012"/>
    <s v="Canada"/>
    <s v="2024-01-28"/>
    <n v="140"/>
    <s v="18+"/>
    <n v="5.5"/>
    <n v="101.5"/>
    <s v="German"/>
    <s v="Christopher Nolan"/>
    <s v="Leonardo DiCaprio"/>
    <m/>
    <n v="154"/>
    <n v="773.3"/>
    <s v="Flop"/>
    <s v="Normal"/>
    <s v="No"/>
    <s v="High"/>
    <n v="619.29999999999995"/>
    <n v="502.14285714285711"/>
  </r>
  <r>
    <s v="NFX-100329"/>
    <x v="328"/>
    <s v="TV Show"/>
    <x v="0"/>
    <n v="2023"/>
    <s v="Australia"/>
    <s v="2023-01-03"/>
    <n v="55"/>
    <s v="PG-13"/>
    <n v="7"/>
    <n v="468.3"/>
    <s v="Spanish"/>
    <s v="Steven Spielberg"/>
    <s v="Jennifer Lawrence"/>
    <n v="1"/>
    <n v="172"/>
    <n v="569.5"/>
    <s v="Average"/>
    <s v="Blockbuster"/>
    <s v="No"/>
    <s v="High"/>
    <n v="397.5"/>
    <n v="331.10465116279067"/>
  </r>
  <r>
    <s v="NFX-100330"/>
    <x v="329"/>
    <s v="TV Show"/>
    <x v="1"/>
    <n v="2019"/>
    <s v="USA"/>
    <s v="2020-11-05"/>
    <n v="46"/>
    <s v="G"/>
    <n v="5.6"/>
    <n v="28.3"/>
    <s v="German"/>
    <s v="Anurag Kashyap"/>
    <s v="Timothée Chalamet"/>
    <n v="6"/>
    <n v="186"/>
    <n v="934.4"/>
    <s v="Flop"/>
    <s v="Normal"/>
    <s v="Yes"/>
    <s v="High"/>
    <n v="748.4"/>
    <n v="502.36559139784947"/>
  </r>
  <r>
    <s v="NFX-100331"/>
    <x v="330"/>
    <s v="Movie"/>
    <x v="0"/>
    <n v="2007"/>
    <s v="Spain"/>
    <s v="2024-07-20"/>
    <n v="170"/>
    <s v="PG"/>
    <n v="8.1999999999999993"/>
    <n v="204.8"/>
    <s v="Korean"/>
    <s v="Christopher Nolan"/>
    <s v="Jennifer Lawrence"/>
    <m/>
    <n v="52"/>
    <n v="250.8"/>
    <s v="Hit"/>
    <s v="Popular"/>
    <s v="Yes"/>
    <s v="Low"/>
    <n v="198.8"/>
    <n v="482.30769230769238"/>
  </r>
  <r>
    <s v="NFX-100332"/>
    <x v="331"/>
    <s v="TV Show"/>
    <x v="6"/>
    <n v="2017"/>
    <s v="Japan"/>
    <s v="2020-04-28"/>
    <n v="39"/>
    <s v="16+"/>
    <n v="5.5"/>
    <n v="593.29999999999995"/>
    <s v="English"/>
    <s v="Martin Scorsese"/>
    <s v="Lee Jung-jae"/>
    <n v="7"/>
    <n v="158"/>
    <n v="768.2"/>
    <s v="Flop"/>
    <s v="Blockbuster"/>
    <s v="No"/>
    <s v="High"/>
    <n v="610.20000000000005"/>
    <n v="486.20253164556965"/>
  </r>
  <r>
    <s v="NFX-100333"/>
    <x v="332"/>
    <s v="Movie"/>
    <x v="1"/>
    <n v="2018"/>
    <s v="Canada"/>
    <s v="2018-08-04"/>
    <n v="149"/>
    <s v="G"/>
    <n v="9.6"/>
    <n v="443.5"/>
    <s v="English"/>
    <s v="Martin Scorsese"/>
    <s v="Jennifer Lawrence"/>
    <m/>
    <n v="124"/>
    <n v="539.6"/>
    <s v="Hit"/>
    <s v="Blockbuster"/>
    <s v="Yes"/>
    <s v="High"/>
    <n v="415.6"/>
    <n v="435.16129032258061"/>
  </r>
  <r>
    <s v="NFX-100334"/>
    <x v="333"/>
    <s v="TV Show"/>
    <x v="10"/>
    <n v="2009"/>
    <s v="USA"/>
    <s v="2020-09-13"/>
    <n v="30"/>
    <s v="G"/>
    <n v="4.9000000000000004"/>
    <n v="127.4"/>
    <s v="English"/>
    <s v="Quentin Tarantino"/>
    <s v="Chris Evans"/>
    <n v="5"/>
    <n v="116"/>
    <n v="480.1"/>
    <s v="Flop"/>
    <s v="Normal"/>
    <s v="Yes"/>
    <s v="High"/>
    <n v="364.1"/>
    <n v="413.87931034482762"/>
  </r>
  <r>
    <s v="NFX-100335"/>
    <x v="334"/>
    <s v="TV Show"/>
    <x v="1"/>
    <n v="2006"/>
    <s v="Spain"/>
    <s v="2024-04-30"/>
    <n v="30"/>
    <s v="PG-13"/>
    <n v="7.3"/>
    <n v="262"/>
    <s v="Spanish"/>
    <s v="Steven Spielberg"/>
    <s v="Leonardo DiCaprio"/>
    <n v="1"/>
    <n v="189"/>
    <n v="377.9"/>
    <s v="Average"/>
    <s v="Popular"/>
    <s v="No"/>
    <s v="High"/>
    <n v="188.89999999999998"/>
    <n v="199.94708994708995"/>
  </r>
  <r>
    <s v="NFX-100336"/>
    <x v="335"/>
    <s v="TV Show"/>
    <x v="9"/>
    <n v="2020"/>
    <s v="UK"/>
    <s v="2024-03-24"/>
    <n v="54"/>
    <s v="PG"/>
    <n v="8"/>
    <n v="243.4"/>
    <s v="Spanish"/>
    <s v="Quentin Tarantino"/>
    <s v="Tom Hardy"/>
    <n v="5"/>
    <n v="139"/>
    <n v="285.7"/>
    <s v="Hit"/>
    <s v="Popular"/>
    <s v="Yes"/>
    <s v="High"/>
    <n v="146.69999999999999"/>
    <n v="205.53956834532374"/>
  </r>
  <r>
    <s v="NFX-100337"/>
    <x v="336"/>
    <s v="TV Show"/>
    <x v="2"/>
    <n v="2007"/>
    <s v="South Korea"/>
    <s v="2024-02-17"/>
    <n v="40"/>
    <s v="PG"/>
    <n v="8.6"/>
    <n v="436.8"/>
    <s v="English"/>
    <s v="Ridley Scott"/>
    <s v="Timothée Chalamet"/>
    <n v="3"/>
    <n v="197"/>
    <n v="632.70000000000005"/>
    <s v="Hit"/>
    <s v="Blockbuster"/>
    <s v="Yes"/>
    <s v="High"/>
    <n v="435.70000000000005"/>
    <n v="321.16751269035535"/>
  </r>
  <r>
    <s v="NFX-100338"/>
    <x v="337"/>
    <s v="TV Show"/>
    <x v="4"/>
    <n v="2013"/>
    <s v="UK"/>
    <s v="2024-04-17"/>
    <n v="54"/>
    <s v="G"/>
    <n v="6.9"/>
    <n v="442.1"/>
    <s v="German"/>
    <s v="Rajkumar Hirani"/>
    <s v="Ryan Gosling"/>
    <n v="8"/>
    <n v="172"/>
    <n v="641.1"/>
    <s v="Average"/>
    <s v="Blockbuster"/>
    <s v="Yes"/>
    <s v="High"/>
    <n v="469.1"/>
    <n v="372.73255813953489"/>
  </r>
  <r>
    <s v="NFX-100339"/>
    <x v="338"/>
    <s v="Movie"/>
    <x v="7"/>
    <n v="2009"/>
    <s v="Japan"/>
    <s v="2024-03-07"/>
    <n v="87"/>
    <s v="PG-13"/>
    <n v="7.4"/>
    <n v="226.7"/>
    <s v="English"/>
    <s v="Guillermo del Toro"/>
    <s v="Song Kang-ho"/>
    <m/>
    <n v="117"/>
    <n v="579.4"/>
    <s v="Average"/>
    <s v="Popular"/>
    <s v="No"/>
    <s v="High"/>
    <n v="462.4"/>
    <n v="495.21367521367523"/>
  </r>
  <r>
    <s v="NFX-100340"/>
    <x v="339"/>
    <s v="TV Show"/>
    <x v="10"/>
    <n v="2002"/>
    <s v="UK"/>
    <s v="2018-07-09"/>
    <n v="39"/>
    <s v="PG"/>
    <n v="4.9000000000000004"/>
    <n v="489.2"/>
    <s v="French"/>
    <s v="Denis Villeneuve"/>
    <s v="Leonardo DiCaprio"/>
    <n v="5"/>
    <n v="75"/>
    <n v="252.9"/>
    <s v="Flop"/>
    <s v="Blockbuster"/>
    <s v="Yes"/>
    <s v="Low"/>
    <n v="177.9"/>
    <n v="337.2"/>
  </r>
  <r>
    <s v="NFX-100341"/>
    <x v="340"/>
    <s v="TV Show"/>
    <x v="7"/>
    <n v="2023"/>
    <s v="Germany"/>
    <s v="2018-01-12"/>
    <n v="43"/>
    <s v="18+"/>
    <n v="6.6"/>
    <n v="487.2"/>
    <s v="French"/>
    <s v="Denis Villeneuve"/>
    <s v="Leonardo DiCaprio"/>
    <n v="7"/>
    <n v="40"/>
    <n v="86.1"/>
    <s v="Average"/>
    <s v="Blockbuster"/>
    <s v="No"/>
    <s v="Low"/>
    <n v="46.099999999999994"/>
    <n v="215.25"/>
  </r>
  <r>
    <s v="NFX-100342"/>
    <x v="341"/>
    <s v="TV Show"/>
    <x v="0"/>
    <n v="2022"/>
    <s v="Japan"/>
    <s v="2018-06-20"/>
    <n v="33"/>
    <s v="PG"/>
    <n v="6.3"/>
    <n v="43.4"/>
    <s v="French"/>
    <s v="Zoya Akhtar"/>
    <s v="Leonardo DiCaprio"/>
    <n v="8"/>
    <n v="95"/>
    <n v="202.1"/>
    <s v="Average"/>
    <s v="Normal"/>
    <s v="Yes"/>
    <s v="Low"/>
    <n v="107.1"/>
    <n v="212.73684210526315"/>
  </r>
  <r>
    <s v="NFX-100343"/>
    <x v="342"/>
    <s v="Movie"/>
    <x v="6"/>
    <n v="2006"/>
    <s v="USA"/>
    <s v="2024-09-20"/>
    <n v="140"/>
    <s v="18+"/>
    <n v="5.6"/>
    <n v="502.6"/>
    <s v="French"/>
    <s v="Zoya Akhtar"/>
    <s v="Ryan Gosling"/>
    <m/>
    <n v="119"/>
    <n v="567.20000000000005"/>
    <s v="Flop"/>
    <s v="Blockbuster"/>
    <s v="No"/>
    <s v="High"/>
    <n v="448.20000000000005"/>
    <n v="476.63865546218489"/>
  </r>
  <r>
    <s v="NFX-100344"/>
    <x v="343"/>
    <s v="TV Show"/>
    <x v="7"/>
    <n v="2013"/>
    <s v="Japan"/>
    <s v="2022-10-11"/>
    <n v="54"/>
    <s v="PG"/>
    <n v="8.1"/>
    <n v="556"/>
    <s v="German"/>
    <s v="Guillermo del Toro"/>
    <s v="Lee Jung-jae"/>
    <n v="7"/>
    <n v="30"/>
    <n v="161"/>
    <s v="Hit"/>
    <s v="Blockbuster"/>
    <s v="Yes"/>
    <s v="Low"/>
    <n v="131"/>
    <n v="536.66666666666663"/>
  </r>
  <r>
    <s v="NFX-100345"/>
    <x v="344"/>
    <s v="Movie"/>
    <x v="9"/>
    <n v="2000"/>
    <s v="Spain"/>
    <s v="2020-05-25"/>
    <n v="86"/>
    <s v="PG"/>
    <n v="6.3"/>
    <n v="172"/>
    <s v="Hindi"/>
    <s v="Greta Gerwig"/>
    <s v="Lee Jung-jae"/>
    <m/>
    <n v="35"/>
    <n v="93.1"/>
    <s v="Average"/>
    <s v="Normal"/>
    <s v="Yes"/>
    <s v="Low"/>
    <n v="58.099999999999994"/>
    <n v="265.99999999999994"/>
  </r>
  <r>
    <s v="NFX-100346"/>
    <x v="345"/>
    <s v="Movie"/>
    <x v="6"/>
    <n v="2018"/>
    <s v="Canada"/>
    <s v="2019-01-04"/>
    <n v="140"/>
    <s v="G"/>
    <n v="5.3"/>
    <n v="80.5"/>
    <s v="Japanese"/>
    <s v="Sanjay Leela Bhansali"/>
    <s v="Leonardo DiCaprio"/>
    <m/>
    <n v="196"/>
    <n v="655.8"/>
    <s v="Flop"/>
    <s v="Normal"/>
    <s v="Yes"/>
    <s v="High"/>
    <n v="459.79999999999995"/>
    <n v="334.59183673469386"/>
  </r>
  <r>
    <s v="NFX-100347"/>
    <x v="346"/>
    <s v="TV Show"/>
    <x v="3"/>
    <n v="2018"/>
    <s v="Canada"/>
    <s v="2023-02-08"/>
    <n v="54"/>
    <s v="PG-13"/>
    <n v="6.2"/>
    <n v="75"/>
    <s v="German"/>
    <s v="James Cameron"/>
    <s v="Song Kang-ho"/>
    <n v="7"/>
    <n v="195"/>
    <n v="1048.5"/>
    <s v="Average"/>
    <s v="Normal"/>
    <s v="No"/>
    <s v="High"/>
    <n v="853.5"/>
    <n v="537.69230769230774"/>
  </r>
  <r>
    <s v="NFX-100348"/>
    <x v="347"/>
    <s v="Movie"/>
    <x v="8"/>
    <n v="2025"/>
    <s v="USA"/>
    <s v="2023-10-24"/>
    <n v="85"/>
    <s v="PG"/>
    <n v="8.1"/>
    <n v="198.8"/>
    <s v="Spanish"/>
    <s v="Sanjay Leela Bhansali"/>
    <s v="Song Kang-ho"/>
    <m/>
    <n v="73"/>
    <n v="223.8"/>
    <s v="Hit"/>
    <s v="Normal"/>
    <s v="Yes"/>
    <s v="Low"/>
    <n v="150.80000000000001"/>
    <n v="306.57534246575347"/>
  </r>
  <r>
    <s v="NFX-100349"/>
    <x v="348"/>
    <s v="Movie"/>
    <x v="4"/>
    <n v="2003"/>
    <s v="France"/>
    <s v="2018-10-12"/>
    <n v="125"/>
    <s v="PG"/>
    <n v="7.8"/>
    <n v="71.900000000000006"/>
    <s v="Spanish"/>
    <s v="Ridley Scott"/>
    <s v="Scarlett Johansson"/>
    <m/>
    <n v="34"/>
    <n v="179.4"/>
    <s v="Average"/>
    <s v="Normal"/>
    <s v="Yes"/>
    <s v="Low"/>
    <n v="145.4"/>
    <n v="527.64705882352939"/>
  </r>
  <r>
    <s v="NFX-100350"/>
    <x v="349"/>
    <s v="TV Show"/>
    <x v="8"/>
    <n v="2013"/>
    <s v="USA"/>
    <s v="2019-07-19"/>
    <n v="30"/>
    <s v="G"/>
    <n v="8.5"/>
    <n v="175.2"/>
    <s v="German"/>
    <s v="Steven Spielberg"/>
    <s v="Tom Hardy"/>
    <n v="7"/>
    <n v="182"/>
    <n v="924.6"/>
    <s v="Hit"/>
    <s v="Normal"/>
    <s v="Yes"/>
    <s v="High"/>
    <n v="742.6"/>
    <n v="508.02197802197799"/>
  </r>
  <r>
    <s v="NFX-100351"/>
    <x v="350"/>
    <s v="TV Show"/>
    <x v="3"/>
    <n v="2011"/>
    <s v="Canada"/>
    <s v="2022-01-27"/>
    <n v="34"/>
    <s v="18+"/>
    <n v="6.4"/>
    <n v="375.9"/>
    <s v="Spanish"/>
    <s v="Denis Villeneuve"/>
    <s v="Shah Rukh Khan"/>
    <n v="2"/>
    <n v="158"/>
    <n v="967.4"/>
    <s v="Average"/>
    <s v="Popular"/>
    <s v="No"/>
    <s v="High"/>
    <n v="809.4"/>
    <n v="612.27848101265818"/>
  </r>
  <r>
    <s v="NFX-100352"/>
    <x v="351"/>
    <s v="Movie"/>
    <x v="5"/>
    <n v="2001"/>
    <s v="UK"/>
    <s v="2019-03-16"/>
    <n v="135"/>
    <s v="18+"/>
    <n v="5.3"/>
    <n v="433"/>
    <s v="Spanish"/>
    <s v="Denis Villeneuve"/>
    <s v="Robert Downey Jr."/>
    <m/>
    <n v="76"/>
    <n v="447.8"/>
    <s v="Flop"/>
    <s v="Blockbuster"/>
    <s v="No"/>
    <s v="Low"/>
    <n v="371.8"/>
    <n v="589.21052631578948"/>
  </r>
  <r>
    <s v="NFX-100353"/>
    <x v="352"/>
    <s v="TV Show"/>
    <x v="4"/>
    <n v="2008"/>
    <s v="Australia"/>
    <s v="2023-05-07"/>
    <n v="55"/>
    <s v="PG"/>
    <n v="7.3"/>
    <n v="282.5"/>
    <s v="French"/>
    <s v="Greta Gerwig"/>
    <s v="Timothée Chalamet"/>
    <n v="8"/>
    <n v="47"/>
    <n v="224.5"/>
    <s v="Average"/>
    <s v="Popular"/>
    <s v="Yes"/>
    <s v="Low"/>
    <n v="177.5"/>
    <n v="477.65957446808505"/>
  </r>
  <r>
    <s v="NFX-100354"/>
    <x v="353"/>
    <s v="Movie"/>
    <x v="2"/>
    <n v="2009"/>
    <s v="India"/>
    <s v="2018-06-10"/>
    <n v="112"/>
    <s v="PG-13"/>
    <n v="7.8"/>
    <n v="82.7"/>
    <s v="Korean"/>
    <s v="Rajkumar Hirani"/>
    <s v="Timothée Chalamet"/>
    <m/>
    <n v="137"/>
    <n v="509.3"/>
    <s v="Average"/>
    <s v="Normal"/>
    <s v="No"/>
    <s v="High"/>
    <n v="372.3"/>
    <n v="371.7518248175183"/>
  </r>
  <r>
    <s v="NFX-100355"/>
    <x v="354"/>
    <s v="TV Show"/>
    <x v="10"/>
    <n v="2011"/>
    <s v="Spain"/>
    <s v="2023-04-27"/>
    <n v="38"/>
    <s v="PG-13"/>
    <n v="9.3000000000000007"/>
    <n v="356.2"/>
    <s v="Hindi"/>
    <s v="Ridley Scott"/>
    <s v="Ranbir Kapoor"/>
    <n v="6"/>
    <n v="43"/>
    <n v="274.3"/>
    <s v="Hit"/>
    <s v="Popular"/>
    <s v="No"/>
    <s v="Low"/>
    <n v="231.3"/>
    <n v="637.90697674418607"/>
  </r>
  <r>
    <s v="NFX-100356"/>
    <x v="355"/>
    <s v="Movie"/>
    <x v="2"/>
    <n v="2006"/>
    <s v="Spain"/>
    <s v="2024-10-24"/>
    <n v="146"/>
    <s v="18+"/>
    <n v="6.9"/>
    <n v="273.60000000000002"/>
    <s v="Hindi"/>
    <s v="Guillermo del Toro"/>
    <s v="Ranbir Kapoor"/>
    <m/>
    <n v="156"/>
    <n v="1000.8"/>
    <s v="Average"/>
    <s v="Popular"/>
    <s v="No"/>
    <s v="High"/>
    <n v="844.8"/>
    <n v="641.53846153846143"/>
  </r>
  <r>
    <s v="NFX-100357"/>
    <x v="356"/>
    <s v="Movie"/>
    <x v="10"/>
    <n v="2021"/>
    <s v="UK"/>
    <s v="2020-05-25"/>
    <n v="86"/>
    <s v="PG"/>
    <n v="7.8"/>
    <n v="290.2"/>
    <s v="French"/>
    <s v="Park Chan-wook"/>
    <s v="Emma Stone"/>
    <m/>
    <n v="175"/>
    <n v="1127.8"/>
    <s v="Average"/>
    <s v="Popular"/>
    <s v="Yes"/>
    <s v="High"/>
    <n v="952.8"/>
    <n v="644.4571428571428"/>
  </r>
  <r>
    <s v="NFX-100358"/>
    <x v="357"/>
    <s v="TV Show"/>
    <x v="7"/>
    <n v="2025"/>
    <s v="Canada"/>
    <s v="2018-04-03"/>
    <n v="44"/>
    <s v="PG"/>
    <n v="8.6"/>
    <n v="366.5"/>
    <s v="German"/>
    <s v="Guillermo del Toro"/>
    <s v="Jennifer Lawrence"/>
    <n v="5"/>
    <n v="193"/>
    <n v="505.1"/>
    <s v="Hit"/>
    <s v="Popular"/>
    <s v="Yes"/>
    <s v="High"/>
    <n v="312.10000000000002"/>
    <n v="261.70984455958552"/>
  </r>
  <r>
    <s v="NFX-100359"/>
    <x v="358"/>
    <s v="TV Show"/>
    <x v="8"/>
    <n v="2023"/>
    <s v="USA"/>
    <s v="2023-12-09"/>
    <n v="46"/>
    <s v="G"/>
    <n v="6.5"/>
    <n v="493.9"/>
    <s v="English"/>
    <s v="Christopher Nolan"/>
    <s v="Deepika Padukone"/>
    <n v="3"/>
    <n v="69"/>
    <n v="161.6"/>
    <s v="Average"/>
    <s v="Blockbuster"/>
    <s v="Yes"/>
    <s v="Low"/>
    <n v="92.6"/>
    <n v="234.20289855072465"/>
  </r>
  <r>
    <s v="NFX-100360"/>
    <x v="359"/>
    <s v="Movie"/>
    <x v="2"/>
    <n v="2006"/>
    <s v="France"/>
    <s v="2022-04-26"/>
    <n v="131"/>
    <s v="18+"/>
    <n v="9.5"/>
    <n v="296.7"/>
    <s v="Japanese"/>
    <s v="Rajkumar Hirani"/>
    <s v="Jennifer Lawrence"/>
    <m/>
    <n v="147"/>
    <n v="437"/>
    <s v="Hit"/>
    <s v="Popular"/>
    <s v="No"/>
    <s v="High"/>
    <n v="290"/>
    <n v="297.27891156462584"/>
  </r>
  <r>
    <s v="NFX-100361"/>
    <x v="360"/>
    <s v="Movie"/>
    <x v="2"/>
    <n v="2011"/>
    <s v="Canada"/>
    <s v="2022-09-28"/>
    <n v="83"/>
    <s v="PG-13"/>
    <n v="6.3"/>
    <n v="328.7"/>
    <s v="German"/>
    <s v="Steven Spielberg"/>
    <s v="Timothée Chalamet"/>
    <m/>
    <n v="16"/>
    <n v="62.7"/>
    <s v="Average"/>
    <s v="Popular"/>
    <s v="No"/>
    <s v="Low"/>
    <n v="46.7"/>
    <n v="391.875"/>
  </r>
  <r>
    <s v="NFX-100362"/>
    <x v="361"/>
    <s v="Movie"/>
    <x v="2"/>
    <n v="2024"/>
    <s v="Japan"/>
    <s v="2020-03-18"/>
    <n v="163"/>
    <s v="G"/>
    <n v="8.3000000000000007"/>
    <n v="4.3"/>
    <s v="German"/>
    <s v="Ridley Scott"/>
    <s v="Shah Rukh Khan"/>
    <m/>
    <n v="191"/>
    <n v="966.2"/>
    <s v="Hit"/>
    <s v="Normal"/>
    <s v="Yes"/>
    <s v="High"/>
    <n v="775.2"/>
    <n v="505.86387434554973"/>
  </r>
  <r>
    <s v="NFX-100363"/>
    <x v="362"/>
    <s v="TV Show"/>
    <x v="2"/>
    <n v="2004"/>
    <s v="UK"/>
    <s v="2022-09-28"/>
    <n v="40"/>
    <s v="PG"/>
    <n v="4.8"/>
    <n v="373.2"/>
    <s v="Hindi"/>
    <s v="Anurag Kashyap"/>
    <s v="Brad Pitt"/>
    <n v="3"/>
    <n v="112"/>
    <n v="655.29999999999995"/>
    <s v="Flop"/>
    <s v="Popular"/>
    <s v="Yes"/>
    <s v="High"/>
    <n v="543.29999999999995"/>
    <n v="585.08928571428567"/>
  </r>
  <r>
    <s v="NFX-100364"/>
    <x v="363"/>
    <s v="TV Show"/>
    <x v="6"/>
    <n v="2003"/>
    <s v="USA"/>
    <s v="2024-03-02"/>
    <n v="43"/>
    <s v="18+"/>
    <n v="6.7"/>
    <n v="270.8"/>
    <s v="Korean"/>
    <s v="Anurag Kashyap"/>
    <s v="Deepika Padukone"/>
    <n v="8"/>
    <n v="73"/>
    <n v="297.5"/>
    <s v="Average"/>
    <s v="Popular"/>
    <s v="No"/>
    <s v="Low"/>
    <n v="224.5"/>
    <n v="407.53424657534242"/>
  </r>
  <r>
    <s v="NFX-100365"/>
    <x v="364"/>
    <s v="TV Show"/>
    <x v="3"/>
    <n v="2003"/>
    <s v="India"/>
    <s v="2018-02-26"/>
    <n v="42"/>
    <s v="16+"/>
    <n v="6.2"/>
    <n v="550.4"/>
    <s v="Korean"/>
    <s v="Anurag Kashyap"/>
    <s v="Brad Pitt"/>
    <n v="7"/>
    <n v="76"/>
    <n v="306.10000000000002"/>
    <s v="Average"/>
    <s v="Blockbuster"/>
    <s v="No"/>
    <s v="Low"/>
    <n v="230.10000000000002"/>
    <n v="402.76315789473688"/>
  </r>
  <r>
    <s v="NFX-100366"/>
    <x v="365"/>
    <s v="Movie"/>
    <x v="10"/>
    <n v="2001"/>
    <s v="UK"/>
    <s v="2022-02-17"/>
    <n v="153"/>
    <s v="16+"/>
    <n v="8.6"/>
    <n v="94.8"/>
    <s v="German"/>
    <s v="Ridley Scott"/>
    <s v="Ryan Gosling"/>
    <m/>
    <n v="54"/>
    <n v="301.3"/>
    <s v="Hit"/>
    <s v="Normal"/>
    <s v="No"/>
    <s v="Low"/>
    <n v="247.3"/>
    <n v="557.96296296296305"/>
  </r>
  <r>
    <s v="NFX-100367"/>
    <x v="366"/>
    <s v="Movie"/>
    <x v="10"/>
    <n v="2021"/>
    <s v="Spain"/>
    <s v="2018-06-09"/>
    <n v="117"/>
    <s v="PG"/>
    <n v="6"/>
    <n v="540.70000000000005"/>
    <s v="English"/>
    <s v="Martin Scorsese"/>
    <s v="Deepika Padukone"/>
    <m/>
    <n v="88"/>
    <n v="373.6"/>
    <s v="Average"/>
    <s v="Blockbuster"/>
    <s v="Yes"/>
    <s v="Low"/>
    <n v="285.60000000000002"/>
    <n v="424.54545454545462"/>
  </r>
  <r>
    <s v="NFX-100368"/>
    <x v="367"/>
    <s v="TV Show"/>
    <x v="9"/>
    <n v="2019"/>
    <s v="South Korea"/>
    <s v="2022-04-20"/>
    <n v="42"/>
    <s v="PG"/>
    <n v="6.8"/>
    <n v="572.4"/>
    <s v="French"/>
    <s v="Rajkumar Hirani"/>
    <s v="Brad Pitt"/>
    <n v="3"/>
    <n v="106"/>
    <n v="411.3"/>
    <s v="Average"/>
    <s v="Blockbuster"/>
    <s v="Yes"/>
    <s v="High"/>
    <n v="305.3"/>
    <n v="388.01886792452831"/>
  </r>
  <r>
    <s v="NFX-100369"/>
    <x v="368"/>
    <s v="Movie"/>
    <x v="0"/>
    <n v="2010"/>
    <s v="South Korea"/>
    <s v="2020-08-12"/>
    <n v="165"/>
    <s v="PG"/>
    <n v="5"/>
    <n v="423.5"/>
    <s v="French"/>
    <s v="Christopher Nolan"/>
    <s v="Chris Evans"/>
    <m/>
    <n v="88"/>
    <n v="311.39999999999998"/>
    <s v="Flop"/>
    <s v="Blockbuster"/>
    <s v="Yes"/>
    <s v="Low"/>
    <n v="223.39999999999998"/>
    <n v="353.86363636363637"/>
  </r>
  <r>
    <s v="NFX-100370"/>
    <x v="369"/>
    <s v="Movie"/>
    <x v="6"/>
    <n v="2013"/>
    <s v="India"/>
    <s v="2018-10-13"/>
    <n v="84"/>
    <s v="16+"/>
    <n v="8.8000000000000007"/>
    <n v="96.9"/>
    <s v="French"/>
    <s v="Steven Spielberg"/>
    <s v="Scarlett Johansson"/>
    <m/>
    <n v="177"/>
    <n v="461.9"/>
    <s v="Hit"/>
    <s v="Normal"/>
    <s v="No"/>
    <s v="High"/>
    <n v="284.89999999999998"/>
    <n v="260.96045197740108"/>
  </r>
  <r>
    <s v="NFX-100371"/>
    <x v="370"/>
    <s v="TV Show"/>
    <x v="8"/>
    <n v="2000"/>
    <s v="USA"/>
    <s v="2024-09-12"/>
    <n v="42"/>
    <s v="G"/>
    <n v="9.3000000000000007"/>
    <n v="189.9"/>
    <s v="Hindi"/>
    <s v="Sanjay Leela Bhansali"/>
    <s v="Emma Stone"/>
    <n v="5"/>
    <n v="6"/>
    <n v="13.6"/>
    <s v="Hit"/>
    <s v="Normal"/>
    <s v="Yes"/>
    <s v="Low"/>
    <n v="7.6"/>
    <n v="226.66666666666666"/>
  </r>
  <r>
    <s v="NFX-100372"/>
    <x v="371"/>
    <s v="TV Show"/>
    <x v="9"/>
    <n v="2012"/>
    <s v="India"/>
    <s v="2022-12-14"/>
    <n v="49"/>
    <s v="18+"/>
    <n v="8.3000000000000007"/>
    <n v="57.5"/>
    <s v="Japanese"/>
    <s v="Guillermo del Toro"/>
    <s v="Timothée Chalamet"/>
    <n v="2"/>
    <n v="128"/>
    <n v="614.1"/>
    <s v="Hit"/>
    <s v="Normal"/>
    <s v="No"/>
    <s v="High"/>
    <n v="486.1"/>
    <n v="479.765625"/>
  </r>
  <r>
    <s v="NFX-100373"/>
    <x v="372"/>
    <s v="Movie"/>
    <x v="3"/>
    <n v="2016"/>
    <s v="Australia"/>
    <s v="2024-02-12"/>
    <n v="106"/>
    <s v="16+"/>
    <n v="7.8"/>
    <n v="358.7"/>
    <s v="Japanese"/>
    <s v="Guillermo del Toro"/>
    <s v="Lee Jung-jae"/>
    <m/>
    <n v="62"/>
    <n v="236.9"/>
    <s v="Average"/>
    <s v="Popular"/>
    <s v="No"/>
    <s v="Low"/>
    <n v="174.9"/>
    <n v="382.09677419354841"/>
  </r>
  <r>
    <s v="NFX-100374"/>
    <x v="373"/>
    <s v="TV Show"/>
    <x v="4"/>
    <n v="2006"/>
    <s v="India"/>
    <s v="2020-08-29"/>
    <n v="58"/>
    <s v="G"/>
    <n v="7.4"/>
    <n v="237"/>
    <s v="German"/>
    <s v="James Cameron"/>
    <s v="Chris Evans"/>
    <n v="6"/>
    <n v="65"/>
    <n v="126.3"/>
    <s v="Average"/>
    <s v="Popular"/>
    <s v="Yes"/>
    <s v="Low"/>
    <n v="61.3"/>
    <n v="194.30769230769229"/>
  </r>
  <r>
    <s v="NFX-100375"/>
    <x v="374"/>
    <s v="TV Show"/>
    <x v="7"/>
    <n v="2000"/>
    <s v="UK"/>
    <s v="2018-10-13"/>
    <n v="46"/>
    <s v="16+"/>
    <n v="5.6"/>
    <n v="139"/>
    <s v="English"/>
    <s v="Greta Gerwig"/>
    <s v="Leonardo DiCaprio"/>
    <n v="4"/>
    <n v="93"/>
    <n v="194.8"/>
    <s v="Flop"/>
    <s v="Normal"/>
    <s v="No"/>
    <s v="Low"/>
    <n v="101.80000000000001"/>
    <n v="209.46236559139786"/>
  </r>
  <r>
    <s v="NFX-100376"/>
    <x v="375"/>
    <s v="Movie"/>
    <x v="2"/>
    <n v="2012"/>
    <s v="Japan"/>
    <s v="2018-02-06"/>
    <n v="147"/>
    <s v="PG-13"/>
    <n v="6"/>
    <n v="216.4"/>
    <s v="Korean"/>
    <s v="Zoya Akhtar"/>
    <s v="Jennifer Lawrence"/>
    <m/>
    <n v="98"/>
    <n v="432.2"/>
    <s v="Average"/>
    <s v="Popular"/>
    <s v="No"/>
    <s v="Low"/>
    <n v="334.2"/>
    <n v="441.0204081632653"/>
  </r>
  <r>
    <s v="NFX-100377"/>
    <x v="376"/>
    <s v="Movie"/>
    <x v="4"/>
    <n v="2022"/>
    <s v="Japan"/>
    <s v="2022-08-13"/>
    <n v="119"/>
    <s v="PG-13"/>
    <n v="8.5"/>
    <n v="229.6"/>
    <s v="English"/>
    <s v="Quentin Tarantino"/>
    <s v="Shah Rukh Khan"/>
    <m/>
    <n v="56"/>
    <n v="208.5"/>
    <s v="Hit"/>
    <s v="Popular"/>
    <s v="No"/>
    <s v="Low"/>
    <n v="152.5"/>
    <n v="372.32142857142856"/>
  </r>
  <r>
    <s v="NFX-100378"/>
    <x v="377"/>
    <s v="TV Show"/>
    <x v="5"/>
    <n v="2009"/>
    <s v="Germany"/>
    <s v="2018-10-20"/>
    <n v="58"/>
    <s v="G"/>
    <n v="7.9"/>
    <n v="161.80000000000001"/>
    <s v="French"/>
    <s v="Quentin Tarantino"/>
    <s v="Deepika Padukone"/>
    <n v="8"/>
    <n v="36"/>
    <n v="225.5"/>
    <s v="Average"/>
    <s v="Normal"/>
    <s v="Yes"/>
    <s v="Low"/>
    <n v="189.5"/>
    <n v="626.38888888888891"/>
  </r>
  <r>
    <s v="NFX-100379"/>
    <x v="378"/>
    <s v="TV Show"/>
    <x v="1"/>
    <n v="2014"/>
    <s v="USA"/>
    <s v="2020-02-21"/>
    <n v="53"/>
    <s v="G"/>
    <n v="5.0999999999999996"/>
    <n v="496.5"/>
    <s v="Spanish"/>
    <s v="Martin Scorsese"/>
    <s v="Ranbir Kapoor"/>
    <n v="6"/>
    <n v="28"/>
    <n v="116.3"/>
    <s v="Flop"/>
    <s v="Blockbuster"/>
    <s v="Yes"/>
    <s v="Low"/>
    <n v="88.3"/>
    <n v="415.35714285714283"/>
  </r>
  <r>
    <s v="NFX-100380"/>
    <x v="379"/>
    <s v="Movie"/>
    <x v="7"/>
    <n v="2016"/>
    <s v="Japan"/>
    <s v="2024-01-04"/>
    <n v="141"/>
    <s v="PG-13"/>
    <n v="9.1999999999999993"/>
    <n v="168.1"/>
    <s v="Japanese"/>
    <s v="Quentin Tarantino"/>
    <s v="Shah Rukh Khan"/>
    <m/>
    <n v="38"/>
    <n v="207"/>
    <s v="Hit"/>
    <s v="Normal"/>
    <s v="No"/>
    <s v="Low"/>
    <n v="169"/>
    <n v="544.73684210526324"/>
  </r>
  <r>
    <s v="NFX-100381"/>
    <x v="380"/>
    <s v="Movie"/>
    <x v="5"/>
    <n v="2019"/>
    <s v="Germany"/>
    <s v="2022-11-08"/>
    <n v="154"/>
    <s v="G"/>
    <n v="6.3"/>
    <n v="372.6"/>
    <s v="German"/>
    <s v="Martin Scorsese"/>
    <s v="Chris Evans"/>
    <m/>
    <n v="131"/>
    <n v="786.7"/>
    <s v="Average"/>
    <s v="Popular"/>
    <s v="Yes"/>
    <s v="High"/>
    <n v="655.7"/>
    <n v="600.53435114503827"/>
  </r>
  <r>
    <s v="NFX-100382"/>
    <x v="381"/>
    <s v="TV Show"/>
    <x v="10"/>
    <n v="2018"/>
    <s v="USA"/>
    <s v="2021-08-10"/>
    <n v="33"/>
    <s v="16+"/>
    <n v="7.8"/>
    <n v="452.3"/>
    <s v="German"/>
    <s v="Christopher Nolan"/>
    <s v="Chris Evans"/>
    <n v="2"/>
    <n v="186"/>
    <n v="585.70000000000005"/>
    <s v="Average"/>
    <s v="Blockbuster"/>
    <s v="No"/>
    <s v="High"/>
    <n v="399.70000000000005"/>
    <n v="314.89247311827961"/>
  </r>
  <r>
    <s v="NFX-100383"/>
    <x v="382"/>
    <s v="Movie"/>
    <x v="2"/>
    <n v="2012"/>
    <s v="Australia"/>
    <s v="2018-10-06"/>
    <n v="91"/>
    <s v="PG"/>
    <n v="5.7"/>
    <n v="93.1"/>
    <s v="Japanese"/>
    <s v="Ridley Scott"/>
    <s v="Robert Downey Jr."/>
    <m/>
    <n v="93"/>
    <n v="556.5"/>
    <s v="Flop"/>
    <s v="Normal"/>
    <s v="Yes"/>
    <s v="Low"/>
    <n v="463.5"/>
    <n v="598.38709677419354"/>
  </r>
  <r>
    <s v="NFX-100384"/>
    <x v="383"/>
    <s v="TV Show"/>
    <x v="1"/>
    <n v="2012"/>
    <s v="USA"/>
    <s v="2023-08-06"/>
    <n v="60"/>
    <s v="18+"/>
    <n v="5"/>
    <n v="530.1"/>
    <s v="German"/>
    <s v="Steven Spielberg"/>
    <s v="Ryan Gosling"/>
    <n v="6"/>
    <n v="26"/>
    <n v="123.9"/>
    <s v="Flop"/>
    <s v="Blockbuster"/>
    <s v="No"/>
    <s v="Low"/>
    <n v="97.9"/>
    <n v="476.53846153846155"/>
  </r>
  <r>
    <s v="NFX-100385"/>
    <x v="384"/>
    <s v="Movie"/>
    <x v="8"/>
    <n v="2003"/>
    <s v="Germany"/>
    <s v="2019-11-01"/>
    <n v="146"/>
    <s v="PG"/>
    <n v="7.9"/>
    <n v="368.7"/>
    <s v="Japanese"/>
    <s v="Steven Spielberg"/>
    <s v="Deepika Padukone"/>
    <m/>
    <n v="98"/>
    <n v="431.3"/>
    <s v="Average"/>
    <s v="Popular"/>
    <s v="Yes"/>
    <s v="Low"/>
    <n v="333.3"/>
    <n v="440.10204081632656"/>
  </r>
  <r>
    <s v="NFX-100386"/>
    <x v="385"/>
    <s v="Movie"/>
    <x v="9"/>
    <n v="2001"/>
    <s v="India"/>
    <s v="2024-05-05"/>
    <n v="138"/>
    <s v="PG"/>
    <n v="9"/>
    <n v="457.4"/>
    <s v="French"/>
    <s v="Christopher Nolan"/>
    <s v="Song Kang-ho"/>
    <m/>
    <n v="195"/>
    <n v="910.6"/>
    <s v="Hit"/>
    <s v="Blockbuster"/>
    <s v="Yes"/>
    <s v="High"/>
    <n v="715.6"/>
    <n v="466.97435897435895"/>
  </r>
  <r>
    <s v="NFX-100387"/>
    <x v="386"/>
    <s v="TV Show"/>
    <x v="4"/>
    <n v="2004"/>
    <s v="Japan"/>
    <s v="2019-06-20"/>
    <n v="31"/>
    <s v="16+"/>
    <n v="8.8000000000000007"/>
    <n v="313.10000000000002"/>
    <s v="French"/>
    <s v="Quentin Tarantino"/>
    <s v="Ranbir Kapoor"/>
    <n v="7"/>
    <n v="164"/>
    <n v="547.4"/>
    <s v="Hit"/>
    <s v="Popular"/>
    <s v="No"/>
    <s v="High"/>
    <n v="383.4"/>
    <n v="333.78048780487808"/>
  </r>
  <r>
    <s v="NFX-100388"/>
    <x v="387"/>
    <s v="Movie"/>
    <x v="9"/>
    <n v="2006"/>
    <s v="Australia"/>
    <s v="2023-06-17"/>
    <n v="86"/>
    <s v="PG-13"/>
    <n v="4.5999999999999996"/>
    <n v="68"/>
    <s v="French"/>
    <s v="Guillermo del Toro"/>
    <s v="Chris Evans"/>
    <m/>
    <n v="157"/>
    <n v="189.7"/>
    <s v="Flop"/>
    <s v="Normal"/>
    <s v="No"/>
    <s v="High"/>
    <n v="32.699999999999989"/>
    <n v="120.82802547770699"/>
  </r>
  <r>
    <s v="NFX-100389"/>
    <x v="388"/>
    <s v="TV Show"/>
    <x v="7"/>
    <n v="2017"/>
    <s v="India"/>
    <s v="2020-04-22"/>
    <n v="48"/>
    <s v="18+"/>
    <n v="9.1999999999999993"/>
    <n v="401.3"/>
    <s v="French"/>
    <s v="Steven Spielberg"/>
    <s v="Chris Evans"/>
    <n v="3"/>
    <n v="150"/>
    <n v="529.79999999999995"/>
    <s v="Hit"/>
    <s v="Blockbuster"/>
    <s v="No"/>
    <s v="High"/>
    <n v="379.79999999999995"/>
    <n v="353.19999999999993"/>
  </r>
  <r>
    <s v="NFX-100390"/>
    <x v="389"/>
    <s v="Movie"/>
    <x v="3"/>
    <n v="2010"/>
    <s v="Spain"/>
    <s v="2018-08-04"/>
    <n v="133"/>
    <s v="G"/>
    <n v="6"/>
    <n v="579.4"/>
    <s v="Spanish"/>
    <s v="Quentin Tarantino"/>
    <s v="Timothée Chalamet"/>
    <m/>
    <n v="199"/>
    <n v="352.6"/>
    <s v="Average"/>
    <s v="Blockbuster"/>
    <s v="Yes"/>
    <s v="High"/>
    <n v="153.60000000000002"/>
    <n v="177.18592964824123"/>
  </r>
  <r>
    <s v="NFX-100391"/>
    <x v="390"/>
    <s v="Movie"/>
    <x v="0"/>
    <n v="2003"/>
    <s v="France"/>
    <s v="2020-07-14"/>
    <n v="86"/>
    <s v="18+"/>
    <n v="5.3"/>
    <n v="358.5"/>
    <s v="French"/>
    <s v="Park Chan-wook"/>
    <s v="Leonardo DiCaprio"/>
    <m/>
    <n v="134"/>
    <n v="458.4"/>
    <s v="Flop"/>
    <s v="Popular"/>
    <s v="No"/>
    <s v="High"/>
    <n v="324.39999999999998"/>
    <n v="342.08955223880599"/>
  </r>
  <r>
    <s v="NFX-100392"/>
    <x v="391"/>
    <s v="TV Show"/>
    <x v="9"/>
    <n v="2006"/>
    <s v="Australia"/>
    <s v="2024-09-16"/>
    <n v="41"/>
    <s v="18+"/>
    <n v="4.9000000000000004"/>
    <n v="226.7"/>
    <s v="Spanish"/>
    <s v="Rajkumar Hirani"/>
    <s v="Ryan Gosling"/>
    <n v="4"/>
    <n v="170"/>
    <n v="804.2"/>
    <s v="Flop"/>
    <s v="Popular"/>
    <s v="No"/>
    <s v="High"/>
    <n v="634.20000000000005"/>
    <n v="473.05882352941177"/>
  </r>
  <r>
    <s v="NFX-100393"/>
    <x v="392"/>
    <s v="TV Show"/>
    <x v="5"/>
    <n v="2022"/>
    <s v="USA"/>
    <s v="2021-04-15"/>
    <n v="53"/>
    <s v="18+"/>
    <n v="9.5"/>
    <n v="435.7"/>
    <s v="French"/>
    <s v="Guillermo del Toro"/>
    <s v="Jennifer Lawrence"/>
    <n v="5"/>
    <n v="86"/>
    <n v="414.3"/>
    <s v="Hit"/>
    <s v="Blockbuster"/>
    <s v="No"/>
    <s v="Low"/>
    <n v="328.3"/>
    <n v="481.74418604651169"/>
  </r>
  <r>
    <s v="NFX-100394"/>
    <x v="393"/>
    <s v="Movie"/>
    <x v="5"/>
    <n v="2018"/>
    <s v="Australia"/>
    <s v="2018-12-08"/>
    <n v="120"/>
    <s v="PG"/>
    <n v="6.1"/>
    <n v="321.5"/>
    <s v="French"/>
    <s v="Martin Scorsese"/>
    <s v="Ranbir Kapoor"/>
    <m/>
    <n v="38"/>
    <n v="222.3"/>
    <s v="Average"/>
    <s v="Popular"/>
    <s v="Yes"/>
    <s v="Low"/>
    <n v="184.3"/>
    <n v="585"/>
  </r>
  <r>
    <s v="NFX-100395"/>
    <x v="394"/>
    <s v="TV Show"/>
    <x v="10"/>
    <n v="2001"/>
    <s v="Japan"/>
    <s v="2021-12-30"/>
    <n v="52"/>
    <s v="G"/>
    <n v="6.1"/>
    <n v="75.400000000000006"/>
    <s v="Hindi"/>
    <s v="Denis Villeneuve"/>
    <s v="Song Kang-ho"/>
    <n v="1"/>
    <n v="186"/>
    <n v="1010"/>
    <s v="Average"/>
    <s v="Normal"/>
    <s v="Yes"/>
    <s v="High"/>
    <n v="824"/>
    <n v="543.01075268817203"/>
  </r>
  <r>
    <s v="NFX-100396"/>
    <x v="395"/>
    <s v="Movie"/>
    <x v="4"/>
    <n v="2000"/>
    <s v="Australia"/>
    <s v="2018-05-18"/>
    <n v="113"/>
    <s v="G"/>
    <n v="7.6"/>
    <n v="112.9"/>
    <s v="Korean"/>
    <s v="Rajkumar Hirani"/>
    <s v="Leonardo DiCaprio"/>
    <m/>
    <n v="138"/>
    <n v="821.4"/>
    <s v="Average"/>
    <s v="Normal"/>
    <s v="Yes"/>
    <s v="High"/>
    <n v="683.4"/>
    <n v="595.21739130434787"/>
  </r>
  <r>
    <s v="NFX-100397"/>
    <x v="396"/>
    <s v="TV Show"/>
    <x v="0"/>
    <n v="2023"/>
    <s v="France"/>
    <s v="2023-02-06"/>
    <n v="58"/>
    <s v="16+"/>
    <n v="4.7"/>
    <n v="357.8"/>
    <s v="Korean"/>
    <s v="Guillermo del Toro"/>
    <s v="Shah Rukh Khan"/>
    <n v="8"/>
    <n v="172"/>
    <n v="1108.2"/>
    <s v="Flop"/>
    <s v="Popular"/>
    <s v="No"/>
    <s v="High"/>
    <n v="936.2"/>
    <n v="644.30232558139539"/>
  </r>
  <r>
    <s v="NFX-100398"/>
    <x v="397"/>
    <s v="Movie"/>
    <x v="1"/>
    <n v="2008"/>
    <s v="UK"/>
    <s v="2019-08-09"/>
    <n v="180"/>
    <s v="G"/>
    <n v="4.7"/>
    <n v="169.9"/>
    <s v="Korean"/>
    <s v="Christopher Nolan"/>
    <s v="Timothée Chalamet"/>
    <m/>
    <n v="60"/>
    <n v="167.1"/>
    <s v="Flop"/>
    <s v="Normal"/>
    <s v="Yes"/>
    <s v="Low"/>
    <n v="107.1"/>
    <n v="278.49999999999994"/>
  </r>
  <r>
    <s v="NFX-100399"/>
    <x v="398"/>
    <s v="TV Show"/>
    <x v="1"/>
    <n v="2005"/>
    <s v="India"/>
    <s v="2024-03-12"/>
    <n v="49"/>
    <s v="G"/>
    <n v="6.5"/>
    <n v="510.1"/>
    <s v="Japanese"/>
    <s v="Quentin Tarantino"/>
    <s v="Scarlett Johansson"/>
    <n v="6"/>
    <n v="145"/>
    <n v="516.4"/>
    <s v="Average"/>
    <s v="Blockbuster"/>
    <s v="Yes"/>
    <s v="High"/>
    <n v="371.4"/>
    <n v="356.13793103448273"/>
  </r>
  <r>
    <s v="NFX-100400"/>
    <x v="399"/>
    <s v="Movie"/>
    <x v="9"/>
    <n v="2006"/>
    <s v="Canada"/>
    <s v="2020-03-25"/>
    <n v="132"/>
    <s v="16+"/>
    <n v="4.7"/>
    <n v="407"/>
    <s v="French"/>
    <s v="Bong Joon-ho"/>
    <s v="Shah Rukh Khan"/>
    <m/>
    <n v="120"/>
    <n v="232.3"/>
    <s v="Flop"/>
    <s v="Blockbuster"/>
    <s v="No"/>
    <s v="High"/>
    <n v="112.30000000000001"/>
    <n v="193.58333333333334"/>
  </r>
  <r>
    <s v="NFX-100401"/>
    <x v="400"/>
    <s v="TV Show"/>
    <x v="0"/>
    <n v="2017"/>
    <s v="South Korea"/>
    <s v="2024-10-08"/>
    <n v="51"/>
    <s v="18+"/>
    <n v="6.9"/>
    <n v="255.6"/>
    <s v="Japanese"/>
    <s v="Christopher Nolan"/>
    <s v="Ranbir Kapoor"/>
    <n v="3"/>
    <n v="122"/>
    <n v="312.89999999999998"/>
    <s v="Average"/>
    <s v="Popular"/>
    <s v="No"/>
    <s v="High"/>
    <n v="190.89999999999998"/>
    <n v="256.47540983606552"/>
  </r>
  <r>
    <s v="NFX-100402"/>
    <x v="401"/>
    <s v="TV Show"/>
    <x v="6"/>
    <n v="2023"/>
    <s v="USA"/>
    <s v="2018-06-22"/>
    <n v="60"/>
    <s v="16+"/>
    <n v="9.6"/>
    <n v="538.6"/>
    <s v="Korean"/>
    <s v="Rajkumar Hirani"/>
    <s v="Chris Evans"/>
    <n v="1"/>
    <n v="160"/>
    <n v="424"/>
    <s v="Hit"/>
    <s v="Blockbuster"/>
    <s v="No"/>
    <s v="High"/>
    <n v="264"/>
    <n v="265"/>
  </r>
  <r>
    <s v="NFX-100403"/>
    <x v="402"/>
    <s v="TV Show"/>
    <x v="5"/>
    <n v="2017"/>
    <s v="Spain"/>
    <s v="2021-09-24"/>
    <n v="45"/>
    <s v="G"/>
    <n v="7.6"/>
    <n v="322.2"/>
    <s v="Hindi"/>
    <s v="Zoya Akhtar"/>
    <s v="Emma Stone"/>
    <n v="6"/>
    <n v="161"/>
    <n v="842.9"/>
    <s v="Average"/>
    <s v="Popular"/>
    <s v="Yes"/>
    <s v="High"/>
    <n v="681.9"/>
    <n v="523.54037267080741"/>
  </r>
  <r>
    <s v="NFX-100404"/>
    <x v="403"/>
    <s v="Movie"/>
    <x v="7"/>
    <n v="2013"/>
    <s v="France"/>
    <s v="2021-12-09"/>
    <n v="118"/>
    <s v="18+"/>
    <n v="9.4"/>
    <n v="304.39999999999998"/>
    <s v="English"/>
    <s v="James Cameron"/>
    <s v="Jennifer Lawrence"/>
    <m/>
    <n v="86"/>
    <n v="317.3"/>
    <s v="Hit"/>
    <s v="Popular"/>
    <s v="No"/>
    <s v="Low"/>
    <n v="231.3"/>
    <n v="368.95348837209303"/>
  </r>
  <r>
    <s v="NFX-100405"/>
    <x v="404"/>
    <s v="Movie"/>
    <x v="3"/>
    <n v="2004"/>
    <s v="India"/>
    <s v="2018-03-04"/>
    <n v="107"/>
    <s v="16+"/>
    <n v="9.1"/>
    <n v="272.7"/>
    <s v="Hindi"/>
    <s v="Quentin Tarantino"/>
    <s v="Lee Jung-jae"/>
    <m/>
    <n v="106"/>
    <n v="686.3"/>
    <s v="Hit"/>
    <s v="Popular"/>
    <s v="No"/>
    <s v="High"/>
    <n v="580.29999999999995"/>
    <n v="647.45283018867917"/>
  </r>
  <r>
    <s v="NFX-100406"/>
    <x v="405"/>
    <s v="Movie"/>
    <x v="8"/>
    <n v="2008"/>
    <s v="South Korea"/>
    <s v="2024-02-12"/>
    <n v="165"/>
    <s v="G"/>
    <n v="8.8000000000000007"/>
    <n v="149.69999999999999"/>
    <s v="English"/>
    <s v="Zoya Akhtar"/>
    <s v="Ryan Gosling"/>
    <m/>
    <n v="45"/>
    <n v="121.4"/>
    <s v="Hit"/>
    <s v="Normal"/>
    <s v="Yes"/>
    <s v="Low"/>
    <n v="76.400000000000006"/>
    <n v="269.77777777777783"/>
  </r>
  <r>
    <s v="NFX-100407"/>
    <x v="406"/>
    <s v="Movie"/>
    <x v="1"/>
    <n v="2009"/>
    <s v="South Korea"/>
    <s v="2021-08-12"/>
    <n v="179"/>
    <s v="PG-13"/>
    <n v="8.6999999999999993"/>
    <n v="342.6"/>
    <s v="Korean"/>
    <s v="Steven Spielberg"/>
    <s v="Emma Stone"/>
    <m/>
    <n v="38"/>
    <n v="157.6"/>
    <s v="Hit"/>
    <s v="Popular"/>
    <s v="No"/>
    <s v="Low"/>
    <n v="119.6"/>
    <n v="414.73684210526312"/>
  </r>
  <r>
    <s v="NFX-100408"/>
    <x v="407"/>
    <s v="TV Show"/>
    <x v="8"/>
    <n v="2004"/>
    <s v="Australia"/>
    <s v="2019-04-18"/>
    <n v="42"/>
    <s v="PG"/>
    <n v="6.1"/>
    <n v="343.6"/>
    <s v="Hindi"/>
    <s v="Zoya Akhtar"/>
    <s v="Robert Downey Jr."/>
    <n v="6"/>
    <n v="37"/>
    <n v="53.8"/>
    <s v="Average"/>
    <s v="Popular"/>
    <s v="Yes"/>
    <s v="Low"/>
    <n v="16.799999999999997"/>
    <n v="145.40540540540542"/>
  </r>
  <r>
    <s v="NFX-100409"/>
    <x v="408"/>
    <s v="TV Show"/>
    <x v="0"/>
    <n v="2021"/>
    <s v="USA"/>
    <s v="2018-10-13"/>
    <n v="33"/>
    <s v="PG"/>
    <n v="5.0999999999999996"/>
    <n v="584.9"/>
    <s v="Korean"/>
    <s v="Christopher Nolan"/>
    <s v="Chris Evans"/>
    <n v="7"/>
    <n v="12"/>
    <n v="21.2"/>
    <s v="Flop"/>
    <s v="Blockbuster"/>
    <s v="Yes"/>
    <s v="Low"/>
    <n v="9.1999999999999993"/>
    <n v="176.66666666666666"/>
  </r>
  <r>
    <s v="NFX-100410"/>
    <x v="409"/>
    <s v="Movie"/>
    <x v="7"/>
    <n v="2007"/>
    <s v="Japan"/>
    <s v="2019-10-15"/>
    <n v="91"/>
    <s v="16+"/>
    <n v="5.5"/>
    <n v="573.4"/>
    <s v="French"/>
    <s v="Sanjay Leela Bhansali"/>
    <s v="Shah Rukh Khan"/>
    <m/>
    <n v="188"/>
    <n v="1136.4000000000001"/>
    <s v="Flop"/>
    <s v="Blockbuster"/>
    <s v="No"/>
    <s v="High"/>
    <n v="948.40000000000009"/>
    <n v="604.46808510638311"/>
  </r>
  <r>
    <s v="NFX-100411"/>
    <x v="410"/>
    <s v="TV Show"/>
    <x v="1"/>
    <n v="2023"/>
    <s v="Germany"/>
    <s v="2024-02-26"/>
    <n v="36"/>
    <s v="16+"/>
    <n v="6.9"/>
    <n v="565.70000000000005"/>
    <s v="Spanish"/>
    <s v="Bong Joon-ho"/>
    <s v="Ranbir Kapoor"/>
    <n v="6"/>
    <n v="93"/>
    <n v="350.9"/>
    <s v="Average"/>
    <s v="Blockbuster"/>
    <s v="No"/>
    <s v="Low"/>
    <n v="257.89999999999998"/>
    <n v="377.31182795698925"/>
  </r>
  <r>
    <s v="NFX-100412"/>
    <x v="411"/>
    <s v="TV Show"/>
    <x v="6"/>
    <n v="2012"/>
    <s v="France"/>
    <s v="2021-06-29"/>
    <n v="36"/>
    <s v="PG"/>
    <n v="5.9"/>
    <n v="268.8"/>
    <s v="Japanese"/>
    <s v="Quentin Tarantino"/>
    <s v="Shah Rukh Khan"/>
    <n v="3"/>
    <n v="183"/>
    <n v="483.2"/>
    <s v="Flop"/>
    <s v="Popular"/>
    <s v="Yes"/>
    <s v="High"/>
    <n v="300.2"/>
    <n v="264.04371584699453"/>
  </r>
  <r>
    <s v="NFX-100413"/>
    <x v="412"/>
    <s v="TV Show"/>
    <x v="0"/>
    <n v="2021"/>
    <s v="Germany"/>
    <s v="2022-11-13"/>
    <n v="33"/>
    <s v="18+"/>
    <n v="7.1"/>
    <n v="30.2"/>
    <s v="Korean"/>
    <s v="Anurag Kashyap"/>
    <s v="Scarlett Johansson"/>
    <n v="3"/>
    <n v="50"/>
    <n v="123"/>
    <s v="Average"/>
    <s v="Normal"/>
    <s v="No"/>
    <s v="Low"/>
    <n v="73"/>
    <n v="246"/>
  </r>
  <r>
    <s v="NFX-100414"/>
    <x v="413"/>
    <s v="TV Show"/>
    <x v="6"/>
    <n v="2003"/>
    <s v="Spain"/>
    <s v="2023-04-25"/>
    <n v="37"/>
    <s v="18+"/>
    <n v="6.1"/>
    <n v="363.9"/>
    <s v="French"/>
    <s v="Rajkumar Hirani"/>
    <s v="Jennifer Lawrence"/>
    <n v="4"/>
    <n v="175"/>
    <n v="993.4"/>
    <s v="Average"/>
    <s v="Popular"/>
    <s v="No"/>
    <s v="High"/>
    <n v="818.4"/>
    <n v="567.65714285714284"/>
  </r>
  <r>
    <s v="NFX-100415"/>
    <x v="414"/>
    <s v="Movie"/>
    <x v="3"/>
    <n v="2000"/>
    <s v="South Korea"/>
    <s v="2023-12-17"/>
    <n v="99"/>
    <s v="G"/>
    <n v="6.7"/>
    <n v="79.400000000000006"/>
    <s v="Spanish"/>
    <s v="Denis Villeneuve"/>
    <s v="Jennifer Lawrence"/>
    <m/>
    <n v="134"/>
    <n v="435.8"/>
    <s v="Average"/>
    <s v="Normal"/>
    <s v="Yes"/>
    <s v="High"/>
    <n v="301.8"/>
    <n v="325.22388059701495"/>
  </r>
  <r>
    <s v="NFX-100416"/>
    <x v="415"/>
    <s v="Movie"/>
    <x v="10"/>
    <n v="2000"/>
    <s v="Germany"/>
    <s v="2024-05-14"/>
    <n v="120"/>
    <s v="18+"/>
    <n v="8.5"/>
    <n v="181.7"/>
    <s v="Japanese"/>
    <s v="Zoya Akhtar"/>
    <s v="Emma Stone"/>
    <m/>
    <n v="41"/>
    <n v="127.4"/>
    <s v="Hit"/>
    <s v="Normal"/>
    <s v="No"/>
    <s v="Low"/>
    <n v="86.4"/>
    <n v="310.73170731707319"/>
  </r>
  <r>
    <s v="NFX-100417"/>
    <x v="416"/>
    <s v="Movie"/>
    <x v="10"/>
    <n v="2001"/>
    <s v="Germany"/>
    <s v="2022-07-28"/>
    <n v="147"/>
    <s v="G"/>
    <n v="9.6"/>
    <n v="596"/>
    <s v="Japanese"/>
    <s v="Rajkumar Hirani"/>
    <s v="Deepika Padukone"/>
    <m/>
    <n v="89"/>
    <n v="279"/>
    <s v="Hit"/>
    <s v="Blockbuster"/>
    <s v="Yes"/>
    <s v="Low"/>
    <n v="190"/>
    <n v="313.4831460674157"/>
  </r>
  <r>
    <s v="NFX-100418"/>
    <x v="417"/>
    <s v="TV Show"/>
    <x v="3"/>
    <n v="2009"/>
    <s v="Japan"/>
    <s v="2019-02-03"/>
    <n v="43"/>
    <s v="PG-13"/>
    <n v="7.1"/>
    <n v="446.6"/>
    <s v="Hindi"/>
    <s v="Steven Spielberg"/>
    <s v="Song Kang-ho"/>
    <n v="5"/>
    <n v="57"/>
    <n v="352.6"/>
    <s v="Average"/>
    <s v="Blockbuster"/>
    <s v="No"/>
    <s v="Low"/>
    <n v="295.60000000000002"/>
    <n v="618.59649122807014"/>
  </r>
  <r>
    <s v="NFX-100419"/>
    <x v="418"/>
    <s v="Movie"/>
    <x v="4"/>
    <n v="2012"/>
    <s v="USA"/>
    <s v="2021-01-13"/>
    <n v="154"/>
    <s v="16+"/>
    <n v="7.1"/>
    <n v="543.4"/>
    <s v="English"/>
    <s v="Anurag Kashyap"/>
    <s v="Scarlett Johansson"/>
    <m/>
    <n v="52"/>
    <n v="310.10000000000002"/>
    <s v="Average"/>
    <s v="Blockbuster"/>
    <s v="No"/>
    <s v="Low"/>
    <n v="258.10000000000002"/>
    <n v="596.34615384615392"/>
  </r>
  <r>
    <s v="NFX-100420"/>
    <x v="419"/>
    <s v="TV Show"/>
    <x v="1"/>
    <n v="2008"/>
    <s v="South Korea"/>
    <s v="2019-05-22"/>
    <n v="43"/>
    <s v="16+"/>
    <n v="7.5"/>
    <n v="252.8"/>
    <s v="German"/>
    <s v="Ridley Scott"/>
    <s v="Robert Downey Jr."/>
    <n v="1"/>
    <n v="84"/>
    <n v="179.4"/>
    <s v="Average"/>
    <s v="Popular"/>
    <s v="No"/>
    <s v="Low"/>
    <n v="95.4"/>
    <n v="213.57142857142856"/>
  </r>
  <r>
    <s v="NFX-100421"/>
    <x v="420"/>
    <s v="TV Show"/>
    <x v="6"/>
    <n v="2010"/>
    <s v="Canada"/>
    <s v="2020-07-11"/>
    <n v="50"/>
    <s v="18+"/>
    <n v="8.6"/>
    <n v="535.79999999999995"/>
    <s v="German"/>
    <s v="Anurag Kashyap"/>
    <s v="Shah Rukh Khan"/>
    <n v="3"/>
    <n v="116"/>
    <n v="249.4"/>
    <s v="Hit"/>
    <s v="Blockbuster"/>
    <s v="No"/>
    <s v="High"/>
    <n v="133.4"/>
    <n v="215"/>
  </r>
  <r>
    <s v="NFX-100422"/>
    <x v="421"/>
    <s v="TV Show"/>
    <x v="3"/>
    <n v="2011"/>
    <s v="Canada"/>
    <s v="2018-01-21"/>
    <n v="41"/>
    <s v="16+"/>
    <n v="5.0999999999999996"/>
    <n v="185.3"/>
    <s v="Korean"/>
    <s v="Quentin Tarantino"/>
    <s v="Robert Downey Jr."/>
    <n v="7"/>
    <n v="92"/>
    <n v="179.8"/>
    <s v="Flop"/>
    <s v="Normal"/>
    <s v="No"/>
    <s v="Low"/>
    <n v="87.800000000000011"/>
    <n v="195.43478260869566"/>
  </r>
  <r>
    <s v="NFX-100423"/>
    <x v="422"/>
    <s v="TV Show"/>
    <x v="5"/>
    <n v="2023"/>
    <s v="Germany"/>
    <s v="2018-04-19"/>
    <n v="39"/>
    <s v="G"/>
    <n v="9.1999999999999993"/>
    <n v="157.4"/>
    <s v="German"/>
    <s v="Christopher Nolan"/>
    <s v="Emma Stone"/>
    <n v="6"/>
    <n v="34"/>
    <n v="48.2"/>
    <s v="Hit"/>
    <s v="Normal"/>
    <s v="Yes"/>
    <s v="Low"/>
    <n v="14.200000000000003"/>
    <n v="141.76470588235296"/>
  </r>
  <r>
    <s v="NFX-100424"/>
    <x v="423"/>
    <s v="Movie"/>
    <x v="4"/>
    <n v="2017"/>
    <s v="Germany"/>
    <s v="2022-11-20"/>
    <n v="158"/>
    <s v="PG"/>
    <n v="6.3"/>
    <n v="115.1"/>
    <s v="Korean"/>
    <s v="Sanjay Leela Bhansali"/>
    <s v="Robert Downey Jr."/>
    <m/>
    <n v="59"/>
    <n v="243.5"/>
    <s v="Average"/>
    <s v="Normal"/>
    <s v="Yes"/>
    <s v="Low"/>
    <n v="184.5"/>
    <n v="412.71186440677968"/>
  </r>
  <r>
    <s v="NFX-100425"/>
    <x v="424"/>
    <s v="Movie"/>
    <x v="4"/>
    <n v="2000"/>
    <s v="Canada"/>
    <s v="2021-10-18"/>
    <n v="85"/>
    <s v="16+"/>
    <n v="8.6999999999999993"/>
    <n v="158.30000000000001"/>
    <s v="English"/>
    <s v="Rajkumar Hirani"/>
    <s v="Lee Jung-jae"/>
    <m/>
    <n v="38"/>
    <n v="79.7"/>
    <s v="Hit"/>
    <s v="Normal"/>
    <s v="No"/>
    <s v="Low"/>
    <n v="41.7"/>
    <n v="209.73684210526318"/>
  </r>
  <r>
    <s v="NFX-100426"/>
    <x v="425"/>
    <s v="TV Show"/>
    <x v="0"/>
    <n v="2009"/>
    <s v="France"/>
    <s v="2021-04-24"/>
    <n v="37"/>
    <s v="16+"/>
    <n v="8.5"/>
    <n v="346.7"/>
    <s v="German"/>
    <s v="Rajkumar Hirani"/>
    <s v="Timothée Chalamet"/>
    <n v="5"/>
    <n v="106"/>
    <n v="618.1"/>
    <s v="Hit"/>
    <s v="Popular"/>
    <s v="No"/>
    <s v="High"/>
    <n v="512.1"/>
    <n v="583.11320754716985"/>
  </r>
  <r>
    <s v="NFX-100427"/>
    <x v="426"/>
    <s v="TV Show"/>
    <x v="3"/>
    <n v="2020"/>
    <s v="India"/>
    <s v="2021-05-06"/>
    <n v="52"/>
    <s v="16+"/>
    <n v="6.5"/>
    <n v="33.200000000000003"/>
    <s v="Spanish"/>
    <s v="Steven Spielberg"/>
    <s v="Scarlett Johansson"/>
    <n v="7"/>
    <n v="136"/>
    <n v="495.8"/>
    <s v="Average"/>
    <s v="Normal"/>
    <s v="No"/>
    <s v="High"/>
    <n v="359.8"/>
    <n v="364.55882352941177"/>
  </r>
  <r>
    <s v="NFX-100428"/>
    <x v="427"/>
    <s v="TV Show"/>
    <x v="9"/>
    <n v="2005"/>
    <s v="Germany"/>
    <s v="2020-09-27"/>
    <n v="30"/>
    <s v="G"/>
    <n v="5.0999999999999996"/>
    <n v="44.1"/>
    <s v="German"/>
    <s v="Guillermo del Toro"/>
    <s v="Deepika Padukone"/>
    <n v="6"/>
    <n v="182"/>
    <n v="315.2"/>
    <s v="Flop"/>
    <s v="Normal"/>
    <s v="Yes"/>
    <s v="High"/>
    <n v="133.19999999999999"/>
    <n v="173.18681318681317"/>
  </r>
  <r>
    <s v="NFX-100429"/>
    <x v="428"/>
    <s v="TV Show"/>
    <x v="10"/>
    <n v="2020"/>
    <s v="USA"/>
    <s v="2020-09-11"/>
    <n v="54"/>
    <s v="18+"/>
    <n v="5.4"/>
    <n v="342"/>
    <s v="Spanish"/>
    <s v="Greta Gerwig"/>
    <s v="Shah Rukh Khan"/>
    <n v="7"/>
    <n v="191"/>
    <n v="475.8"/>
    <s v="Flop"/>
    <s v="Popular"/>
    <s v="No"/>
    <s v="High"/>
    <n v="284.8"/>
    <n v="249.10994764397904"/>
  </r>
  <r>
    <s v="NFX-100430"/>
    <x v="429"/>
    <s v="Movie"/>
    <x v="4"/>
    <n v="2001"/>
    <s v="France"/>
    <s v="2022-08-18"/>
    <n v="118"/>
    <s v="G"/>
    <n v="8.9"/>
    <n v="248.1"/>
    <s v="German"/>
    <s v="Park Chan-wook"/>
    <s v="Timothée Chalamet"/>
    <m/>
    <n v="117"/>
    <n v="562.79999999999995"/>
    <s v="Hit"/>
    <s v="Popular"/>
    <s v="Yes"/>
    <s v="High"/>
    <n v="445.79999999999995"/>
    <n v="481.02564102564099"/>
  </r>
  <r>
    <s v="NFX-100431"/>
    <x v="430"/>
    <s v="TV Show"/>
    <x v="3"/>
    <n v="2013"/>
    <s v="Spain"/>
    <s v="2019-05-17"/>
    <n v="60"/>
    <s v="PG"/>
    <n v="4.7"/>
    <n v="493"/>
    <s v="English"/>
    <s v="Sanjay Leela Bhansali"/>
    <s v="Emma Stone"/>
    <n v="5"/>
    <n v="152"/>
    <n v="438.8"/>
    <s v="Flop"/>
    <s v="Blockbuster"/>
    <s v="Yes"/>
    <s v="High"/>
    <n v="286.8"/>
    <n v="288.68421052631578"/>
  </r>
  <r>
    <s v="NFX-100432"/>
    <x v="431"/>
    <s v="TV Show"/>
    <x v="8"/>
    <n v="2013"/>
    <s v="Australia"/>
    <s v="2018-04-20"/>
    <n v="41"/>
    <s v="PG"/>
    <n v="7.3"/>
    <n v="516.70000000000005"/>
    <s v="German"/>
    <s v="Steven Spielberg"/>
    <s v="Ryan Gosling"/>
    <n v="6"/>
    <n v="45"/>
    <n v="195.6"/>
    <s v="Average"/>
    <s v="Blockbuster"/>
    <s v="Yes"/>
    <s v="Low"/>
    <n v="150.6"/>
    <n v="434.66666666666669"/>
  </r>
  <r>
    <s v="NFX-100433"/>
    <x v="432"/>
    <s v="Movie"/>
    <x v="1"/>
    <n v="2015"/>
    <s v="Japan"/>
    <s v="2018-06-22"/>
    <n v="102"/>
    <s v="PG"/>
    <n v="8.9"/>
    <n v="326.39999999999998"/>
    <s v="English"/>
    <s v="Greta Gerwig"/>
    <s v="Lee Jung-jae"/>
    <m/>
    <n v="98"/>
    <n v="405.7"/>
    <s v="Hit"/>
    <s v="Popular"/>
    <s v="Yes"/>
    <s v="Low"/>
    <n v="307.7"/>
    <n v="413.9795918367347"/>
  </r>
  <r>
    <s v="NFX-100434"/>
    <x v="433"/>
    <s v="Movie"/>
    <x v="2"/>
    <n v="2006"/>
    <s v="France"/>
    <s v="2021-11-16"/>
    <n v="140"/>
    <s v="PG-13"/>
    <n v="9.1"/>
    <n v="521.9"/>
    <s v="French"/>
    <s v="Christopher Nolan"/>
    <s v="Song Kang-ho"/>
    <m/>
    <n v="12"/>
    <n v="73.8"/>
    <s v="Hit"/>
    <s v="Blockbuster"/>
    <s v="No"/>
    <s v="Low"/>
    <n v="61.8"/>
    <n v="615"/>
  </r>
  <r>
    <s v="NFX-100435"/>
    <x v="434"/>
    <s v="TV Show"/>
    <x v="1"/>
    <n v="2009"/>
    <s v="India"/>
    <s v="2019-04-18"/>
    <n v="50"/>
    <s v="PG-13"/>
    <n v="7.8"/>
    <n v="519.9"/>
    <s v="French"/>
    <s v="Christopher Nolan"/>
    <s v="Tom Hardy"/>
    <n v="6"/>
    <n v="121"/>
    <n v="732.7"/>
    <s v="Average"/>
    <s v="Blockbuster"/>
    <s v="No"/>
    <s v="High"/>
    <n v="611.70000000000005"/>
    <n v="605.53719008264466"/>
  </r>
  <r>
    <s v="NFX-100436"/>
    <x v="435"/>
    <s v="Movie"/>
    <x v="9"/>
    <n v="2012"/>
    <s v="France"/>
    <s v="2021-11-27"/>
    <n v="135"/>
    <s v="PG"/>
    <n v="8.6"/>
    <n v="33.200000000000003"/>
    <s v="Spanish"/>
    <s v="Sanjay Leela Bhansali"/>
    <s v="Timothée Chalamet"/>
    <m/>
    <n v="56"/>
    <n v="160"/>
    <s v="Hit"/>
    <s v="Normal"/>
    <s v="Yes"/>
    <s v="Low"/>
    <n v="104"/>
    <n v="285.71428571428572"/>
  </r>
  <r>
    <s v="NFX-100437"/>
    <x v="436"/>
    <s v="Movie"/>
    <x v="0"/>
    <n v="2006"/>
    <s v="Canada"/>
    <s v="2023-10-08"/>
    <n v="123"/>
    <s v="18+"/>
    <n v="5.5"/>
    <n v="542.70000000000005"/>
    <s v="Spanish"/>
    <s v="James Cameron"/>
    <s v="Brad Pitt"/>
    <m/>
    <n v="96"/>
    <n v="438.5"/>
    <s v="Flop"/>
    <s v="Blockbuster"/>
    <s v="No"/>
    <s v="Low"/>
    <n v="342.5"/>
    <n v="456.77083333333331"/>
  </r>
  <r>
    <s v="NFX-100438"/>
    <x v="437"/>
    <s v="Movie"/>
    <x v="10"/>
    <n v="2005"/>
    <s v="USA"/>
    <s v="2024-08-01"/>
    <n v="127"/>
    <s v="16+"/>
    <n v="8.9"/>
    <n v="214.6"/>
    <s v="French"/>
    <s v="James Cameron"/>
    <s v="Chris Evans"/>
    <m/>
    <n v="60"/>
    <n v="344.7"/>
    <s v="Hit"/>
    <s v="Popular"/>
    <s v="No"/>
    <s v="Low"/>
    <n v="284.7"/>
    <n v="574.5"/>
  </r>
  <r>
    <s v="NFX-100439"/>
    <x v="438"/>
    <s v="Movie"/>
    <x v="1"/>
    <n v="2001"/>
    <s v="France"/>
    <s v="2024-05-25"/>
    <n v="126"/>
    <s v="16+"/>
    <n v="6.6"/>
    <n v="546.5"/>
    <s v="Japanese"/>
    <s v="Anurag Kashyap"/>
    <s v="Robert Downey Jr."/>
    <m/>
    <n v="162"/>
    <n v="1035.8"/>
    <s v="Average"/>
    <s v="Blockbuster"/>
    <s v="No"/>
    <s v="High"/>
    <n v="873.8"/>
    <n v="639.38271604938268"/>
  </r>
  <r>
    <s v="NFX-100440"/>
    <x v="439"/>
    <s v="Movie"/>
    <x v="7"/>
    <n v="2008"/>
    <s v="France"/>
    <s v="2022-09-01"/>
    <n v="160"/>
    <s v="16+"/>
    <n v="7.6"/>
    <n v="28.3"/>
    <s v="Japanese"/>
    <s v="Anurag Kashyap"/>
    <s v="Timothée Chalamet"/>
    <m/>
    <n v="78"/>
    <n v="170.1"/>
    <s v="Average"/>
    <s v="Normal"/>
    <s v="No"/>
    <s v="Low"/>
    <n v="92.1"/>
    <n v="218.07692307692307"/>
  </r>
  <r>
    <s v="NFX-100441"/>
    <x v="440"/>
    <s v="TV Show"/>
    <x v="2"/>
    <n v="2023"/>
    <s v="UK"/>
    <s v="2023-05-16"/>
    <n v="35"/>
    <s v="16+"/>
    <n v="8.6"/>
    <n v="343.1"/>
    <s v="Japanese"/>
    <s v="James Cameron"/>
    <s v="Emma Stone"/>
    <n v="4"/>
    <n v="185"/>
    <n v="1102.9000000000001"/>
    <s v="Hit"/>
    <s v="Popular"/>
    <s v="No"/>
    <s v="High"/>
    <n v="917.90000000000009"/>
    <n v="596.16216216216219"/>
  </r>
  <r>
    <s v="NFX-100442"/>
    <x v="441"/>
    <s v="Movie"/>
    <x v="1"/>
    <n v="2023"/>
    <s v="France"/>
    <s v="2024-10-09"/>
    <n v="151"/>
    <s v="PG-13"/>
    <n v="8.8000000000000007"/>
    <n v="579.5"/>
    <s v="Spanish"/>
    <s v="Christopher Nolan"/>
    <s v="Ranbir Kapoor"/>
    <m/>
    <n v="39"/>
    <n v="75.2"/>
    <s v="Hit"/>
    <s v="Blockbuster"/>
    <s v="No"/>
    <s v="Low"/>
    <n v="36.200000000000003"/>
    <n v="192.82051282051282"/>
  </r>
  <r>
    <s v="NFX-100443"/>
    <x v="442"/>
    <s v="Movie"/>
    <x v="2"/>
    <n v="2005"/>
    <s v="Australia"/>
    <s v="2019-04-04"/>
    <n v="81"/>
    <s v="G"/>
    <n v="9.4"/>
    <n v="110.3"/>
    <s v="German"/>
    <s v="Park Chan-wook"/>
    <s v="Ranbir Kapoor"/>
    <m/>
    <n v="126"/>
    <n v="491.8"/>
    <s v="Hit"/>
    <s v="Normal"/>
    <s v="Yes"/>
    <s v="High"/>
    <n v="365.8"/>
    <n v="390.3174603174603"/>
  </r>
  <r>
    <s v="NFX-100444"/>
    <x v="443"/>
    <s v="TV Show"/>
    <x v="7"/>
    <n v="2017"/>
    <s v="Japan"/>
    <s v="2018-04-17"/>
    <n v="41"/>
    <s v="G"/>
    <n v="9.1999999999999993"/>
    <n v="120.2"/>
    <s v="French"/>
    <s v="Guillermo del Toro"/>
    <s v="Emma Stone"/>
    <n v="6"/>
    <n v="81"/>
    <n v="476.1"/>
    <s v="Hit"/>
    <s v="Normal"/>
    <s v="Yes"/>
    <s v="Low"/>
    <n v="395.1"/>
    <n v="587.77777777777783"/>
  </r>
  <r>
    <s v="NFX-100445"/>
    <x v="444"/>
    <s v="Movie"/>
    <x v="8"/>
    <n v="2019"/>
    <s v="India"/>
    <s v="2020-02-14"/>
    <n v="132"/>
    <s v="PG-13"/>
    <n v="4.8"/>
    <n v="60.8"/>
    <s v="Korean"/>
    <s v="Denis Villeneuve"/>
    <s v="Deepika Padukone"/>
    <m/>
    <n v="36"/>
    <n v="51.9"/>
    <s v="Flop"/>
    <s v="Normal"/>
    <s v="No"/>
    <s v="Low"/>
    <n v="15.899999999999999"/>
    <n v="144.16666666666666"/>
  </r>
  <r>
    <s v="NFX-100446"/>
    <x v="445"/>
    <s v="Movie"/>
    <x v="4"/>
    <n v="2023"/>
    <s v="India"/>
    <s v="2019-05-25"/>
    <n v="103"/>
    <s v="G"/>
    <n v="9.6"/>
    <n v="362.8"/>
    <s v="Hindi"/>
    <s v="Steven Spielberg"/>
    <s v="Shah Rukh Khan"/>
    <m/>
    <n v="102"/>
    <n v="196.9"/>
    <s v="Hit"/>
    <s v="Popular"/>
    <s v="Yes"/>
    <s v="High"/>
    <n v="94.9"/>
    <n v="193.0392156862745"/>
  </r>
  <r>
    <s v="NFX-100447"/>
    <x v="446"/>
    <s v="Movie"/>
    <x v="6"/>
    <n v="2014"/>
    <s v="Canada"/>
    <s v="2024-04-09"/>
    <n v="100"/>
    <s v="G"/>
    <n v="9"/>
    <n v="225.4"/>
    <s v="Japanese"/>
    <s v="Anurag Kashyap"/>
    <s v="Tom Hardy"/>
    <m/>
    <n v="71"/>
    <n v="372.9"/>
    <s v="Hit"/>
    <s v="Popular"/>
    <s v="Yes"/>
    <s v="Low"/>
    <n v="301.89999999999998"/>
    <n v="525.21126760563379"/>
  </r>
  <r>
    <s v="NFX-100448"/>
    <x v="447"/>
    <s v="Movie"/>
    <x v="8"/>
    <n v="2020"/>
    <s v="India"/>
    <s v="2020-05-03"/>
    <n v="116"/>
    <s v="PG"/>
    <n v="4.8"/>
    <n v="67"/>
    <s v="English"/>
    <s v="Bong Joon-ho"/>
    <s v="Ranbir Kapoor"/>
    <m/>
    <n v="147"/>
    <n v="351.9"/>
    <s v="Flop"/>
    <s v="Normal"/>
    <s v="Yes"/>
    <s v="High"/>
    <n v="204.89999999999998"/>
    <n v="239.38775510204081"/>
  </r>
  <r>
    <s v="NFX-100449"/>
    <x v="448"/>
    <s v="TV Show"/>
    <x v="2"/>
    <n v="2006"/>
    <s v="France"/>
    <s v="2022-10-17"/>
    <n v="51"/>
    <s v="PG"/>
    <n v="7.9"/>
    <n v="42"/>
    <s v="English"/>
    <s v="Anurag Kashyap"/>
    <s v="Emma Stone"/>
    <n v="3"/>
    <n v="43"/>
    <n v="236.3"/>
    <s v="Average"/>
    <s v="Normal"/>
    <s v="Yes"/>
    <s v="Low"/>
    <n v="193.3"/>
    <n v="549.53488372093022"/>
  </r>
  <r>
    <s v="NFX-100450"/>
    <x v="449"/>
    <s v="TV Show"/>
    <x v="0"/>
    <n v="2010"/>
    <s v="France"/>
    <s v="2021-08-28"/>
    <n v="33"/>
    <s v="PG"/>
    <n v="6.6"/>
    <n v="481.1"/>
    <s v="English"/>
    <s v="Martin Scorsese"/>
    <s v="Timothée Chalamet"/>
    <n v="2"/>
    <n v="175"/>
    <n v="840.7"/>
    <s v="Average"/>
    <s v="Blockbuster"/>
    <s v="Yes"/>
    <s v="High"/>
    <n v="665.7"/>
    <n v="480.40000000000003"/>
  </r>
  <r>
    <s v="NFX-100451"/>
    <x v="450"/>
    <s v="TV Show"/>
    <x v="9"/>
    <n v="2009"/>
    <s v="France"/>
    <s v="2022-12-14"/>
    <n v="56"/>
    <s v="PG-13"/>
    <n v="5.3"/>
    <n v="509.1"/>
    <s v="English"/>
    <s v="Rajkumar Hirani"/>
    <s v="Shah Rukh Khan"/>
    <n v="2"/>
    <n v="93"/>
    <n v="328.7"/>
    <s v="Flop"/>
    <s v="Blockbuster"/>
    <s v="No"/>
    <s v="Low"/>
    <n v="235.7"/>
    <n v="353.44086021505376"/>
  </r>
  <r>
    <s v="NFX-100452"/>
    <x v="451"/>
    <s v="Movie"/>
    <x v="3"/>
    <n v="2007"/>
    <s v="Canada"/>
    <s v="2021-08-21"/>
    <n v="101"/>
    <s v="PG"/>
    <n v="7.9"/>
    <n v="160.19999999999999"/>
    <s v="Japanese"/>
    <s v="Denis Villeneuve"/>
    <s v="Brad Pitt"/>
    <m/>
    <n v="38"/>
    <n v="118.3"/>
    <s v="Average"/>
    <s v="Normal"/>
    <s v="Yes"/>
    <s v="Low"/>
    <n v="80.3"/>
    <n v="311.31578947368422"/>
  </r>
  <r>
    <s v="NFX-100453"/>
    <x v="452"/>
    <s v="Movie"/>
    <x v="1"/>
    <n v="2016"/>
    <s v="Australia"/>
    <s v="2020-09-29"/>
    <n v="170"/>
    <s v="16+"/>
    <n v="9"/>
    <n v="570.6"/>
    <s v="Hindi"/>
    <s v="Zoya Akhtar"/>
    <s v="Tom Hardy"/>
    <m/>
    <n v="169"/>
    <n v="936.8"/>
    <s v="Hit"/>
    <s v="Blockbuster"/>
    <s v="No"/>
    <s v="High"/>
    <n v="767.8"/>
    <n v="554.31952662721892"/>
  </r>
  <r>
    <s v="NFX-100454"/>
    <x v="453"/>
    <s v="Movie"/>
    <x v="4"/>
    <n v="2001"/>
    <s v="France"/>
    <s v="2024-02-09"/>
    <n v="156"/>
    <s v="PG"/>
    <n v="5.4"/>
    <n v="163.1"/>
    <s v="Hindi"/>
    <s v="Martin Scorsese"/>
    <s v="Jennifer Lawrence"/>
    <m/>
    <n v="181"/>
    <n v="1161.3"/>
    <s v="Flop"/>
    <s v="Normal"/>
    <s v="Yes"/>
    <s v="High"/>
    <n v="980.3"/>
    <n v="641.60220994475128"/>
  </r>
  <r>
    <s v="NFX-100455"/>
    <x v="454"/>
    <s v="Movie"/>
    <x v="3"/>
    <n v="2010"/>
    <s v="UK"/>
    <s v="2021-04-22"/>
    <n v="92"/>
    <s v="G"/>
    <n v="7.3"/>
    <n v="314.2"/>
    <s v="Spanish"/>
    <s v="Zoya Akhtar"/>
    <s v="Scarlett Johansson"/>
    <m/>
    <n v="56"/>
    <n v="89.8"/>
    <s v="Average"/>
    <s v="Popular"/>
    <s v="Yes"/>
    <s v="Low"/>
    <n v="33.799999999999997"/>
    <n v="160.35714285714283"/>
  </r>
  <r>
    <s v="NFX-100456"/>
    <x v="455"/>
    <s v="TV Show"/>
    <x v="6"/>
    <n v="2020"/>
    <s v="UK"/>
    <s v="2018-12-04"/>
    <n v="33"/>
    <s v="PG"/>
    <n v="5.3"/>
    <n v="204.6"/>
    <s v="Hindi"/>
    <s v="Martin Scorsese"/>
    <s v="Jennifer Lawrence"/>
    <n v="7"/>
    <n v="71"/>
    <n v="126.6"/>
    <s v="Flop"/>
    <s v="Popular"/>
    <s v="Yes"/>
    <s v="Low"/>
    <n v="55.599999999999994"/>
    <n v="178.30985915492957"/>
  </r>
  <r>
    <s v="NFX-100457"/>
    <x v="456"/>
    <s v="Movie"/>
    <x v="4"/>
    <n v="2018"/>
    <s v="Australia"/>
    <s v="2024-07-26"/>
    <n v="115"/>
    <s v="G"/>
    <n v="9.3000000000000007"/>
    <n v="354.3"/>
    <s v="Japanese"/>
    <s v="Martin Scorsese"/>
    <s v="Robert Downey Jr."/>
    <m/>
    <n v="185"/>
    <n v="906.7"/>
    <s v="Hit"/>
    <s v="Popular"/>
    <s v="Yes"/>
    <s v="High"/>
    <n v="721.7"/>
    <n v="490.10810810810813"/>
  </r>
  <r>
    <s v="NFX-100458"/>
    <x v="457"/>
    <s v="Movie"/>
    <x v="9"/>
    <n v="2013"/>
    <s v="Germany"/>
    <s v="2018-03-07"/>
    <n v="161"/>
    <s v="PG-13"/>
    <n v="9.5"/>
    <n v="307.5"/>
    <s v="English"/>
    <s v="Zoya Akhtar"/>
    <s v="Emma Stone"/>
    <m/>
    <n v="142"/>
    <n v="596.29999999999995"/>
    <s v="Hit"/>
    <s v="Popular"/>
    <s v="No"/>
    <s v="High"/>
    <n v="454.29999999999995"/>
    <n v="419.92957746478874"/>
  </r>
  <r>
    <s v="NFX-100459"/>
    <x v="458"/>
    <s v="Movie"/>
    <x v="4"/>
    <n v="2015"/>
    <s v="Japan"/>
    <s v="2018-12-11"/>
    <n v="158"/>
    <s v="16+"/>
    <n v="8.5"/>
    <n v="184"/>
    <s v="Korean"/>
    <s v="Steven Spielberg"/>
    <s v="Ranbir Kapoor"/>
    <m/>
    <n v="189"/>
    <n v="1209.8"/>
    <s v="Hit"/>
    <s v="Normal"/>
    <s v="No"/>
    <s v="High"/>
    <n v="1020.8"/>
    <n v="640.10582010582016"/>
  </r>
  <r>
    <s v="NFX-100460"/>
    <x v="459"/>
    <s v="Movie"/>
    <x v="1"/>
    <n v="2023"/>
    <s v="Australia"/>
    <s v="2023-06-04"/>
    <n v="178"/>
    <s v="G"/>
    <n v="5"/>
    <n v="75.2"/>
    <s v="French"/>
    <s v="Bong Joon-ho"/>
    <s v="Ryan Gosling"/>
    <m/>
    <n v="36"/>
    <n v="57.2"/>
    <s v="Flop"/>
    <s v="Normal"/>
    <s v="Yes"/>
    <s v="Low"/>
    <n v="21.200000000000003"/>
    <n v="158.88888888888891"/>
  </r>
  <r>
    <s v="NFX-100461"/>
    <x v="460"/>
    <s v="Movie"/>
    <x v="3"/>
    <n v="2013"/>
    <s v="Japan"/>
    <s v="2021-11-16"/>
    <n v="171"/>
    <s v="16+"/>
    <n v="6.5"/>
    <n v="261.2"/>
    <s v="Spanish"/>
    <s v="Martin Scorsese"/>
    <s v="Deepika Padukone"/>
    <m/>
    <n v="12"/>
    <n v="74.900000000000006"/>
    <s v="Average"/>
    <s v="Popular"/>
    <s v="No"/>
    <s v="Low"/>
    <n v="62.900000000000006"/>
    <n v="624.16666666666674"/>
  </r>
  <r>
    <s v="NFX-100462"/>
    <x v="461"/>
    <s v="Movie"/>
    <x v="9"/>
    <n v="2021"/>
    <s v="UK"/>
    <s v="2020-04-29"/>
    <n v="88"/>
    <s v="PG-13"/>
    <n v="9.1"/>
    <n v="43.1"/>
    <s v="Spanish"/>
    <s v="Martin Scorsese"/>
    <s v="Brad Pitt"/>
    <m/>
    <n v="7"/>
    <n v="36.6"/>
    <s v="Hit"/>
    <s v="Normal"/>
    <s v="No"/>
    <s v="Low"/>
    <n v="29.6"/>
    <n v="522.85714285714289"/>
  </r>
  <r>
    <s v="NFX-100463"/>
    <x v="462"/>
    <s v="Movie"/>
    <x v="7"/>
    <n v="2002"/>
    <s v="UK"/>
    <s v="2022-02-02"/>
    <n v="143"/>
    <s v="18+"/>
    <n v="9.1"/>
    <n v="240.8"/>
    <s v="German"/>
    <s v="Christopher Nolan"/>
    <s v="Tom Hardy"/>
    <m/>
    <n v="98"/>
    <n v="123.9"/>
    <s v="Hit"/>
    <s v="Popular"/>
    <s v="No"/>
    <s v="Low"/>
    <n v="25.900000000000006"/>
    <n v="126.42857142857142"/>
  </r>
  <r>
    <s v="NFX-100464"/>
    <x v="463"/>
    <s v="Movie"/>
    <x v="9"/>
    <n v="2002"/>
    <s v="USA"/>
    <s v="2019-03-17"/>
    <n v="108"/>
    <s v="PG"/>
    <n v="8.9"/>
    <n v="539.9"/>
    <s v="Spanish"/>
    <s v="Guillermo del Toro"/>
    <s v="Tom Hardy"/>
    <m/>
    <n v="160"/>
    <n v="774.7"/>
    <s v="Hit"/>
    <s v="Blockbuster"/>
    <s v="Yes"/>
    <s v="High"/>
    <n v="614.70000000000005"/>
    <n v="484.1875"/>
  </r>
  <r>
    <s v="NFX-100465"/>
    <x v="464"/>
    <s v="Movie"/>
    <x v="7"/>
    <n v="2014"/>
    <s v="Canada"/>
    <s v="2021-02-05"/>
    <n v="152"/>
    <s v="G"/>
    <n v="5.2"/>
    <n v="232.7"/>
    <s v="Korean"/>
    <s v="Christopher Nolan"/>
    <s v="Robert Downey Jr."/>
    <m/>
    <n v="199"/>
    <n v="249.3"/>
    <s v="Flop"/>
    <s v="Popular"/>
    <s v="Yes"/>
    <s v="High"/>
    <n v="50.300000000000011"/>
    <n v="125.27638190954775"/>
  </r>
  <r>
    <s v="NFX-100466"/>
    <x v="465"/>
    <s v="TV Show"/>
    <x v="6"/>
    <n v="2021"/>
    <s v="Germany"/>
    <s v="2020-02-04"/>
    <n v="37"/>
    <s v="G"/>
    <n v="6.1"/>
    <n v="29.1"/>
    <s v="Hindi"/>
    <s v="Rajkumar Hirani"/>
    <s v="Brad Pitt"/>
    <n v="5"/>
    <n v="68"/>
    <n v="399.3"/>
    <s v="Average"/>
    <s v="Normal"/>
    <s v="Yes"/>
    <s v="Low"/>
    <n v="331.3"/>
    <n v="587.20588235294122"/>
  </r>
  <r>
    <s v="NFX-100467"/>
    <x v="466"/>
    <s v="TV Show"/>
    <x v="7"/>
    <n v="2022"/>
    <s v="Australia"/>
    <s v="2018-01-17"/>
    <n v="31"/>
    <s v="PG"/>
    <n v="8.8000000000000007"/>
    <n v="407.6"/>
    <s v="German"/>
    <s v="Greta Gerwig"/>
    <s v="Leonardo DiCaprio"/>
    <n v="7"/>
    <n v="63"/>
    <n v="337.4"/>
    <s v="Hit"/>
    <s v="Blockbuster"/>
    <s v="Yes"/>
    <s v="Low"/>
    <n v="274.39999999999998"/>
    <n v="535.55555555555554"/>
  </r>
  <r>
    <s v="NFX-100468"/>
    <x v="467"/>
    <s v="Movie"/>
    <x v="0"/>
    <n v="2005"/>
    <s v="South Korea"/>
    <s v="2022-03-26"/>
    <n v="81"/>
    <s v="18+"/>
    <n v="8.1"/>
    <n v="484.4"/>
    <s v="Japanese"/>
    <s v="Park Chan-wook"/>
    <s v="Scarlett Johansson"/>
    <m/>
    <n v="190"/>
    <n v="876.3"/>
    <s v="Hit"/>
    <s v="Blockbuster"/>
    <s v="No"/>
    <s v="High"/>
    <n v="686.3"/>
    <n v="461.21052631578942"/>
  </r>
  <r>
    <s v="NFX-100469"/>
    <x v="468"/>
    <s v="Movie"/>
    <x v="2"/>
    <n v="2001"/>
    <s v="Canada"/>
    <s v="2023-08-06"/>
    <n v="93"/>
    <s v="PG-13"/>
    <n v="7.8"/>
    <n v="434"/>
    <s v="French"/>
    <s v="Bong Joon-ho"/>
    <s v="Emma Stone"/>
    <m/>
    <n v="173"/>
    <n v="981.3"/>
    <s v="Average"/>
    <s v="Blockbuster"/>
    <s v="No"/>
    <s v="High"/>
    <n v="808.3"/>
    <n v="567.22543352601156"/>
  </r>
  <r>
    <s v="NFX-100470"/>
    <x v="469"/>
    <s v="Movie"/>
    <x v="9"/>
    <n v="2014"/>
    <s v="USA"/>
    <s v="2024-08-21"/>
    <n v="97"/>
    <s v="16+"/>
    <n v="6.2"/>
    <n v="415.9"/>
    <s v="German"/>
    <s v="Quentin Tarantino"/>
    <s v="Brad Pitt"/>
    <m/>
    <n v="52"/>
    <n v="63.3"/>
    <s v="Average"/>
    <s v="Blockbuster"/>
    <s v="No"/>
    <s v="Low"/>
    <n v="11.299999999999997"/>
    <n v="121.73076923076923"/>
  </r>
  <r>
    <s v="NFX-100471"/>
    <x v="470"/>
    <s v="Movie"/>
    <x v="9"/>
    <n v="2010"/>
    <s v="USA"/>
    <s v="2021-12-03"/>
    <n v="138"/>
    <s v="18+"/>
    <n v="8.9"/>
    <n v="424.3"/>
    <s v="Hindi"/>
    <s v="Quentin Tarantino"/>
    <s v="Timothée Chalamet"/>
    <m/>
    <n v="105"/>
    <n v="498.5"/>
    <s v="Hit"/>
    <s v="Blockbuster"/>
    <s v="No"/>
    <s v="High"/>
    <n v="393.5"/>
    <n v="474.76190476190476"/>
  </r>
  <r>
    <s v="NFX-100472"/>
    <x v="471"/>
    <s v="Movie"/>
    <x v="5"/>
    <n v="2010"/>
    <s v="Canada"/>
    <s v="2023-03-04"/>
    <n v="99"/>
    <s v="16+"/>
    <n v="6.5"/>
    <n v="94.9"/>
    <s v="Japanese"/>
    <s v="Guillermo del Toro"/>
    <s v="Lee Jung-jae"/>
    <m/>
    <n v="118"/>
    <n v="257.89999999999998"/>
    <s v="Average"/>
    <s v="Normal"/>
    <s v="No"/>
    <s v="High"/>
    <n v="139.89999999999998"/>
    <n v="218.5593220338983"/>
  </r>
  <r>
    <s v="NFX-100473"/>
    <x v="472"/>
    <s v="Movie"/>
    <x v="0"/>
    <n v="2014"/>
    <s v="India"/>
    <s v="2021-02-11"/>
    <n v="96"/>
    <s v="PG"/>
    <n v="7.8"/>
    <n v="200.6"/>
    <s v="German"/>
    <s v="Martin Scorsese"/>
    <s v="Brad Pitt"/>
    <m/>
    <n v="95"/>
    <n v="340.8"/>
    <s v="Average"/>
    <s v="Popular"/>
    <s v="Yes"/>
    <s v="Low"/>
    <n v="245.8"/>
    <n v="358.73684210526318"/>
  </r>
  <r>
    <s v="NFX-100474"/>
    <x v="473"/>
    <s v="TV Show"/>
    <x v="9"/>
    <n v="2008"/>
    <s v="Japan"/>
    <s v="2019-06-24"/>
    <n v="46"/>
    <s v="G"/>
    <n v="5.8"/>
    <n v="3.7"/>
    <s v="French"/>
    <s v="Denis Villeneuve"/>
    <s v="Timothée Chalamet"/>
    <n v="4"/>
    <n v="99"/>
    <n v="324.3"/>
    <s v="Flop"/>
    <s v="Normal"/>
    <s v="Yes"/>
    <s v="Low"/>
    <n v="225.3"/>
    <n v="327.57575757575756"/>
  </r>
  <r>
    <s v="NFX-100475"/>
    <x v="474"/>
    <s v="Movie"/>
    <x v="3"/>
    <n v="2017"/>
    <s v="Japan"/>
    <s v="2019-06-08"/>
    <n v="144"/>
    <s v="G"/>
    <n v="6.8"/>
    <n v="6"/>
    <s v="German"/>
    <s v="Ridley Scott"/>
    <s v="Lee Jung-jae"/>
    <m/>
    <n v="113"/>
    <n v="254.7"/>
    <s v="Average"/>
    <s v="Normal"/>
    <s v="Yes"/>
    <s v="High"/>
    <n v="141.69999999999999"/>
    <n v="225.39823008849558"/>
  </r>
  <r>
    <s v="NFX-100476"/>
    <x v="475"/>
    <s v="Movie"/>
    <x v="0"/>
    <n v="2011"/>
    <s v="USA"/>
    <s v="2024-01-11"/>
    <n v="107"/>
    <s v="18+"/>
    <n v="9.6"/>
    <n v="151.69999999999999"/>
    <s v="Hindi"/>
    <s v="Bong Joon-ho"/>
    <s v="Shah Rukh Khan"/>
    <m/>
    <n v="198"/>
    <n v="1129.4000000000001"/>
    <s v="Hit"/>
    <s v="Normal"/>
    <s v="No"/>
    <s v="High"/>
    <n v="931.40000000000009"/>
    <n v="570.40404040404042"/>
  </r>
  <r>
    <s v="NFX-100477"/>
    <x v="476"/>
    <s v="TV Show"/>
    <x v="10"/>
    <n v="2012"/>
    <s v="UK"/>
    <s v="2018-03-28"/>
    <n v="39"/>
    <s v="PG"/>
    <n v="4.9000000000000004"/>
    <n v="9.6999999999999993"/>
    <s v="Korean"/>
    <s v="Park Chan-wook"/>
    <s v="Ryan Gosling"/>
    <n v="6"/>
    <n v="12"/>
    <n v="67.900000000000006"/>
    <s v="Flop"/>
    <s v="Normal"/>
    <s v="Yes"/>
    <s v="Low"/>
    <n v="55.900000000000006"/>
    <n v="565.83333333333337"/>
  </r>
  <r>
    <s v="NFX-100478"/>
    <x v="477"/>
    <s v="Movie"/>
    <x v="2"/>
    <n v="2000"/>
    <s v="USA"/>
    <s v="2018-06-22"/>
    <n v="165"/>
    <s v="16+"/>
    <n v="5.9"/>
    <n v="339.9"/>
    <s v="Hindi"/>
    <s v="Denis Villeneuve"/>
    <s v="Robert Downey Jr."/>
    <m/>
    <n v="84"/>
    <n v="469"/>
    <s v="Flop"/>
    <s v="Popular"/>
    <s v="No"/>
    <s v="Low"/>
    <n v="385"/>
    <n v="558.33333333333326"/>
  </r>
  <r>
    <s v="NFX-100479"/>
    <x v="478"/>
    <s v="TV Show"/>
    <x v="5"/>
    <n v="2007"/>
    <s v="Canada"/>
    <s v="2021-11-12"/>
    <n v="52"/>
    <s v="PG-13"/>
    <n v="6.6"/>
    <n v="337.4"/>
    <s v="Korean"/>
    <s v="Christopher Nolan"/>
    <s v="Emma Stone"/>
    <n v="2"/>
    <n v="88"/>
    <n v="420"/>
    <s v="Average"/>
    <s v="Popular"/>
    <s v="No"/>
    <s v="Low"/>
    <n v="332"/>
    <n v="477.27272727272725"/>
  </r>
  <r>
    <s v="NFX-100480"/>
    <x v="479"/>
    <s v="Movie"/>
    <x v="10"/>
    <n v="2006"/>
    <s v="USA"/>
    <s v="2020-09-24"/>
    <n v="169"/>
    <s v="G"/>
    <n v="5.2"/>
    <n v="56.2"/>
    <s v="English"/>
    <s v="Christopher Nolan"/>
    <s v="Ryan Gosling"/>
    <m/>
    <n v="41"/>
    <n v="154.4"/>
    <s v="Flop"/>
    <s v="Normal"/>
    <s v="Yes"/>
    <s v="Low"/>
    <n v="113.4"/>
    <n v="376.58536585365857"/>
  </r>
  <r>
    <s v="NFX-100481"/>
    <x v="480"/>
    <s v="Movie"/>
    <x v="0"/>
    <n v="2009"/>
    <s v="USA"/>
    <s v="2020-09-03"/>
    <n v="178"/>
    <s v="G"/>
    <n v="5.2"/>
    <n v="208.5"/>
    <s v="Hindi"/>
    <s v="Christopher Nolan"/>
    <s v="Ranbir Kapoor"/>
    <m/>
    <n v="168"/>
    <n v="382.6"/>
    <s v="Flop"/>
    <s v="Popular"/>
    <s v="Yes"/>
    <s v="High"/>
    <n v="214.60000000000002"/>
    <n v="227.73809523809527"/>
  </r>
  <r>
    <s v="NFX-100482"/>
    <x v="481"/>
    <s v="Movie"/>
    <x v="7"/>
    <n v="2018"/>
    <s v="Japan"/>
    <s v="2021-05-16"/>
    <n v="146"/>
    <s v="G"/>
    <n v="7.6"/>
    <n v="525.29999999999995"/>
    <s v="Japanese"/>
    <s v="Bong Joon-ho"/>
    <s v="Leonardo DiCaprio"/>
    <m/>
    <n v="22"/>
    <n v="31.2"/>
    <s v="Average"/>
    <s v="Blockbuster"/>
    <s v="Yes"/>
    <s v="Low"/>
    <n v="9.1999999999999993"/>
    <n v="141.81818181818181"/>
  </r>
  <r>
    <s v="NFX-100483"/>
    <x v="482"/>
    <s v="TV Show"/>
    <x v="10"/>
    <n v="2024"/>
    <s v="Spain"/>
    <s v="2018-02-27"/>
    <n v="40"/>
    <s v="G"/>
    <n v="9.1"/>
    <n v="544.5"/>
    <s v="French"/>
    <s v="Ridley Scott"/>
    <s v="Shah Rukh Khan"/>
    <n v="8"/>
    <n v="37"/>
    <n v="61.5"/>
    <s v="Hit"/>
    <s v="Blockbuster"/>
    <s v="Yes"/>
    <s v="Low"/>
    <n v="24.5"/>
    <n v="166.2162162162162"/>
  </r>
  <r>
    <s v="NFX-100484"/>
    <x v="483"/>
    <s v="Movie"/>
    <x v="1"/>
    <n v="2012"/>
    <s v="South Korea"/>
    <s v="2022-02-02"/>
    <n v="148"/>
    <s v="G"/>
    <n v="8.1"/>
    <n v="189"/>
    <s v="French"/>
    <s v="Christopher Nolan"/>
    <s v="Robert Downey Jr."/>
    <m/>
    <n v="14"/>
    <n v="57.4"/>
    <s v="Hit"/>
    <s v="Normal"/>
    <s v="Yes"/>
    <s v="Low"/>
    <n v="43.4"/>
    <n v="409.99999999999994"/>
  </r>
  <r>
    <s v="NFX-100485"/>
    <x v="484"/>
    <s v="TV Show"/>
    <x v="7"/>
    <n v="2006"/>
    <s v="Germany"/>
    <s v="2020-02-03"/>
    <n v="54"/>
    <s v="16+"/>
    <n v="7.1"/>
    <n v="446.4"/>
    <s v="Japanese"/>
    <s v="Quentin Tarantino"/>
    <s v="Song Kang-ho"/>
    <n v="1"/>
    <n v="28"/>
    <n v="92.9"/>
    <s v="Average"/>
    <s v="Blockbuster"/>
    <s v="No"/>
    <s v="Low"/>
    <n v="64.900000000000006"/>
    <n v="331.78571428571433"/>
  </r>
  <r>
    <s v="NFX-100486"/>
    <x v="485"/>
    <s v="TV Show"/>
    <x v="7"/>
    <n v="2015"/>
    <s v="Australia"/>
    <s v="2021-09-04"/>
    <n v="53"/>
    <s v="PG"/>
    <n v="6.2"/>
    <n v="364.9"/>
    <s v="Hindi"/>
    <s v="Anurag Kashyap"/>
    <s v="Jennifer Lawrence"/>
    <n v="4"/>
    <n v="140"/>
    <n v="468.3"/>
    <s v="Average"/>
    <s v="Popular"/>
    <s v="Yes"/>
    <s v="High"/>
    <n v="328.3"/>
    <n v="334.5"/>
  </r>
  <r>
    <s v="NFX-100487"/>
    <x v="486"/>
    <s v="TV Show"/>
    <x v="3"/>
    <n v="2001"/>
    <s v="South Korea"/>
    <s v="2024-06-18"/>
    <n v="30"/>
    <s v="PG"/>
    <n v="8.3000000000000007"/>
    <n v="565.20000000000005"/>
    <s v="Korean"/>
    <s v="Christopher Nolan"/>
    <s v="Timothée Chalamet"/>
    <n v="7"/>
    <n v="118"/>
    <n v="568.1"/>
    <s v="Hit"/>
    <s v="Blockbuster"/>
    <s v="Yes"/>
    <s v="High"/>
    <n v="450.1"/>
    <n v="481.44067796610176"/>
  </r>
  <r>
    <s v="NFX-100488"/>
    <x v="487"/>
    <s v="TV Show"/>
    <x v="2"/>
    <n v="2016"/>
    <s v="Canada"/>
    <s v="2021-09-25"/>
    <n v="44"/>
    <s v="PG-13"/>
    <n v="7.4"/>
    <n v="512.6"/>
    <s v="Hindi"/>
    <s v="Greta Gerwig"/>
    <s v="Ranbir Kapoor"/>
    <n v="7"/>
    <n v="187"/>
    <n v="927.1"/>
    <s v="Average"/>
    <s v="Blockbuster"/>
    <s v="No"/>
    <s v="High"/>
    <n v="740.1"/>
    <n v="495.77540106951875"/>
  </r>
  <r>
    <s v="NFX-100489"/>
    <x v="488"/>
    <s v="Movie"/>
    <x v="1"/>
    <n v="2021"/>
    <s v="Japan"/>
    <s v="2018-11-20"/>
    <n v="98"/>
    <s v="16+"/>
    <n v="9.3000000000000007"/>
    <n v="244.5"/>
    <s v="Korean"/>
    <s v="Zoya Akhtar"/>
    <s v="Timothée Chalamet"/>
    <m/>
    <n v="42"/>
    <n v="203.7"/>
    <s v="Hit"/>
    <s v="Popular"/>
    <s v="No"/>
    <s v="Low"/>
    <n v="161.69999999999999"/>
    <n v="484.99999999999994"/>
  </r>
  <r>
    <s v="NFX-100490"/>
    <x v="489"/>
    <s v="Movie"/>
    <x v="10"/>
    <n v="2010"/>
    <s v="Spain"/>
    <s v="2023-07-28"/>
    <n v="112"/>
    <s v="PG-13"/>
    <n v="6.1"/>
    <n v="548.9"/>
    <s v="Hindi"/>
    <s v="Park Chan-wook"/>
    <s v="Ryan Gosling"/>
    <m/>
    <n v="161"/>
    <n v="467"/>
    <s v="Average"/>
    <s v="Blockbuster"/>
    <s v="No"/>
    <s v="High"/>
    <n v="306"/>
    <n v="290.06211180124222"/>
  </r>
  <r>
    <s v="NFX-100491"/>
    <x v="490"/>
    <s v="TV Show"/>
    <x v="2"/>
    <n v="2020"/>
    <s v="India"/>
    <s v="2021-10-03"/>
    <n v="34"/>
    <s v="18+"/>
    <n v="8.1"/>
    <n v="100.1"/>
    <s v="Japanese"/>
    <s v="Sanjay Leela Bhansali"/>
    <s v="Chris Evans"/>
    <n v="6"/>
    <n v="11"/>
    <n v="59.6"/>
    <s v="Hit"/>
    <s v="Normal"/>
    <s v="No"/>
    <s v="Low"/>
    <n v="48.6"/>
    <n v="541.81818181818176"/>
  </r>
  <r>
    <s v="NFX-100492"/>
    <x v="491"/>
    <s v="Movie"/>
    <x v="7"/>
    <n v="2021"/>
    <s v="Spain"/>
    <s v="2018-07-12"/>
    <n v="138"/>
    <s v="PG-13"/>
    <n v="5.5"/>
    <n v="92.8"/>
    <s v="French"/>
    <s v="Zoya Akhtar"/>
    <s v="Scarlett Johansson"/>
    <m/>
    <n v="55"/>
    <n v="295.7"/>
    <s v="Flop"/>
    <s v="Normal"/>
    <s v="No"/>
    <s v="Low"/>
    <n v="240.7"/>
    <n v="537.63636363636363"/>
  </r>
  <r>
    <s v="NFX-100493"/>
    <x v="492"/>
    <s v="Movie"/>
    <x v="7"/>
    <n v="2013"/>
    <s v="Germany"/>
    <s v="2023-10-23"/>
    <n v="113"/>
    <s v="G"/>
    <n v="9"/>
    <n v="231.9"/>
    <s v="Korean"/>
    <s v="Anurag Kashyap"/>
    <s v="Ryan Gosling"/>
    <m/>
    <n v="198"/>
    <n v="819.7"/>
    <s v="Hit"/>
    <s v="Popular"/>
    <s v="Yes"/>
    <s v="High"/>
    <n v="621.70000000000005"/>
    <n v="413.98989898989902"/>
  </r>
  <r>
    <s v="NFX-100494"/>
    <x v="493"/>
    <s v="TV Show"/>
    <x v="1"/>
    <n v="2021"/>
    <s v="USA"/>
    <s v="2024-06-30"/>
    <n v="50"/>
    <s v="PG"/>
    <n v="4.7"/>
    <n v="480.8"/>
    <s v="German"/>
    <s v="Greta Gerwig"/>
    <s v="Ryan Gosling"/>
    <n v="2"/>
    <n v="141"/>
    <n v="763.1"/>
    <s v="Flop"/>
    <s v="Blockbuster"/>
    <s v="Yes"/>
    <s v="High"/>
    <n v="622.1"/>
    <n v="541.20567375886526"/>
  </r>
  <r>
    <s v="NFX-100495"/>
    <x v="494"/>
    <s v="TV Show"/>
    <x v="2"/>
    <n v="2024"/>
    <s v="Germany"/>
    <s v="2018-05-02"/>
    <n v="40"/>
    <s v="18+"/>
    <n v="7.4"/>
    <n v="220.3"/>
    <s v="Hindi"/>
    <s v="Anurag Kashyap"/>
    <s v="Robert Downey Jr."/>
    <n v="7"/>
    <n v="18"/>
    <n v="57.2"/>
    <s v="Average"/>
    <s v="Popular"/>
    <s v="No"/>
    <s v="Low"/>
    <n v="39.200000000000003"/>
    <n v="317.77777777777783"/>
  </r>
  <r>
    <s v="NFX-100496"/>
    <x v="495"/>
    <s v="Movie"/>
    <x v="10"/>
    <n v="2002"/>
    <s v="Germany"/>
    <s v="2023-01-13"/>
    <n v="132"/>
    <s v="G"/>
    <n v="6.5"/>
    <n v="418.3"/>
    <s v="French"/>
    <s v="Christopher Nolan"/>
    <s v="Tom Hardy"/>
    <m/>
    <n v="63"/>
    <n v="311.2"/>
    <s v="Average"/>
    <s v="Blockbuster"/>
    <s v="Yes"/>
    <s v="Low"/>
    <n v="248.2"/>
    <n v="493.96825396825398"/>
  </r>
  <r>
    <s v="NFX-100497"/>
    <x v="496"/>
    <s v="TV Show"/>
    <x v="0"/>
    <n v="2007"/>
    <s v="Canada"/>
    <s v="2024-07-11"/>
    <n v="50"/>
    <s v="PG-13"/>
    <n v="6.4"/>
    <n v="7.6"/>
    <s v="German"/>
    <s v="Quentin Tarantino"/>
    <s v="Shah Rukh Khan"/>
    <n v="7"/>
    <n v="57"/>
    <n v="346.3"/>
    <s v="Average"/>
    <s v="Normal"/>
    <s v="No"/>
    <s v="Low"/>
    <n v="289.3"/>
    <n v="607.54385964912285"/>
  </r>
  <r>
    <s v="NFX-100498"/>
    <x v="497"/>
    <s v="TV Show"/>
    <x v="4"/>
    <n v="2022"/>
    <s v="Canada"/>
    <s v="2020-12-23"/>
    <n v="40"/>
    <s v="PG"/>
    <n v="4.8"/>
    <n v="349.2"/>
    <s v="Spanish"/>
    <s v="James Cameron"/>
    <s v="Deepika Padukone"/>
    <n v="4"/>
    <n v="106"/>
    <n v="234"/>
    <s v="Flop"/>
    <s v="Popular"/>
    <s v="Yes"/>
    <s v="High"/>
    <n v="128"/>
    <n v="220.75471698113211"/>
  </r>
  <r>
    <s v="NFX-100499"/>
    <x v="498"/>
    <s v="Movie"/>
    <x v="1"/>
    <n v="2024"/>
    <s v="Germany"/>
    <s v="2019-12-29"/>
    <n v="142"/>
    <s v="16+"/>
    <n v="7.8"/>
    <n v="388.8"/>
    <s v="English"/>
    <s v="Guillermo del Toro"/>
    <s v="Shah Rukh Khan"/>
    <m/>
    <n v="61"/>
    <n v="363.7"/>
    <s v="Average"/>
    <s v="Popular"/>
    <s v="No"/>
    <s v="Low"/>
    <n v="302.7"/>
    <n v="596.22950819672133"/>
  </r>
  <r>
    <s v="NFX-100500"/>
    <x v="499"/>
    <s v="Movie"/>
    <x v="6"/>
    <n v="2022"/>
    <s v="France"/>
    <s v="2021-02-22"/>
    <n v="164"/>
    <s v="16+"/>
    <n v="9.1"/>
    <n v="119.1"/>
    <s v="Korean"/>
    <s v="Quentin Tarantino"/>
    <s v="Brad Pitt"/>
    <m/>
    <n v="94"/>
    <n v="578.79999999999995"/>
    <s v="Hit"/>
    <s v="Normal"/>
    <s v="No"/>
    <s v="Low"/>
    <n v="484.79999999999995"/>
    <n v="615.74468085106378"/>
  </r>
  <r>
    <s v="NFX-100501"/>
    <x v="500"/>
    <s v="TV Show"/>
    <x v="4"/>
    <n v="2018"/>
    <s v="India"/>
    <s v="2020-10-24"/>
    <n v="53"/>
    <s v="G"/>
    <n v="7.3"/>
    <n v="133.69999999999999"/>
    <s v="French"/>
    <s v="Zoya Akhtar"/>
    <s v="Deepika Padukone"/>
    <n v="8"/>
    <n v="132"/>
    <n v="417.4"/>
    <s v="Average"/>
    <s v="Normal"/>
    <s v="Yes"/>
    <s v="High"/>
    <n v="285.39999999999998"/>
    <n v="316.21212121212119"/>
  </r>
  <r>
    <s v="NFX-100502"/>
    <x v="501"/>
    <s v="Movie"/>
    <x v="6"/>
    <n v="2004"/>
    <s v="Spain"/>
    <s v="2018-04-12"/>
    <n v="117"/>
    <s v="PG"/>
    <n v="4.8"/>
    <n v="516.1"/>
    <s v="Japanese"/>
    <s v="Steven Spielberg"/>
    <s v="Emma Stone"/>
    <m/>
    <n v="85"/>
    <n v="257.2"/>
    <s v="Flop"/>
    <s v="Blockbuster"/>
    <s v="Yes"/>
    <s v="Low"/>
    <n v="172.2"/>
    <n v="302.58823529411762"/>
  </r>
  <r>
    <s v="NFX-100503"/>
    <x v="502"/>
    <s v="Movie"/>
    <x v="3"/>
    <n v="2012"/>
    <s v="Spain"/>
    <s v="2024-01-09"/>
    <n v="111"/>
    <s v="PG"/>
    <n v="7.6"/>
    <n v="336.9"/>
    <s v="Korean"/>
    <s v="Christopher Nolan"/>
    <s v="Robert Downey Jr."/>
    <m/>
    <n v="111"/>
    <n v="241.7"/>
    <s v="Average"/>
    <s v="Popular"/>
    <s v="Yes"/>
    <s v="High"/>
    <n v="130.69999999999999"/>
    <n v="217.74774774774772"/>
  </r>
  <r>
    <s v="NFX-100504"/>
    <x v="503"/>
    <s v="Movie"/>
    <x v="8"/>
    <n v="2011"/>
    <s v="USA"/>
    <s v="2023-11-20"/>
    <n v="91"/>
    <s v="PG-13"/>
    <n v="7.2"/>
    <n v="560.9"/>
    <s v="Hindi"/>
    <s v="Ridley Scott"/>
    <s v="Ranbir Kapoor"/>
    <m/>
    <n v="76"/>
    <n v="426.4"/>
    <s v="Average"/>
    <s v="Blockbuster"/>
    <s v="No"/>
    <s v="Low"/>
    <n v="350.4"/>
    <n v="561.0526315789474"/>
  </r>
  <r>
    <s v="NFX-100505"/>
    <x v="504"/>
    <s v="TV Show"/>
    <x v="5"/>
    <n v="2010"/>
    <s v="South Korea"/>
    <s v="2024-08-09"/>
    <n v="57"/>
    <s v="PG"/>
    <n v="6.5"/>
    <n v="473.8"/>
    <s v="English"/>
    <s v="Rajkumar Hirani"/>
    <s v="Ranbir Kapoor"/>
    <n v="7"/>
    <n v="119"/>
    <n v="175.9"/>
    <s v="Average"/>
    <s v="Blockbuster"/>
    <s v="Yes"/>
    <s v="High"/>
    <n v="56.900000000000006"/>
    <n v="147.81512605042019"/>
  </r>
  <r>
    <s v="NFX-100506"/>
    <x v="505"/>
    <s v="TV Show"/>
    <x v="4"/>
    <n v="2022"/>
    <s v="Japan"/>
    <s v="2021-06-29"/>
    <n v="33"/>
    <s v="PG-13"/>
    <n v="4.7"/>
    <n v="507.6"/>
    <s v="Spanish"/>
    <s v="Christopher Nolan"/>
    <s v="Tom Hardy"/>
    <n v="8"/>
    <n v="30"/>
    <n v="97.7"/>
    <s v="Flop"/>
    <s v="Blockbuster"/>
    <s v="No"/>
    <s v="Low"/>
    <n v="67.7"/>
    <n v="325.66666666666669"/>
  </r>
  <r>
    <s v="NFX-100507"/>
    <x v="506"/>
    <s v="TV Show"/>
    <x v="3"/>
    <n v="2025"/>
    <s v="UK"/>
    <s v="2020-03-31"/>
    <n v="37"/>
    <s v="PG"/>
    <n v="7.9"/>
    <n v="368.5"/>
    <s v="Hindi"/>
    <s v="Rajkumar Hirani"/>
    <s v="Timothée Chalamet"/>
    <n v="1"/>
    <n v="37"/>
    <n v="164.9"/>
    <s v="Average"/>
    <s v="Popular"/>
    <s v="Yes"/>
    <s v="Low"/>
    <n v="127.9"/>
    <n v="445.67567567567573"/>
  </r>
  <r>
    <s v="NFX-100508"/>
    <x v="507"/>
    <s v="Movie"/>
    <x v="8"/>
    <n v="2019"/>
    <s v="Australia"/>
    <s v="2021-10-07"/>
    <n v="150"/>
    <s v="G"/>
    <n v="6.4"/>
    <n v="470"/>
    <s v="Korean"/>
    <s v="Denis Villeneuve"/>
    <s v="Song Kang-ho"/>
    <m/>
    <n v="47"/>
    <n v="205.5"/>
    <s v="Average"/>
    <s v="Blockbuster"/>
    <s v="Yes"/>
    <s v="Low"/>
    <n v="158.5"/>
    <n v="437.2340425531915"/>
  </r>
  <r>
    <s v="NFX-100509"/>
    <x v="508"/>
    <s v="TV Show"/>
    <x v="6"/>
    <n v="2021"/>
    <s v="Australia"/>
    <s v="2020-04-30"/>
    <n v="44"/>
    <s v="G"/>
    <n v="6.8"/>
    <n v="342.8"/>
    <s v="Japanese"/>
    <s v="Zoya Akhtar"/>
    <s v="Emma Stone"/>
    <n v="4"/>
    <n v="17"/>
    <n v="49.6"/>
    <s v="Average"/>
    <s v="Popular"/>
    <s v="Yes"/>
    <s v="Low"/>
    <n v="32.6"/>
    <n v="291.76470588235298"/>
  </r>
  <r>
    <s v="NFX-100510"/>
    <x v="509"/>
    <s v="Movie"/>
    <x v="0"/>
    <n v="2012"/>
    <s v="USA"/>
    <s v="2021-02-26"/>
    <n v="138"/>
    <s v="G"/>
    <n v="7.5"/>
    <n v="389.5"/>
    <s v="Japanese"/>
    <s v="Martin Scorsese"/>
    <s v="Ryan Gosling"/>
    <m/>
    <n v="46"/>
    <n v="242.6"/>
    <s v="Average"/>
    <s v="Popular"/>
    <s v="Yes"/>
    <s v="Low"/>
    <n v="196.6"/>
    <n v="527.39130434782601"/>
  </r>
  <r>
    <s v="NFX-100511"/>
    <x v="510"/>
    <s v="Movie"/>
    <x v="4"/>
    <n v="2008"/>
    <s v="France"/>
    <s v="2021-12-26"/>
    <n v="140"/>
    <s v="PG-13"/>
    <n v="4.7"/>
    <n v="364.6"/>
    <s v="Japanese"/>
    <s v="Bong Joon-ho"/>
    <s v="Chris Evans"/>
    <m/>
    <n v="63"/>
    <n v="78.099999999999994"/>
    <s v="Flop"/>
    <s v="Popular"/>
    <s v="No"/>
    <s v="Low"/>
    <n v="15.099999999999994"/>
    <n v="123.96825396825395"/>
  </r>
  <r>
    <s v="NFX-100512"/>
    <x v="511"/>
    <s v="TV Show"/>
    <x v="1"/>
    <n v="2001"/>
    <s v="USA"/>
    <s v="2023-10-28"/>
    <n v="45"/>
    <s v="PG-13"/>
    <n v="6.6"/>
    <n v="555.79999999999995"/>
    <s v="French"/>
    <s v="Sanjay Leela Bhansali"/>
    <s v="Scarlett Johansson"/>
    <n v="1"/>
    <n v="30"/>
    <n v="54.4"/>
    <s v="Average"/>
    <s v="Blockbuster"/>
    <s v="No"/>
    <s v="Low"/>
    <n v="24.4"/>
    <n v="181.33333333333331"/>
  </r>
  <r>
    <s v="NFX-100513"/>
    <x v="512"/>
    <s v="TV Show"/>
    <x v="6"/>
    <n v="2019"/>
    <s v="Australia"/>
    <s v="2018-07-27"/>
    <n v="33"/>
    <s v="G"/>
    <n v="9"/>
    <n v="349.8"/>
    <s v="Japanese"/>
    <s v="Park Chan-wook"/>
    <s v="Song Kang-ho"/>
    <n v="4"/>
    <n v="133"/>
    <n v="490.3"/>
    <s v="Hit"/>
    <s v="Popular"/>
    <s v="Yes"/>
    <s v="High"/>
    <n v="357.3"/>
    <n v="368.64661654135335"/>
  </r>
  <r>
    <s v="NFX-100514"/>
    <x v="513"/>
    <s v="Movie"/>
    <x v="10"/>
    <n v="2016"/>
    <s v="Spain"/>
    <s v="2024-02-14"/>
    <n v="95"/>
    <s v="18+"/>
    <n v="4.8"/>
    <n v="354.9"/>
    <s v="German"/>
    <s v="Zoya Akhtar"/>
    <s v="Tom Hardy"/>
    <m/>
    <n v="126"/>
    <n v="177.2"/>
    <s v="Flop"/>
    <s v="Popular"/>
    <s v="No"/>
    <s v="High"/>
    <n v="51.199999999999989"/>
    <n v="140.63492063492063"/>
  </r>
  <r>
    <s v="NFX-100515"/>
    <x v="514"/>
    <s v="Movie"/>
    <x v="3"/>
    <n v="2024"/>
    <s v="UK"/>
    <s v="2022-01-12"/>
    <n v="141"/>
    <s v="PG-13"/>
    <n v="6.1"/>
    <n v="69.5"/>
    <s v="Spanish"/>
    <s v="Ridley Scott"/>
    <s v="Deepika Padukone"/>
    <m/>
    <n v="79"/>
    <n v="307.2"/>
    <s v="Average"/>
    <s v="Normal"/>
    <s v="No"/>
    <s v="Low"/>
    <n v="228.2"/>
    <n v="388.86075949367086"/>
  </r>
  <r>
    <s v="NFX-100516"/>
    <x v="515"/>
    <s v="Movie"/>
    <x v="1"/>
    <n v="2001"/>
    <s v="UK"/>
    <s v="2019-10-06"/>
    <n v="111"/>
    <s v="PG-13"/>
    <n v="6.1"/>
    <n v="281.10000000000002"/>
    <s v="Japanese"/>
    <s v="Anurag Kashyap"/>
    <s v="Ranbir Kapoor"/>
    <m/>
    <n v="73"/>
    <n v="462.4"/>
    <s v="Average"/>
    <s v="Popular"/>
    <s v="No"/>
    <s v="Low"/>
    <n v="389.4"/>
    <n v="633.42465753424653"/>
  </r>
  <r>
    <s v="NFX-100517"/>
    <x v="516"/>
    <s v="Movie"/>
    <x v="1"/>
    <n v="2006"/>
    <s v="Germany"/>
    <s v="2022-03-22"/>
    <n v="170"/>
    <s v="18+"/>
    <n v="7.9"/>
    <n v="62.4"/>
    <s v="Japanese"/>
    <s v="Guillermo del Toro"/>
    <s v="Lee Jung-jae"/>
    <m/>
    <n v="96"/>
    <n v="263.3"/>
    <s v="Average"/>
    <s v="Normal"/>
    <s v="No"/>
    <s v="Low"/>
    <n v="167.3"/>
    <n v="274.27083333333331"/>
  </r>
  <r>
    <s v="NFX-100518"/>
    <x v="517"/>
    <s v="Movie"/>
    <x v="4"/>
    <n v="2013"/>
    <s v="UK"/>
    <s v="2023-05-06"/>
    <n v="160"/>
    <s v="G"/>
    <n v="5.0999999999999996"/>
    <n v="354.9"/>
    <s v="Japanese"/>
    <s v="Guillermo del Toro"/>
    <s v="Scarlett Johansson"/>
    <m/>
    <n v="138"/>
    <n v="325"/>
    <s v="Flop"/>
    <s v="Popular"/>
    <s v="Yes"/>
    <s v="High"/>
    <n v="187"/>
    <n v="235.50724637681157"/>
  </r>
  <r>
    <s v="NFX-100519"/>
    <x v="518"/>
    <s v="Movie"/>
    <x v="6"/>
    <n v="2002"/>
    <s v="Australia"/>
    <s v="2021-06-18"/>
    <n v="124"/>
    <s v="G"/>
    <n v="5.2"/>
    <n v="469.6"/>
    <s v="Hindi"/>
    <s v="Denis Villeneuve"/>
    <s v="Shah Rukh Khan"/>
    <m/>
    <n v="137"/>
    <n v="431.4"/>
    <s v="Flop"/>
    <s v="Blockbuster"/>
    <s v="Yes"/>
    <s v="High"/>
    <n v="294.39999999999998"/>
    <n v="314.8905109489051"/>
  </r>
  <r>
    <s v="NFX-100520"/>
    <x v="519"/>
    <s v="Movie"/>
    <x v="7"/>
    <n v="2008"/>
    <s v="Germany"/>
    <s v="2022-06-24"/>
    <n v="130"/>
    <s v="16+"/>
    <n v="6.1"/>
    <n v="314.5"/>
    <s v="Korean"/>
    <s v="Bong Joon-ho"/>
    <s v="Ranbir Kapoor"/>
    <m/>
    <n v="124"/>
    <n v="778.8"/>
    <s v="Average"/>
    <s v="Popular"/>
    <s v="No"/>
    <s v="High"/>
    <n v="654.79999999999995"/>
    <n v="628.0645161290322"/>
  </r>
  <r>
    <s v="NFX-100521"/>
    <x v="520"/>
    <s v="Movie"/>
    <x v="7"/>
    <n v="2005"/>
    <s v="Canada"/>
    <s v="2022-02-26"/>
    <n v="144"/>
    <s v="18+"/>
    <n v="7.9"/>
    <n v="47.1"/>
    <s v="Hindi"/>
    <s v="Steven Spielberg"/>
    <s v="Lee Jung-jae"/>
    <m/>
    <n v="85"/>
    <n v="420.1"/>
    <s v="Average"/>
    <s v="Normal"/>
    <s v="No"/>
    <s v="Low"/>
    <n v="335.1"/>
    <n v="494.23529411764707"/>
  </r>
  <r>
    <s v="NFX-100522"/>
    <x v="521"/>
    <s v="Movie"/>
    <x v="0"/>
    <n v="2019"/>
    <s v="Canada"/>
    <s v="2023-06-01"/>
    <n v="163"/>
    <s v="PG"/>
    <n v="7.3"/>
    <n v="20.100000000000001"/>
    <s v="Hindi"/>
    <s v="Greta Gerwig"/>
    <s v="Song Kang-ho"/>
    <m/>
    <n v="47"/>
    <n v="60.1"/>
    <s v="Average"/>
    <s v="Normal"/>
    <s v="Yes"/>
    <s v="Low"/>
    <n v="13.100000000000001"/>
    <n v="127.87234042553193"/>
  </r>
  <r>
    <s v="NFX-100523"/>
    <x v="522"/>
    <s v="Movie"/>
    <x v="3"/>
    <n v="2021"/>
    <s v="India"/>
    <s v="2018-06-19"/>
    <n v="122"/>
    <s v="G"/>
    <n v="5.8"/>
    <n v="93.1"/>
    <s v="Japanese"/>
    <s v="Guillermo del Toro"/>
    <s v="Timothée Chalamet"/>
    <m/>
    <n v="125"/>
    <n v="306.8"/>
    <s v="Flop"/>
    <s v="Normal"/>
    <s v="Yes"/>
    <s v="High"/>
    <n v="181.8"/>
    <n v="245.44000000000003"/>
  </r>
  <r>
    <s v="NFX-100524"/>
    <x v="523"/>
    <s v="TV Show"/>
    <x v="7"/>
    <n v="2025"/>
    <s v="Japan"/>
    <s v="2024-05-28"/>
    <n v="36"/>
    <s v="G"/>
    <n v="9"/>
    <n v="132.5"/>
    <s v="Japanese"/>
    <s v="Denis Villeneuve"/>
    <s v="Leonardo DiCaprio"/>
    <n v="1"/>
    <n v="69"/>
    <n v="108.7"/>
    <s v="Hit"/>
    <s v="Normal"/>
    <s v="Yes"/>
    <s v="Low"/>
    <n v="39.700000000000003"/>
    <n v="157.53623188405797"/>
  </r>
  <r>
    <s v="NFX-100525"/>
    <x v="524"/>
    <s v="Movie"/>
    <x v="0"/>
    <n v="2000"/>
    <s v="USA"/>
    <s v="2020-02-21"/>
    <n v="116"/>
    <s v="PG"/>
    <n v="6.7"/>
    <n v="140.19999999999999"/>
    <s v="Spanish"/>
    <s v="Anurag Kashyap"/>
    <s v="Lee Jung-jae"/>
    <m/>
    <n v="117"/>
    <n v="266.8"/>
    <s v="Average"/>
    <s v="Normal"/>
    <s v="Yes"/>
    <s v="High"/>
    <n v="149.80000000000001"/>
    <n v="228.03418803418802"/>
  </r>
  <r>
    <s v="NFX-100526"/>
    <x v="525"/>
    <s v="TV Show"/>
    <x v="3"/>
    <n v="2012"/>
    <s v="India"/>
    <s v="2021-09-30"/>
    <n v="31"/>
    <s v="PG-13"/>
    <n v="7.5"/>
    <n v="140"/>
    <s v="German"/>
    <s v="Guillermo del Toro"/>
    <s v="Chris Evans"/>
    <n v="2"/>
    <n v="123"/>
    <n v="257.7"/>
    <s v="Average"/>
    <s v="Normal"/>
    <s v="No"/>
    <s v="High"/>
    <n v="134.69999999999999"/>
    <n v="209.51219512195124"/>
  </r>
  <r>
    <s v="NFX-100527"/>
    <x v="526"/>
    <s v="TV Show"/>
    <x v="7"/>
    <n v="2005"/>
    <s v="Australia"/>
    <s v="2019-09-29"/>
    <n v="43"/>
    <s v="PG"/>
    <n v="8.9"/>
    <n v="307.60000000000002"/>
    <s v="Spanish"/>
    <s v="Anurag Kashyap"/>
    <s v="Jennifer Lawrence"/>
    <n v="7"/>
    <n v="119"/>
    <n v="634.79999999999995"/>
    <s v="Hit"/>
    <s v="Popular"/>
    <s v="Yes"/>
    <s v="High"/>
    <n v="515.79999999999995"/>
    <n v="533.44537815126046"/>
  </r>
  <r>
    <s v="NFX-100528"/>
    <x v="527"/>
    <s v="TV Show"/>
    <x v="10"/>
    <n v="2022"/>
    <s v="France"/>
    <s v="2022-03-19"/>
    <n v="44"/>
    <s v="18+"/>
    <n v="6.3"/>
    <n v="106.4"/>
    <s v="German"/>
    <s v="Quentin Tarantino"/>
    <s v="Shah Rukh Khan"/>
    <n v="3"/>
    <n v="140"/>
    <n v="560.5"/>
    <s v="Average"/>
    <s v="Normal"/>
    <s v="No"/>
    <s v="High"/>
    <n v="420.5"/>
    <n v="400.35714285714289"/>
  </r>
  <r>
    <s v="NFX-100529"/>
    <x v="528"/>
    <s v="TV Show"/>
    <x v="7"/>
    <n v="2017"/>
    <s v="Canada"/>
    <s v="2022-02-19"/>
    <n v="34"/>
    <s v="16+"/>
    <n v="9.1"/>
    <n v="323.60000000000002"/>
    <s v="French"/>
    <s v="Steven Spielberg"/>
    <s v="Timothée Chalamet"/>
    <n v="3"/>
    <n v="133"/>
    <n v="687"/>
    <s v="Hit"/>
    <s v="Popular"/>
    <s v="No"/>
    <s v="High"/>
    <n v="554"/>
    <n v="516.54135338345861"/>
  </r>
  <r>
    <s v="NFX-100530"/>
    <x v="529"/>
    <s v="TV Show"/>
    <x v="7"/>
    <n v="2023"/>
    <s v="Australia"/>
    <s v="2024-10-06"/>
    <n v="42"/>
    <s v="PG-13"/>
    <n v="8.1999999999999993"/>
    <n v="171.4"/>
    <s v="German"/>
    <s v="Greta Gerwig"/>
    <s v="Ranbir Kapoor"/>
    <n v="4"/>
    <n v="131"/>
    <n v="814.7"/>
    <s v="Hit"/>
    <s v="Normal"/>
    <s v="No"/>
    <s v="High"/>
    <n v="683.7"/>
    <n v="621.90839694656495"/>
  </r>
  <r>
    <s v="NFX-100531"/>
    <x v="530"/>
    <s v="TV Show"/>
    <x v="5"/>
    <n v="2014"/>
    <s v="Australia"/>
    <s v="2021-02-15"/>
    <n v="33"/>
    <s v="PG-13"/>
    <n v="6.4"/>
    <n v="182.5"/>
    <s v="Korean"/>
    <s v="James Cameron"/>
    <s v="Brad Pitt"/>
    <n v="7"/>
    <n v="24"/>
    <n v="49.3"/>
    <s v="Average"/>
    <s v="Normal"/>
    <s v="No"/>
    <s v="Low"/>
    <n v="25.299999999999997"/>
    <n v="205.41666666666666"/>
  </r>
  <r>
    <s v="NFX-100532"/>
    <x v="531"/>
    <s v="Movie"/>
    <x v="3"/>
    <n v="2017"/>
    <s v="Canada"/>
    <s v="2019-04-15"/>
    <n v="110"/>
    <s v="G"/>
    <n v="6.2"/>
    <n v="377.6"/>
    <s v="Hindi"/>
    <s v="Rajkumar Hirani"/>
    <s v="Chris Evans"/>
    <m/>
    <n v="169"/>
    <n v="560.29999999999995"/>
    <s v="Average"/>
    <s v="Popular"/>
    <s v="Yes"/>
    <s v="High"/>
    <n v="391.29999999999995"/>
    <n v="331.53846153846149"/>
  </r>
  <r>
    <s v="NFX-100533"/>
    <x v="532"/>
    <s v="Movie"/>
    <x v="5"/>
    <n v="2000"/>
    <s v="France"/>
    <s v="2024-03-14"/>
    <n v="95"/>
    <s v="G"/>
    <n v="5.5"/>
    <n v="594.4"/>
    <s v="French"/>
    <s v="Martin Scorsese"/>
    <s v="Timothée Chalamet"/>
    <m/>
    <n v="16"/>
    <n v="97.9"/>
    <s v="Flop"/>
    <s v="Blockbuster"/>
    <s v="Yes"/>
    <s v="Low"/>
    <n v="81.900000000000006"/>
    <n v="611.875"/>
  </r>
  <r>
    <s v="NFX-100534"/>
    <x v="533"/>
    <s v="Movie"/>
    <x v="6"/>
    <n v="2001"/>
    <s v="France"/>
    <s v="2018-11-11"/>
    <n v="158"/>
    <s v="PG-13"/>
    <n v="6.5"/>
    <n v="482.7"/>
    <s v="English"/>
    <s v="Steven Spielberg"/>
    <s v="Lee Jung-jae"/>
    <m/>
    <n v="32"/>
    <n v="112.6"/>
    <s v="Average"/>
    <s v="Blockbuster"/>
    <s v="No"/>
    <s v="Low"/>
    <n v="80.599999999999994"/>
    <n v="351.875"/>
  </r>
  <r>
    <s v="NFX-100535"/>
    <x v="534"/>
    <s v="TV Show"/>
    <x v="3"/>
    <n v="2009"/>
    <s v="India"/>
    <s v="2020-10-02"/>
    <n v="52"/>
    <s v="PG-13"/>
    <n v="6.5"/>
    <n v="498.2"/>
    <s v="English"/>
    <s v="Rajkumar Hirani"/>
    <s v="Ryan Gosling"/>
    <n v="4"/>
    <n v="54"/>
    <n v="120.1"/>
    <s v="Average"/>
    <s v="Blockbuster"/>
    <s v="No"/>
    <s v="Low"/>
    <n v="66.099999999999994"/>
    <n v="222.40740740740739"/>
  </r>
  <r>
    <s v="NFX-100536"/>
    <x v="535"/>
    <s v="Movie"/>
    <x v="2"/>
    <n v="2015"/>
    <s v="USA"/>
    <s v="2019-04-04"/>
    <n v="150"/>
    <s v="G"/>
    <n v="8.3000000000000007"/>
    <n v="562.6"/>
    <s v="Japanese"/>
    <s v="Christopher Nolan"/>
    <s v="Lee Jung-jae"/>
    <m/>
    <n v="146"/>
    <n v="687.7"/>
    <s v="Hit"/>
    <s v="Blockbuster"/>
    <s v="Yes"/>
    <s v="High"/>
    <n v="541.70000000000005"/>
    <n v="471.02739726027397"/>
  </r>
  <r>
    <s v="NFX-100537"/>
    <x v="536"/>
    <s v="Movie"/>
    <x v="4"/>
    <n v="2004"/>
    <s v="Spain"/>
    <s v="2023-05-11"/>
    <n v="105"/>
    <s v="18+"/>
    <n v="6.4"/>
    <n v="31.7"/>
    <s v="Japanese"/>
    <s v="Greta Gerwig"/>
    <s v="Deepika Padukone"/>
    <m/>
    <n v="124"/>
    <n v="209.2"/>
    <s v="Average"/>
    <s v="Normal"/>
    <s v="No"/>
    <s v="High"/>
    <n v="85.199999999999989"/>
    <n v="168.70967741935482"/>
  </r>
  <r>
    <s v="NFX-100538"/>
    <x v="537"/>
    <s v="TV Show"/>
    <x v="7"/>
    <n v="2009"/>
    <s v="Australia"/>
    <s v="2022-01-12"/>
    <n v="50"/>
    <s v="16+"/>
    <n v="6.6"/>
    <n v="262.3"/>
    <s v="French"/>
    <s v="Quentin Tarantino"/>
    <s v="Brad Pitt"/>
    <n v="3"/>
    <n v="200"/>
    <n v="388.1"/>
    <s v="Average"/>
    <s v="Popular"/>
    <s v="No"/>
    <s v="High"/>
    <n v="188.10000000000002"/>
    <n v="194.05"/>
  </r>
  <r>
    <s v="NFX-100539"/>
    <x v="538"/>
    <s v="Movie"/>
    <x v="2"/>
    <n v="2011"/>
    <s v="UK"/>
    <s v="2018-02-18"/>
    <n v="155"/>
    <s v="PG"/>
    <n v="8.1999999999999993"/>
    <n v="283.5"/>
    <s v="French"/>
    <s v="Denis Villeneuve"/>
    <s v="Timothée Chalamet"/>
    <m/>
    <n v="149"/>
    <n v="510.9"/>
    <s v="Hit"/>
    <s v="Popular"/>
    <s v="Yes"/>
    <s v="High"/>
    <n v="361.9"/>
    <n v="342.88590604026842"/>
  </r>
  <r>
    <s v="NFX-100540"/>
    <x v="539"/>
    <s v="Movie"/>
    <x v="0"/>
    <n v="2024"/>
    <s v="India"/>
    <s v="2024-10-29"/>
    <n v="173"/>
    <s v="PG"/>
    <n v="8.4"/>
    <n v="141.80000000000001"/>
    <s v="Spanish"/>
    <s v="Zoya Akhtar"/>
    <s v="Chris Evans"/>
    <m/>
    <n v="34"/>
    <n v="127.8"/>
    <s v="Hit"/>
    <s v="Normal"/>
    <s v="Yes"/>
    <s v="Low"/>
    <n v="93.8"/>
    <n v="375.88235294117646"/>
  </r>
  <r>
    <s v="NFX-100541"/>
    <x v="540"/>
    <s v="Movie"/>
    <x v="1"/>
    <n v="2022"/>
    <s v="Australia"/>
    <s v="2019-05-13"/>
    <n v="93"/>
    <s v="16+"/>
    <n v="8.3000000000000007"/>
    <n v="28.5"/>
    <s v="Spanish"/>
    <s v="Guillermo del Toro"/>
    <s v="Song Kang-ho"/>
    <m/>
    <n v="133"/>
    <n v="638.79999999999995"/>
    <s v="Hit"/>
    <s v="Normal"/>
    <s v="No"/>
    <s v="High"/>
    <n v="505.79999999999995"/>
    <n v="480.30075187969919"/>
  </r>
  <r>
    <s v="NFX-100542"/>
    <x v="541"/>
    <s v="Movie"/>
    <x v="9"/>
    <n v="2007"/>
    <s v="South Korea"/>
    <s v="2018-09-18"/>
    <n v="119"/>
    <s v="G"/>
    <n v="7.4"/>
    <n v="79.5"/>
    <s v="Japanese"/>
    <s v="Christopher Nolan"/>
    <s v="Emma Stone"/>
    <m/>
    <n v="85"/>
    <n v="259.89999999999998"/>
    <s v="Average"/>
    <s v="Normal"/>
    <s v="Yes"/>
    <s v="Low"/>
    <n v="174.89999999999998"/>
    <n v="305.76470588235287"/>
  </r>
  <r>
    <s v="NFX-100543"/>
    <x v="542"/>
    <s v="TV Show"/>
    <x v="9"/>
    <n v="2012"/>
    <s v="Japan"/>
    <s v="2020-10-29"/>
    <n v="52"/>
    <s v="G"/>
    <n v="7.6"/>
    <n v="201.9"/>
    <s v="English"/>
    <s v="Sanjay Leela Bhansali"/>
    <s v="Timothée Chalamet"/>
    <n v="8"/>
    <n v="54"/>
    <n v="180.5"/>
    <s v="Average"/>
    <s v="Popular"/>
    <s v="Yes"/>
    <s v="Low"/>
    <n v="126.5"/>
    <n v="334.25925925925924"/>
  </r>
  <r>
    <s v="NFX-100544"/>
    <x v="543"/>
    <s v="TV Show"/>
    <x v="0"/>
    <n v="2000"/>
    <s v="South Korea"/>
    <s v="2022-01-27"/>
    <n v="52"/>
    <s v="G"/>
    <n v="8.1999999999999993"/>
    <n v="104.6"/>
    <s v="Hindi"/>
    <s v="Zoya Akhtar"/>
    <s v="Jennifer Lawrence"/>
    <n v="3"/>
    <n v="63"/>
    <n v="113.1"/>
    <s v="Hit"/>
    <s v="Normal"/>
    <s v="Yes"/>
    <s v="Low"/>
    <n v="50.099999999999994"/>
    <n v="179.52380952380952"/>
  </r>
  <r>
    <s v="NFX-100545"/>
    <x v="544"/>
    <s v="Movie"/>
    <x v="10"/>
    <n v="2022"/>
    <s v="USA"/>
    <s v="2024-02-10"/>
    <n v="138"/>
    <s v="PG-13"/>
    <n v="9.3000000000000007"/>
    <n v="326.8"/>
    <s v="Korean"/>
    <s v="Park Chan-wook"/>
    <s v="Shah Rukh Khan"/>
    <m/>
    <n v="149"/>
    <n v="482.7"/>
    <s v="Hit"/>
    <s v="Popular"/>
    <s v="No"/>
    <s v="High"/>
    <n v="333.7"/>
    <n v="323.95973154362412"/>
  </r>
  <r>
    <s v="NFX-100546"/>
    <x v="545"/>
    <s v="TV Show"/>
    <x v="2"/>
    <n v="2020"/>
    <s v="UK"/>
    <s v="2019-04-07"/>
    <n v="39"/>
    <s v="PG-13"/>
    <n v="5.2"/>
    <n v="580.4"/>
    <s v="Japanese"/>
    <s v="James Cameron"/>
    <s v="Deepika Padukone"/>
    <n v="6"/>
    <n v="101"/>
    <n v="140.6"/>
    <s v="Flop"/>
    <s v="Blockbuster"/>
    <s v="No"/>
    <s v="High"/>
    <n v="39.599999999999994"/>
    <n v="139.20792079207919"/>
  </r>
  <r>
    <s v="NFX-100547"/>
    <x v="546"/>
    <s v="TV Show"/>
    <x v="9"/>
    <n v="2003"/>
    <s v="Canada"/>
    <s v="2018-11-26"/>
    <n v="60"/>
    <s v="G"/>
    <n v="5.8"/>
    <n v="318.5"/>
    <s v="Hindi"/>
    <s v="Bong Joon-ho"/>
    <s v="Brad Pitt"/>
    <n v="7"/>
    <n v="198"/>
    <n v="545.79999999999995"/>
    <s v="Flop"/>
    <s v="Popular"/>
    <s v="Yes"/>
    <s v="High"/>
    <n v="347.79999999999995"/>
    <n v="275.65656565656565"/>
  </r>
  <r>
    <s v="NFX-100548"/>
    <x v="547"/>
    <s v="Movie"/>
    <x v="0"/>
    <n v="2020"/>
    <s v="Canada"/>
    <s v="2018-01-17"/>
    <n v="169"/>
    <s v="16+"/>
    <n v="6.1"/>
    <n v="133.9"/>
    <s v="French"/>
    <s v="Anurag Kashyap"/>
    <s v="Robert Downey Jr."/>
    <m/>
    <n v="20"/>
    <n v="53.7"/>
    <s v="Average"/>
    <s v="Normal"/>
    <s v="No"/>
    <s v="Low"/>
    <n v="33.700000000000003"/>
    <n v="268.5"/>
  </r>
  <r>
    <s v="NFX-100549"/>
    <x v="548"/>
    <s v="Movie"/>
    <x v="9"/>
    <n v="2016"/>
    <s v="USA"/>
    <s v="2021-01-01"/>
    <n v="152"/>
    <s v="16+"/>
    <n v="6.9"/>
    <n v="583"/>
    <s v="Hindi"/>
    <s v="Bong Joon-ho"/>
    <s v="Scarlett Johansson"/>
    <m/>
    <n v="11"/>
    <n v="42.6"/>
    <s v="Average"/>
    <s v="Blockbuster"/>
    <s v="No"/>
    <s v="Low"/>
    <n v="31.6"/>
    <n v="387.27272727272731"/>
  </r>
  <r>
    <s v="NFX-100550"/>
    <x v="549"/>
    <s v="TV Show"/>
    <x v="8"/>
    <n v="2018"/>
    <s v="Japan"/>
    <s v="2024-02-14"/>
    <n v="45"/>
    <s v="PG-13"/>
    <n v="7.5"/>
    <n v="226.2"/>
    <s v="French"/>
    <s v="Park Chan-wook"/>
    <s v="Ranbir Kapoor"/>
    <n v="5"/>
    <n v="86"/>
    <n v="224.6"/>
    <s v="Average"/>
    <s v="Popular"/>
    <s v="No"/>
    <s v="Low"/>
    <n v="138.6"/>
    <n v="261.16279069767444"/>
  </r>
  <r>
    <s v="NFX-100551"/>
    <x v="550"/>
    <s v="Movie"/>
    <x v="5"/>
    <n v="2022"/>
    <s v="Japan"/>
    <s v="2020-06-27"/>
    <n v="174"/>
    <s v="PG"/>
    <n v="8.1999999999999993"/>
    <n v="564.4"/>
    <s v="Japanese"/>
    <s v="Christopher Nolan"/>
    <s v="Shah Rukh Khan"/>
    <m/>
    <n v="180"/>
    <n v="945.3"/>
    <s v="Hit"/>
    <s v="Blockbuster"/>
    <s v="Yes"/>
    <s v="High"/>
    <n v="765.3"/>
    <n v="525.16666666666663"/>
  </r>
  <r>
    <s v="NFX-100552"/>
    <x v="551"/>
    <s v="Movie"/>
    <x v="5"/>
    <n v="2021"/>
    <s v="Canada"/>
    <s v="2018-06-23"/>
    <n v="91"/>
    <s v="PG"/>
    <n v="4.7"/>
    <n v="24.1"/>
    <s v="Japanese"/>
    <s v="James Cameron"/>
    <s v="Robert Downey Jr."/>
    <m/>
    <n v="65"/>
    <n v="355.9"/>
    <s v="Flop"/>
    <s v="Normal"/>
    <s v="Yes"/>
    <s v="Low"/>
    <n v="290.89999999999998"/>
    <n v="547.53846153846155"/>
  </r>
  <r>
    <s v="NFX-100553"/>
    <x v="552"/>
    <s v="TV Show"/>
    <x v="10"/>
    <n v="2021"/>
    <s v="UK"/>
    <s v="2021-09-12"/>
    <n v="54"/>
    <s v="PG"/>
    <n v="5"/>
    <n v="458.1"/>
    <s v="Japanese"/>
    <s v="Greta Gerwig"/>
    <s v="Jennifer Lawrence"/>
    <n v="6"/>
    <n v="177"/>
    <n v="534.6"/>
    <s v="Flop"/>
    <s v="Blockbuster"/>
    <s v="Yes"/>
    <s v="High"/>
    <n v="357.6"/>
    <n v="302.03389830508473"/>
  </r>
  <r>
    <s v="NFX-100554"/>
    <x v="553"/>
    <s v="Movie"/>
    <x v="7"/>
    <n v="2023"/>
    <s v="Germany"/>
    <s v="2023-07-03"/>
    <n v="141"/>
    <s v="16+"/>
    <n v="6.5"/>
    <n v="580.20000000000005"/>
    <s v="Hindi"/>
    <s v="Rajkumar Hirani"/>
    <s v="Timothée Chalamet"/>
    <m/>
    <n v="14"/>
    <n v="60.5"/>
    <s v="Average"/>
    <s v="Blockbuster"/>
    <s v="No"/>
    <s v="Low"/>
    <n v="46.5"/>
    <n v="432.14285714285711"/>
  </r>
  <r>
    <s v="NFX-100555"/>
    <x v="554"/>
    <s v="Movie"/>
    <x v="6"/>
    <n v="2022"/>
    <s v="Germany"/>
    <s v="2020-01-28"/>
    <n v="150"/>
    <s v="16+"/>
    <n v="5.5"/>
    <n v="258.2"/>
    <s v="Spanish"/>
    <s v="Sanjay Leela Bhansali"/>
    <s v="Song Kang-ho"/>
    <m/>
    <n v="181"/>
    <n v="772.3"/>
    <s v="Flop"/>
    <s v="Popular"/>
    <s v="No"/>
    <s v="High"/>
    <n v="591.29999999999995"/>
    <n v="426.68508287292815"/>
  </r>
  <r>
    <s v="NFX-100556"/>
    <x v="555"/>
    <s v="TV Show"/>
    <x v="1"/>
    <n v="2009"/>
    <s v="South Korea"/>
    <s v="2019-10-14"/>
    <n v="30"/>
    <s v="16+"/>
    <n v="7.9"/>
    <n v="226.7"/>
    <s v="Spanish"/>
    <s v="James Cameron"/>
    <s v="Jennifer Lawrence"/>
    <n v="7"/>
    <n v="189"/>
    <n v="890.8"/>
    <s v="Average"/>
    <s v="Popular"/>
    <s v="No"/>
    <s v="High"/>
    <n v="701.8"/>
    <n v="471.32275132275129"/>
  </r>
  <r>
    <s v="NFX-100557"/>
    <x v="556"/>
    <s v="Movie"/>
    <x v="2"/>
    <n v="2018"/>
    <s v="France"/>
    <s v="2020-12-23"/>
    <n v="165"/>
    <s v="G"/>
    <n v="7.2"/>
    <n v="589.6"/>
    <s v="English"/>
    <s v="Rajkumar Hirani"/>
    <s v="Ranbir Kapoor"/>
    <m/>
    <n v="77"/>
    <n v="111.4"/>
    <s v="Average"/>
    <s v="Blockbuster"/>
    <s v="Yes"/>
    <s v="Low"/>
    <n v="34.400000000000006"/>
    <n v="144.6753246753247"/>
  </r>
  <r>
    <s v="NFX-100558"/>
    <x v="557"/>
    <s v="TV Show"/>
    <x v="7"/>
    <n v="2004"/>
    <s v="France"/>
    <s v="2018-03-27"/>
    <n v="50"/>
    <s v="PG-13"/>
    <n v="5.6"/>
    <n v="15.7"/>
    <s v="Japanese"/>
    <s v="Anurag Kashyap"/>
    <s v="Ryan Gosling"/>
    <n v="4"/>
    <n v="8"/>
    <n v="48.7"/>
    <s v="Flop"/>
    <s v="Normal"/>
    <s v="No"/>
    <s v="Low"/>
    <n v="40.700000000000003"/>
    <n v="608.75"/>
  </r>
  <r>
    <s v="NFX-100559"/>
    <x v="558"/>
    <s v="Movie"/>
    <x v="7"/>
    <n v="2016"/>
    <s v="India"/>
    <s v="2024-03-05"/>
    <n v="92"/>
    <s v="PG-13"/>
    <n v="8.6"/>
    <n v="407.3"/>
    <s v="German"/>
    <s v="Rajkumar Hirani"/>
    <s v="Leonardo DiCaprio"/>
    <m/>
    <n v="22"/>
    <n v="59"/>
    <s v="Hit"/>
    <s v="Blockbuster"/>
    <s v="No"/>
    <s v="Low"/>
    <n v="37"/>
    <n v="268.18181818181819"/>
  </r>
  <r>
    <s v="NFX-100560"/>
    <x v="559"/>
    <s v="TV Show"/>
    <x v="8"/>
    <n v="2011"/>
    <s v="France"/>
    <s v="2020-03-24"/>
    <n v="35"/>
    <s v="PG-13"/>
    <n v="9.1"/>
    <n v="499.7"/>
    <s v="Spanish"/>
    <s v="Greta Gerwig"/>
    <s v="Brad Pitt"/>
    <n v="1"/>
    <n v="47"/>
    <n v="155.9"/>
    <s v="Hit"/>
    <s v="Blockbuster"/>
    <s v="No"/>
    <s v="Low"/>
    <n v="108.9"/>
    <n v="331.7021276595745"/>
  </r>
  <r>
    <s v="NFX-100561"/>
    <x v="560"/>
    <s v="TV Show"/>
    <x v="8"/>
    <n v="2022"/>
    <s v="Japan"/>
    <s v="2023-11-15"/>
    <n v="52"/>
    <s v="PG-13"/>
    <n v="7.5"/>
    <n v="591.79999999999995"/>
    <s v="German"/>
    <s v="Park Chan-wook"/>
    <s v="Tom Hardy"/>
    <n v="5"/>
    <n v="123"/>
    <n v="560.5"/>
    <s v="Average"/>
    <s v="Blockbuster"/>
    <s v="No"/>
    <s v="High"/>
    <n v="437.5"/>
    <n v="455.6910569105691"/>
  </r>
  <r>
    <s v="NFX-100562"/>
    <x v="561"/>
    <s v="Movie"/>
    <x v="6"/>
    <n v="2017"/>
    <s v="Canada"/>
    <s v="2024-03-16"/>
    <n v="151"/>
    <s v="16+"/>
    <n v="8.4"/>
    <n v="275"/>
    <s v="German"/>
    <s v="Greta Gerwig"/>
    <s v="Shah Rukh Khan"/>
    <m/>
    <n v="163"/>
    <n v="321.60000000000002"/>
    <s v="Hit"/>
    <s v="Popular"/>
    <s v="No"/>
    <s v="High"/>
    <n v="158.60000000000002"/>
    <n v="197.30061349693253"/>
  </r>
  <r>
    <s v="NFX-100563"/>
    <x v="562"/>
    <s v="TV Show"/>
    <x v="3"/>
    <n v="2021"/>
    <s v="Germany"/>
    <s v="2018-01-09"/>
    <n v="53"/>
    <s v="G"/>
    <n v="7.3"/>
    <n v="333.3"/>
    <s v="English"/>
    <s v="Denis Villeneuve"/>
    <s v="Chris Evans"/>
    <n v="2"/>
    <n v="56"/>
    <n v="94.2"/>
    <s v="Average"/>
    <s v="Popular"/>
    <s v="Yes"/>
    <s v="Low"/>
    <n v="38.200000000000003"/>
    <n v="168.21428571428572"/>
  </r>
  <r>
    <s v="NFX-100564"/>
    <x v="563"/>
    <s v="Movie"/>
    <x v="4"/>
    <n v="2011"/>
    <s v="UK"/>
    <s v="2019-04-30"/>
    <n v="162"/>
    <s v="PG"/>
    <n v="5"/>
    <n v="241.4"/>
    <s v="Hindi"/>
    <s v="Christopher Nolan"/>
    <s v="Leonardo DiCaprio"/>
    <m/>
    <n v="141"/>
    <n v="476.1"/>
    <s v="Flop"/>
    <s v="Popular"/>
    <s v="Yes"/>
    <s v="High"/>
    <n v="335.1"/>
    <n v="337.65957446808511"/>
  </r>
  <r>
    <s v="NFX-100565"/>
    <x v="564"/>
    <s v="Movie"/>
    <x v="5"/>
    <n v="2007"/>
    <s v="Japan"/>
    <s v="2023-10-15"/>
    <n v="164"/>
    <s v="G"/>
    <n v="8.6999999999999993"/>
    <n v="34.9"/>
    <s v="Spanish"/>
    <s v="Denis Villeneuve"/>
    <s v="Emma Stone"/>
    <m/>
    <n v="32"/>
    <n v="56.1"/>
    <s v="Hit"/>
    <s v="Normal"/>
    <s v="Yes"/>
    <s v="Low"/>
    <n v="24.1"/>
    <n v="175.3125"/>
  </r>
  <r>
    <s v="NFX-100566"/>
    <x v="565"/>
    <s v="TV Show"/>
    <x v="10"/>
    <n v="2015"/>
    <s v="USA"/>
    <s v="2019-12-31"/>
    <n v="36"/>
    <s v="G"/>
    <n v="6.4"/>
    <n v="589"/>
    <s v="Spanish"/>
    <s v="Martin Scorsese"/>
    <s v="Song Kang-ho"/>
    <n v="2"/>
    <n v="162"/>
    <n v="305.7"/>
    <s v="Average"/>
    <s v="Blockbuster"/>
    <s v="Yes"/>
    <s v="High"/>
    <n v="143.69999999999999"/>
    <n v="188.7037037037037"/>
  </r>
  <r>
    <s v="NFX-100567"/>
    <x v="566"/>
    <s v="TV Show"/>
    <x v="6"/>
    <n v="2025"/>
    <s v="South Korea"/>
    <s v="2023-12-30"/>
    <n v="52"/>
    <s v="16+"/>
    <n v="8.8000000000000007"/>
    <n v="492.6"/>
    <s v="French"/>
    <s v="Denis Villeneuve"/>
    <s v="Jennifer Lawrence"/>
    <n v="4"/>
    <n v="66"/>
    <n v="209"/>
    <s v="Hit"/>
    <s v="Blockbuster"/>
    <s v="No"/>
    <s v="Low"/>
    <n v="143"/>
    <n v="316.66666666666663"/>
  </r>
  <r>
    <s v="NFX-100568"/>
    <x v="567"/>
    <s v="TV Show"/>
    <x v="4"/>
    <n v="2002"/>
    <s v="France"/>
    <s v="2019-04-15"/>
    <n v="44"/>
    <s v="18+"/>
    <n v="5.0999999999999996"/>
    <n v="199.4"/>
    <s v="English"/>
    <s v="Christopher Nolan"/>
    <s v="Timothée Chalamet"/>
    <n v="7"/>
    <n v="6"/>
    <n v="23.1"/>
    <s v="Flop"/>
    <s v="Normal"/>
    <s v="No"/>
    <s v="Low"/>
    <n v="17.100000000000001"/>
    <n v="385"/>
  </r>
  <r>
    <s v="NFX-100569"/>
    <x v="568"/>
    <s v="Movie"/>
    <x v="8"/>
    <n v="2011"/>
    <s v="South Korea"/>
    <s v="2023-09-17"/>
    <n v="146"/>
    <s v="PG"/>
    <n v="8.4"/>
    <n v="65"/>
    <s v="French"/>
    <s v="Quentin Tarantino"/>
    <s v="Jennifer Lawrence"/>
    <m/>
    <n v="120"/>
    <n v="525.29999999999995"/>
    <s v="Hit"/>
    <s v="Normal"/>
    <s v="Yes"/>
    <s v="High"/>
    <n v="405.29999999999995"/>
    <n v="437.74999999999994"/>
  </r>
  <r>
    <s v="NFX-100570"/>
    <x v="569"/>
    <s v="TV Show"/>
    <x v="6"/>
    <n v="2017"/>
    <s v="South Korea"/>
    <s v="2022-09-21"/>
    <n v="56"/>
    <s v="G"/>
    <n v="5.2"/>
    <n v="34.9"/>
    <s v="Korean"/>
    <s v="Sanjay Leela Bhansali"/>
    <s v="Timothée Chalamet"/>
    <n v="5"/>
    <n v="100"/>
    <n v="347.9"/>
    <s v="Flop"/>
    <s v="Normal"/>
    <s v="Yes"/>
    <s v="High"/>
    <n v="247.89999999999998"/>
    <n v="347.9"/>
  </r>
  <r>
    <s v="NFX-100571"/>
    <x v="570"/>
    <s v="TV Show"/>
    <x v="1"/>
    <n v="2020"/>
    <s v="Japan"/>
    <s v="2023-10-20"/>
    <n v="53"/>
    <s v="PG"/>
    <n v="7.6"/>
    <n v="557.1"/>
    <s v="Korean"/>
    <s v="Anurag Kashyap"/>
    <s v="Ranbir Kapoor"/>
    <n v="8"/>
    <n v="164"/>
    <n v="947.6"/>
    <s v="Average"/>
    <s v="Blockbuster"/>
    <s v="Yes"/>
    <s v="High"/>
    <n v="783.6"/>
    <n v="577.80487804878055"/>
  </r>
  <r>
    <s v="NFX-100572"/>
    <x v="571"/>
    <s v="Movie"/>
    <x v="3"/>
    <n v="2024"/>
    <s v="USA"/>
    <s v="2018-10-14"/>
    <n v="81"/>
    <s v="PG-13"/>
    <n v="8.9"/>
    <n v="357.8"/>
    <s v="Korean"/>
    <s v="James Cameron"/>
    <s v="Leonardo DiCaprio"/>
    <m/>
    <n v="100"/>
    <n v="220.5"/>
    <s v="Hit"/>
    <s v="Popular"/>
    <s v="No"/>
    <s v="High"/>
    <n v="120.5"/>
    <n v="220.5"/>
  </r>
  <r>
    <s v="NFX-100573"/>
    <x v="572"/>
    <s v="TV Show"/>
    <x v="6"/>
    <n v="2015"/>
    <s v="Japan"/>
    <s v="2020-06-23"/>
    <n v="54"/>
    <s v="18+"/>
    <n v="7"/>
    <n v="530.6"/>
    <s v="Japanese"/>
    <s v="Guillermo del Toro"/>
    <s v="Jennifer Lawrence"/>
    <n v="5"/>
    <n v="127"/>
    <n v="480.5"/>
    <s v="Average"/>
    <s v="Blockbuster"/>
    <s v="No"/>
    <s v="High"/>
    <n v="353.5"/>
    <n v="378.34645669291336"/>
  </r>
  <r>
    <s v="NFX-100574"/>
    <x v="573"/>
    <s v="Movie"/>
    <x v="0"/>
    <n v="2020"/>
    <s v="India"/>
    <s v="2024-10-18"/>
    <n v="103"/>
    <s v="PG"/>
    <n v="7.6"/>
    <n v="531.20000000000005"/>
    <s v="Korean"/>
    <s v="Anurag Kashyap"/>
    <s v="Jennifer Lawrence"/>
    <m/>
    <n v="159"/>
    <n v="931.8"/>
    <s v="Average"/>
    <s v="Blockbuster"/>
    <s v="Yes"/>
    <s v="High"/>
    <n v="772.8"/>
    <n v="586.03773584905662"/>
  </r>
  <r>
    <s v="NFX-100575"/>
    <x v="574"/>
    <s v="Movie"/>
    <x v="8"/>
    <n v="2008"/>
    <s v="USA"/>
    <s v="2024-01-11"/>
    <n v="94"/>
    <s v="PG"/>
    <n v="7.7"/>
    <n v="401.5"/>
    <s v="Japanese"/>
    <s v="Sanjay Leela Bhansali"/>
    <s v="Lee Jung-jae"/>
    <m/>
    <n v="170"/>
    <n v="524.9"/>
    <s v="Average"/>
    <s v="Blockbuster"/>
    <s v="Yes"/>
    <s v="High"/>
    <n v="354.9"/>
    <n v="308.76470588235293"/>
  </r>
  <r>
    <s v="NFX-100576"/>
    <x v="575"/>
    <s v="TV Show"/>
    <x v="2"/>
    <n v="2003"/>
    <s v="UK"/>
    <s v="2022-09-18"/>
    <n v="32"/>
    <s v="PG"/>
    <n v="8.6"/>
    <n v="168.8"/>
    <s v="Japanese"/>
    <s v="Zoya Akhtar"/>
    <s v="Ryan Gosling"/>
    <n v="4"/>
    <n v="158"/>
    <n v="515"/>
    <s v="Hit"/>
    <s v="Normal"/>
    <s v="Yes"/>
    <s v="High"/>
    <n v="357"/>
    <n v="325.94936708860757"/>
  </r>
  <r>
    <s v="NFX-100577"/>
    <x v="576"/>
    <s v="TV Show"/>
    <x v="0"/>
    <n v="2008"/>
    <s v="South Korea"/>
    <s v="2019-09-01"/>
    <n v="41"/>
    <s v="G"/>
    <n v="9.1999999999999993"/>
    <n v="173.1"/>
    <s v="French"/>
    <s v="Sanjay Leela Bhansali"/>
    <s v="Chris Evans"/>
    <n v="3"/>
    <n v="76"/>
    <n v="214.7"/>
    <s v="Hit"/>
    <s v="Normal"/>
    <s v="Yes"/>
    <s v="Low"/>
    <n v="138.69999999999999"/>
    <n v="282.5"/>
  </r>
  <r>
    <s v="NFX-100578"/>
    <x v="577"/>
    <s v="Movie"/>
    <x v="2"/>
    <n v="2019"/>
    <s v="Australia"/>
    <s v="2021-12-25"/>
    <n v="154"/>
    <s v="PG-13"/>
    <n v="6.5"/>
    <n v="58"/>
    <s v="French"/>
    <s v="Greta Gerwig"/>
    <s v="Deepika Padukone"/>
    <m/>
    <n v="130"/>
    <n v="825.5"/>
    <s v="Average"/>
    <s v="Normal"/>
    <s v="No"/>
    <s v="High"/>
    <n v="695.5"/>
    <n v="635"/>
  </r>
  <r>
    <s v="NFX-100579"/>
    <x v="578"/>
    <s v="TV Show"/>
    <x v="8"/>
    <n v="2013"/>
    <s v="India"/>
    <s v="2024-05-09"/>
    <n v="31"/>
    <s v="PG-13"/>
    <n v="5.4"/>
    <n v="109.8"/>
    <s v="Japanese"/>
    <s v="James Cameron"/>
    <s v="Deepika Padukone"/>
    <n v="1"/>
    <n v="131"/>
    <n v="602.9"/>
    <s v="Flop"/>
    <s v="Normal"/>
    <s v="No"/>
    <s v="High"/>
    <n v="471.9"/>
    <n v="460.2290076335878"/>
  </r>
  <r>
    <s v="NFX-100580"/>
    <x v="579"/>
    <s v="Movie"/>
    <x v="7"/>
    <n v="2024"/>
    <s v="France"/>
    <s v="2023-10-16"/>
    <n v="123"/>
    <s v="PG"/>
    <n v="5.6"/>
    <n v="430"/>
    <s v="Japanese"/>
    <s v="Bong Joon-ho"/>
    <s v="Ranbir Kapoor"/>
    <m/>
    <n v="5"/>
    <n v="29.4"/>
    <s v="Flop"/>
    <s v="Blockbuster"/>
    <s v="Yes"/>
    <s v="Low"/>
    <n v="24.4"/>
    <n v="588"/>
  </r>
  <r>
    <s v="NFX-100581"/>
    <x v="580"/>
    <s v="Movie"/>
    <x v="2"/>
    <n v="2024"/>
    <s v="UK"/>
    <s v="2020-05-05"/>
    <n v="161"/>
    <s v="16+"/>
    <n v="9.3000000000000007"/>
    <n v="282.5"/>
    <s v="English"/>
    <s v="Anurag Kashyap"/>
    <s v="Lee Jung-jae"/>
    <m/>
    <n v="17"/>
    <n v="21.2"/>
    <s v="Hit"/>
    <s v="Popular"/>
    <s v="No"/>
    <s v="Low"/>
    <n v="4.1999999999999993"/>
    <n v="124.70588235294117"/>
  </r>
  <r>
    <s v="NFX-100582"/>
    <x v="581"/>
    <s v="Movie"/>
    <x v="6"/>
    <n v="2024"/>
    <s v="USA"/>
    <s v="2024-07-12"/>
    <n v="172"/>
    <s v="G"/>
    <n v="5.5"/>
    <n v="554.4"/>
    <s v="Korean"/>
    <s v="Sanjay Leela Bhansali"/>
    <s v="Song Kang-ho"/>
    <m/>
    <n v="32"/>
    <n v="61.7"/>
    <s v="Flop"/>
    <s v="Blockbuster"/>
    <s v="Yes"/>
    <s v="Low"/>
    <n v="29.700000000000003"/>
    <n v="192.8125"/>
  </r>
  <r>
    <s v="NFX-100583"/>
    <x v="582"/>
    <s v="TV Show"/>
    <x v="7"/>
    <n v="2010"/>
    <s v="France"/>
    <s v="2021-11-30"/>
    <n v="59"/>
    <s v="18+"/>
    <n v="5.7"/>
    <n v="172"/>
    <s v="English"/>
    <s v="Guillermo del Toro"/>
    <s v="Lee Jung-jae"/>
    <n v="1"/>
    <n v="81"/>
    <n v="406"/>
    <s v="Flop"/>
    <s v="Normal"/>
    <s v="No"/>
    <s v="Low"/>
    <n v="325"/>
    <n v="501.23456790123458"/>
  </r>
  <r>
    <s v="NFX-100584"/>
    <x v="583"/>
    <s v="Movie"/>
    <x v="10"/>
    <n v="2006"/>
    <s v="Spain"/>
    <s v="2020-11-13"/>
    <n v="104"/>
    <s v="PG-13"/>
    <n v="4.7"/>
    <n v="275.5"/>
    <s v="Japanese"/>
    <s v="Christopher Nolan"/>
    <s v="Brad Pitt"/>
    <m/>
    <n v="82"/>
    <n v="324"/>
    <s v="Flop"/>
    <s v="Popular"/>
    <s v="No"/>
    <s v="Low"/>
    <n v="242"/>
    <n v="395.1219512195122"/>
  </r>
  <r>
    <s v="NFX-100585"/>
    <x v="584"/>
    <s v="Movie"/>
    <x v="4"/>
    <n v="2007"/>
    <s v="Germany"/>
    <s v="2021-12-05"/>
    <n v="163"/>
    <s v="PG"/>
    <n v="5.0999999999999996"/>
    <n v="500.3"/>
    <s v="Japanese"/>
    <s v="Quentin Tarantino"/>
    <s v="Jennifer Lawrence"/>
    <m/>
    <n v="108"/>
    <n v="406.4"/>
    <s v="Flop"/>
    <s v="Blockbuster"/>
    <s v="Yes"/>
    <s v="High"/>
    <n v="298.39999999999998"/>
    <n v="376.29629629629625"/>
  </r>
  <r>
    <s v="NFX-100586"/>
    <x v="585"/>
    <s v="TV Show"/>
    <x v="2"/>
    <n v="2015"/>
    <s v="Canada"/>
    <s v="2024-03-31"/>
    <n v="55"/>
    <s v="18+"/>
    <n v="4.5999999999999996"/>
    <n v="527.4"/>
    <s v="French"/>
    <s v="Guillermo del Toro"/>
    <s v="Shah Rukh Khan"/>
    <n v="3"/>
    <n v="174"/>
    <n v="852.8"/>
    <s v="Flop"/>
    <s v="Blockbuster"/>
    <s v="No"/>
    <s v="High"/>
    <n v="678.8"/>
    <n v="490.11494252873558"/>
  </r>
  <r>
    <s v="NFX-100587"/>
    <x v="586"/>
    <s v="TV Show"/>
    <x v="0"/>
    <n v="2022"/>
    <s v="India"/>
    <s v="2021-05-27"/>
    <n v="43"/>
    <s v="PG-13"/>
    <n v="5.7"/>
    <n v="116.3"/>
    <s v="Spanish"/>
    <s v="Park Chan-wook"/>
    <s v="Lee Jung-jae"/>
    <n v="8"/>
    <n v="5"/>
    <n v="8.4"/>
    <s v="Flop"/>
    <s v="Normal"/>
    <s v="No"/>
    <s v="Low"/>
    <n v="3.4000000000000004"/>
    <n v="168.00000000000003"/>
  </r>
  <r>
    <s v="NFX-100588"/>
    <x v="587"/>
    <s v="TV Show"/>
    <x v="7"/>
    <n v="2000"/>
    <s v="Spain"/>
    <s v="2020-01-31"/>
    <n v="41"/>
    <s v="16+"/>
    <n v="6.2"/>
    <n v="64.8"/>
    <s v="Hindi"/>
    <s v="Park Chan-wook"/>
    <s v="Ryan Gosling"/>
    <n v="8"/>
    <n v="39"/>
    <n v="197.9"/>
    <s v="Average"/>
    <s v="Normal"/>
    <s v="No"/>
    <s v="Low"/>
    <n v="158.9"/>
    <n v="507.4358974358974"/>
  </r>
  <r>
    <s v="NFX-100589"/>
    <x v="588"/>
    <s v="Movie"/>
    <x v="1"/>
    <n v="2021"/>
    <s v="South Korea"/>
    <s v="2022-08-23"/>
    <n v="129"/>
    <s v="18+"/>
    <n v="8.5"/>
    <n v="354.8"/>
    <s v="Spanish"/>
    <s v="Christopher Nolan"/>
    <s v="Chris Evans"/>
    <m/>
    <n v="64"/>
    <n v="250.6"/>
    <s v="Hit"/>
    <s v="Popular"/>
    <s v="No"/>
    <s v="Low"/>
    <n v="186.6"/>
    <n v="391.5625"/>
  </r>
  <r>
    <s v="NFX-100590"/>
    <x v="589"/>
    <s v="TV Show"/>
    <x v="4"/>
    <n v="2021"/>
    <s v="Canada"/>
    <s v="2022-10-11"/>
    <n v="41"/>
    <s v="PG"/>
    <n v="5.6"/>
    <n v="518.1"/>
    <s v="English"/>
    <s v="Greta Gerwig"/>
    <s v="Deepika Padukone"/>
    <n v="2"/>
    <n v="30"/>
    <n v="72.5"/>
    <s v="Flop"/>
    <s v="Blockbuster"/>
    <s v="Yes"/>
    <s v="Low"/>
    <n v="42.5"/>
    <n v="241.66666666666666"/>
  </r>
  <r>
    <s v="NFX-100591"/>
    <x v="590"/>
    <s v="TV Show"/>
    <x v="7"/>
    <n v="2005"/>
    <s v="India"/>
    <s v="2023-04-06"/>
    <n v="42"/>
    <s v="G"/>
    <n v="5.7"/>
    <n v="26"/>
    <s v="English"/>
    <s v="Ridley Scott"/>
    <s v="Brad Pitt"/>
    <n v="7"/>
    <n v="64"/>
    <n v="274.8"/>
    <s v="Flop"/>
    <s v="Normal"/>
    <s v="Yes"/>
    <s v="Low"/>
    <n v="210.8"/>
    <n v="429.375"/>
  </r>
  <r>
    <s v="NFX-100592"/>
    <x v="591"/>
    <s v="TV Show"/>
    <x v="10"/>
    <n v="2011"/>
    <s v="South Korea"/>
    <s v="2022-07-10"/>
    <n v="57"/>
    <s v="PG"/>
    <n v="7.7"/>
    <n v="158.1"/>
    <s v="Hindi"/>
    <s v="Ridley Scott"/>
    <s v="Ranbir Kapoor"/>
    <n v="5"/>
    <n v="200"/>
    <n v="779.5"/>
    <s v="Average"/>
    <s v="Normal"/>
    <s v="Yes"/>
    <s v="High"/>
    <n v="579.5"/>
    <n v="389.75"/>
  </r>
  <r>
    <s v="NFX-100593"/>
    <x v="592"/>
    <s v="Movie"/>
    <x v="10"/>
    <n v="2024"/>
    <s v="USA"/>
    <s v="2020-03-19"/>
    <n v="121"/>
    <s v="18+"/>
    <n v="6.2"/>
    <n v="204.6"/>
    <s v="French"/>
    <s v="Quentin Tarantino"/>
    <s v="Chris Evans"/>
    <m/>
    <n v="108"/>
    <n v="217"/>
    <s v="Average"/>
    <s v="Popular"/>
    <s v="No"/>
    <s v="High"/>
    <n v="109"/>
    <n v="200.9259259259259"/>
  </r>
  <r>
    <s v="NFX-100594"/>
    <x v="593"/>
    <s v="Movie"/>
    <x v="2"/>
    <n v="2005"/>
    <s v="India"/>
    <s v="2023-06-28"/>
    <n v="170"/>
    <s v="16+"/>
    <n v="6.2"/>
    <n v="314.60000000000002"/>
    <s v="French"/>
    <s v="Rajkumar Hirani"/>
    <s v="Brad Pitt"/>
    <m/>
    <n v="58"/>
    <n v="106.5"/>
    <s v="Average"/>
    <s v="Popular"/>
    <s v="No"/>
    <s v="Low"/>
    <n v="48.5"/>
    <n v="183.62068965517241"/>
  </r>
  <r>
    <s v="NFX-100595"/>
    <x v="594"/>
    <s v="Movie"/>
    <x v="1"/>
    <n v="2011"/>
    <s v="UK"/>
    <s v="2021-07-24"/>
    <n v="155"/>
    <s v="18+"/>
    <n v="9.3000000000000007"/>
    <n v="303.8"/>
    <s v="Spanish"/>
    <s v="Sanjay Leela Bhansali"/>
    <s v="Robert Downey Jr."/>
    <m/>
    <n v="81"/>
    <n v="403"/>
    <s v="Hit"/>
    <s v="Popular"/>
    <s v="No"/>
    <s v="Low"/>
    <n v="322"/>
    <n v="497.53086419753083"/>
  </r>
  <r>
    <s v="NFX-100596"/>
    <x v="595"/>
    <s v="Movie"/>
    <x v="2"/>
    <n v="2014"/>
    <s v="Canada"/>
    <s v="2024-04-19"/>
    <n v="176"/>
    <s v="16+"/>
    <n v="7.7"/>
    <n v="455.2"/>
    <s v="Hindi"/>
    <s v="Bong Joon-ho"/>
    <s v="Emma Stone"/>
    <m/>
    <n v="100"/>
    <n v="304.89999999999998"/>
    <s v="Average"/>
    <s v="Blockbuster"/>
    <s v="No"/>
    <s v="High"/>
    <n v="204.89999999999998"/>
    <n v="304.89999999999998"/>
  </r>
  <r>
    <s v="NFX-100597"/>
    <x v="596"/>
    <s v="Movie"/>
    <x v="6"/>
    <n v="2020"/>
    <s v="UK"/>
    <s v="2020-05-12"/>
    <n v="143"/>
    <s v="PG"/>
    <n v="6.8"/>
    <n v="168.6"/>
    <s v="Japanese"/>
    <s v="Steven Spielberg"/>
    <s v="Robert Downey Jr."/>
    <m/>
    <n v="192"/>
    <n v="855.9"/>
    <s v="Average"/>
    <s v="Normal"/>
    <s v="Yes"/>
    <s v="High"/>
    <n v="663.9"/>
    <n v="445.78125"/>
  </r>
  <r>
    <s v="NFX-100598"/>
    <x v="597"/>
    <s v="Movie"/>
    <x v="9"/>
    <n v="2007"/>
    <s v="South Korea"/>
    <s v="2021-10-11"/>
    <n v="180"/>
    <s v="G"/>
    <n v="5.5"/>
    <n v="348.8"/>
    <s v="Hindi"/>
    <s v="Bong Joon-ho"/>
    <s v="Ranbir Kapoor"/>
    <m/>
    <n v="22"/>
    <n v="28.5"/>
    <s v="Flop"/>
    <s v="Popular"/>
    <s v="Yes"/>
    <s v="Low"/>
    <n v="6.5"/>
    <n v="129.54545454545453"/>
  </r>
  <r>
    <s v="NFX-100599"/>
    <x v="598"/>
    <s v="Movie"/>
    <x v="2"/>
    <n v="2012"/>
    <s v="UK"/>
    <s v="2023-11-05"/>
    <n v="114"/>
    <s v="18+"/>
    <n v="7.3"/>
    <n v="484.7"/>
    <s v="Spanish"/>
    <s v="Steven Spielberg"/>
    <s v="Brad Pitt"/>
    <m/>
    <n v="144"/>
    <n v="189.3"/>
    <s v="Average"/>
    <s v="Blockbuster"/>
    <s v="No"/>
    <s v="High"/>
    <n v="45.300000000000011"/>
    <n v="131.45833333333334"/>
  </r>
  <r>
    <s v="NFX-100600"/>
    <x v="599"/>
    <s v="Movie"/>
    <x v="4"/>
    <n v="2017"/>
    <s v="Japan"/>
    <s v="2021-06-13"/>
    <n v="148"/>
    <s v="18+"/>
    <n v="8.3000000000000007"/>
    <n v="473.7"/>
    <s v="Spanish"/>
    <s v="Martin Scorsese"/>
    <s v="Brad Pitt"/>
    <m/>
    <n v="43"/>
    <n v="133.69999999999999"/>
    <s v="Hit"/>
    <s v="Blockbuster"/>
    <s v="No"/>
    <s v="Low"/>
    <n v="90.699999999999989"/>
    <n v="310.93023255813949"/>
  </r>
  <r>
    <s v="NFX-100601"/>
    <x v="600"/>
    <s v="Movie"/>
    <x v="9"/>
    <n v="2021"/>
    <s v="Germany"/>
    <s v="2021-02-16"/>
    <n v="129"/>
    <s v="G"/>
    <n v="6.9"/>
    <n v="589.4"/>
    <s v="French"/>
    <s v="Greta Gerwig"/>
    <s v="Leonardo DiCaprio"/>
    <m/>
    <n v="12"/>
    <n v="27.5"/>
    <s v="Average"/>
    <s v="Blockbuster"/>
    <s v="Yes"/>
    <s v="Low"/>
    <n v="15.5"/>
    <n v="229.16666666666666"/>
  </r>
  <r>
    <s v="NFX-100602"/>
    <x v="601"/>
    <s v="Movie"/>
    <x v="5"/>
    <n v="2014"/>
    <s v="Germany"/>
    <s v="2019-10-24"/>
    <n v="105"/>
    <s v="PG-13"/>
    <n v="7.8"/>
    <n v="222.3"/>
    <s v="English"/>
    <s v="Anurag Kashyap"/>
    <s v="Jennifer Lawrence"/>
    <m/>
    <n v="99"/>
    <n v="277"/>
    <s v="Average"/>
    <s v="Popular"/>
    <s v="No"/>
    <s v="Low"/>
    <n v="178"/>
    <n v="279.79797979797979"/>
  </r>
  <r>
    <s v="NFX-100603"/>
    <x v="602"/>
    <s v="TV Show"/>
    <x v="2"/>
    <n v="2024"/>
    <s v="UK"/>
    <s v="2020-11-18"/>
    <n v="33"/>
    <s v="PG-13"/>
    <n v="6.2"/>
    <n v="503"/>
    <s v="Korean"/>
    <s v="Bong Joon-ho"/>
    <s v="Deepika Padukone"/>
    <n v="4"/>
    <n v="101"/>
    <n v="214.1"/>
    <s v="Average"/>
    <s v="Blockbuster"/>
    <s v="No"/>
    <s v="High"/>
    <n v="113.1"/>
    <n v="211.980198019802"/>
  </r>
  <r>
    <s v="NFX-100604"/>
    <x v="603"/>
    <s v="TV Show"/>
    <x v="10"/>
    <n v="2004"/>
    <s v="India"/>
    <s v="2021-09-18"/>
    <n v="41"/>
    <s v="16+"/>
    <n v="8"/>
    <n v="187"/>
    <s v="German"/>
    <s v="Steven Spielberg"/>
    <s v="Timothée Chalamet"/>
    <n v="4"/>
    <n v="94"/>
    <n v="133.6"/>
    <s v="Hit"/>
    <s v="Normal"/>
    <s v="No"/>
    <s v="Low"/>
    <n v="39.599999999999994"/>
    <n v="142.12765957446805"/>
  </r>
  <r>
    <s v="NFX-100605"/>
    <x v="604"/>
    <s v="TV Show"/>
    <x v="3"/>
    <n v="2002"/>
    <s v="France"/>
    <s v="2018-12-22"/>
    <n v="42"/>
    <s v="18+"/>
    <n v="7.6"/>
    <n v="512.79999999999995"/>
    <s v="German"/>
    <s v="Zoya Akhtar"/>
    <s v="Tom Hardy"/>
    <n v="8"/>
    <n v="64"/>
    <n v="124.7"/>
    <s v="Average"/>
    <s v="Blockbuster"/>
    <s v="No"/>
    <s v="Low"/>
    <n v="60.7"/>
    <n v="194.84375"/>
  </r>
  <r>
    <s v="NFX-100606"/>
    <x v="605"/>
    <s v="TV Show"/>
    <x v="9"/>
    <n v="2011"/>
    <s v="France"/>
    <s v="2022-04-24"/>
    <n v="40"/>
    <s v="PG"/>
    <n v="5.5"/>
    <n v="29.6"/>
    <s v="English"/>
    <s v="James Cameron"/>
    <s v="Emma Stone"/>
    <n v="1"/>
    <n v="69"/>
    <n v="385.9"/>
    <s v="Flop"/>
    <s v="Normal"/>
    <s v="Yes"/>
    <s v="Low"/>
    <n v="316.89999999999998"/>
    <n v="559.27536231884062"/>
  </r>
  <r>
    <s v="NFX-100607"/>
    <x v="606"/>
    <s v="TV Show"/>
    <x v="8"/>
    <n v="2010"/>
    <s v="India"/>
    <s v="2019-10-07"/>
    <n v="55"/>
    <s v="18+"/>
    <n v="7.4"/>
    <n v="186.9"/>
    <s v="French"/>
    <s v="Christopher Nolan"/>
    <s v="Ryan Gosling"/>
    <n v="7"/>
    <n v="195"/>
    <n v="494.4"/>
    <s v="Average"/>
    <s v="Normal"/>
    <s v="No"/>
    <s v="High"/>
    <n v="299.39999999999998"/>
    <n v="253.53846153846155"/>
  </r>
  <r>
    <s v="NFX-100608"/>
    <x v="607"/>
    <s v="Movie"/>
    <x v="3"/>
    <n v="2008"/>
    <s v="South Korea"/>
    <s v="2022-10-25"/>
    <n v="170"/>
    <s v="18+"/>
    <n v="9.4"/>
    <n v="292.39999999999998"/>
    <s v="Korean"/>
    <s v="Bong Joon-ho"/>
    <s v="Tom Hardy"/>
    <m/>
    <n v="11"/>
    <n v="25.3"/>
    <s v="Hit"/>
    <s v="Popular"/>
    <s v="No"/>
    <s v="Low"/>
    <n v="14.3"/>
    <n v="230.00000000000003"/>
  </r>
  <r>
    <s v="NFX-100609"/>
    <x v="608"/>
    <s v="Movie"/>
    <x v="4"/>
    <n v="2008"/>
    <s v="UK"/>
    <s v="2021-05-11"/>
    <n v="155"/>
    <s v="16+"/>
    <n v="7.6"/>
    <n v="146.30000000000001"/>
    <s v="English"/>
    <s v="Park Chan-wook"/>
    <s v="Brad Pitt"/>
    <m/>
    <n v="110"/>
    <n v="623.70000000000005"/>
    <s v="Average"/>
    <s v="Normal"/>
    <s v="No"/>
    <s v="High"/>
    <n v="513.70000000000005"/>
    <n v="567.00000000000011"/>
  </r>
  <r>
    <s v="NFX-100610"/>
    <x v="609"/>
    <s v="Movie"/>
    <x v="10"/>
    <n v="2010"/>
    <s v="France"/>
    <s v="2019-03-20"/>
    <n v="157"/>
    <s v="18+"/>
    <n v="8"/>
    <n v="207.4"/>
    <s v="Hindi"/>
    <s v="Denis Villeneuve"/>
    <s v="Shah Rukh Khan"/>
    <m/>
    <n v="102"/>
    <n v="154"/>
    <s v="Hit"/>
    <s v="Popular"/>
    <s v="No"/>
    <s v="High"/>
    <n v="52"/>
    <n v="150.98039215686273"/>
  </r>
  <r>
    <s v="NFX-100611"/>
    <x v="610"/>
    <s v="TV Show"/>
    <x v="2"/>
    <n v="2011"/>
    <s v="UK"/>
    <s v="2023-04-11"/>
    <n v="32"/>
    <s v="18+"/>
    <n v="7.2"/>
    <n v="503.6"/>
    <s v="Spanish"/>
    <s v="Steven Spielberg"/>
    <s v="Tom Hardy"/>
    <n v="6"/>
    <n v="12"/>
    <n v="31.1"/>
    <s v="Average"/>
    <s v="Blockbuster"/>
    <s v="No"/>
    <s v="Low"/>
    <n v="19.100000000000001"/>
    <n v="259.16666666666669"/>
  </r>
  <r>
    <s v="NFX-100612"/>
    <x v="611"/>
    <s v="Movie"/>
    <x v="0"/>
    <n v="2005"/>
    <s v="Germany"/>
    <s v="2021-05-11"/>
    <n v="158"/>
    <s v="16+"/>
    <n v="8.1999999999999993"/>
    <n v="211.2"/>
    <s v="German"/>
    <s v="Zoya Akhtar"/>
    <s v="Shah Rukh Khan"/>
    <m/>
    <n v="153"/>
    <n v="775.8"/>
    <s v="Hit"/>
    <s v="Popular"/>
    <s v="No"/>
    <s v="High"/>
    <n v="622.79999999999995"/>
    <n v="507.05882352941171"/>
  </r>
  <r>
    <s v="NFX-100613"/>
    <x v="612"/>
    <s v="TV Show"/>
    <x v="0"/>
    <n v="2019"/>
    <s v="USA"/>
    <s v="2019-01-06"/>
    <n v="33"/>
    <s v="18+"/>
    <n v="6.5"/>
    <n v="332.1"/>
    <s v="Hindi"/>
    <s v="Zoya Akhtar"/>
    <s v="Jennifer Lawrence"/>
    <n v="7"/>
    <n v="156"/>
    <n v="706.6"/>
    <s v="Average"/>
    <s v="Popular"/>
    <s v="No"/>
    <s v="High"/>
    <n v="550.6"/>
    <n v="452.94871794871796"/>
  </r>
  <r>
    <s v="NFX-100614"/>
    <x v="613"/>
    <s v="TV Show"/>
    <x v="9"/>
    <n v="2000"/>
    <s v="UK"/>
    <s v="2020-05-28"/>
    <n v="43"/>
    <s v="PG"/>
    <n v="6.8"/>
    <n v="29.8"/>
    <s v="Hindi"/>
    <s v="Christopher Nolan"/>
    <s v="Ryan Gosling"/>
    <n v="4"/>
    <n v="175"/>
    <n v="745.7"/>
    <s v="Average"/>
    <s v="Normal"/>
    <s v="Yes"/>
    <s v="High"/>
    <n v="570.70000000000005"/>
    <n v="426.11428571428576"/>
  </r>
  <r>
    <s v="NFX-100615"/>
    <x v="614"/>
    <s v="TV Show"/>
    <x v="6"/>
    <n v="2023"/>
    <s v="South Korea"/>
    <s v="2018-09-25"/>
    <n v="49"/>
    <s v="PG-13"/>
    <n v="7.8"/>
    <n v="168.7"/>
    <s v="Hindi"/>
    <s v="James Cameron"/>
    <s v="Tom Hardy"/>
    <n v="5"/>
    <n v="103"/>
    <n v="401.5"/>
    <s v="Average"/>
    <s v="Normal"/>
    <s v="No"/>
    <s v="High"/>
    <n v="298.5"/>
    <n v="389.80582524271841"/>
  </r>
  <r>
    <s v="NFX-100616"/>
    <x v="615"/>
    <s v="Movie"/>
    <x v="1"/>
    <n v="2003"/>
    <s v="France"/>
    <s v="2021-08-30"/>
    <n v="105"/>
    <s v="18+"/>
    <n v="6.6"/>
    <n v="277.39999999999998"/>
    <s v="German"/>
    <s v="Anurag Kashyap"/>
    <s v="Ryan Gosling"/>
    <m/>
    <n v="180"/>
    <n v="683.2"/>
    <s v="Average"/>
    <s v="Popular"/>
    <s v="No"/>
    <s v="High"/>
    <n v="503.20000000000005"/>
    <n v="379.5555555555556"/>
  </r>
  <r>
    <s v="NFX-100617"/>
    <x v="616"/>
    <s v="Movie"/>
    <x v="9"/>
    <n v="2007"/>
    <s v="USA"/>
    <s v="2020-01-06"/>
    <n v="99"/>
    <s v="PG-13"/>
    <n v="8.8000000000000007"/>
    <n v="498.4"/>
    <s v="Hindi"/>
    <s v="Guillermo del Toro"/>
    <s v="Leonardo DiCaprio"/>
    <m/>
    <n v="80"/>
    <n v="124"/>
    <s v="Hit"/>
    <s v="Blockbuster"/>
    <s v="No"/>
    <s v="Low"/>
    <n v="44"/>
    <n v="155"/>
  </r>
  <r>
    <s v="NFX-100618"/>
    <x v="617"/>
    <s v="Movie"/>
    <x v="6"/>
    <n v="2023"/>
    <s v="USA"/>
    <s v="2024-03-12"/>
    <n v="157"/>
    <s v="PG"/>
    <n v="6.8"/>
    <n v="539.6"/>
    <s v="Hindi"/>
    <s v="Denis Villeneuve"/>
    <s v="Scarlett Johansson"/>
    <m/>
    <n v="174"/>
    <n v="482.2"/>
    <s v="Average"/>
    <s v="Blockbuster"/>
    <s v="Yes"/>
    <s v="High"/>
    <n v="308.2"/>
    <n v="277.12643678160919"/>
  </r>
  <r>
    <s v="NFX-100619"/>
    <x v="618"/>
    <s v="Movie"/>
    <x v="8"/>
    <n v="2015"/>
    <s v="UK"/>
    <s v="2022-05-08"/>
    <n v="87"/>
    <s v="PG-13"/>
    <n v="6.9"/>
    <n v="250.3"/>
    <s v="English"/>
    <s v="Bong Joon-ho"/>
    <s v="Deepika Padukone"/>
    <m/>
    <n v="125"/>
    <n v="716.9"/>
    <s v="Average"/>
    <s v="Popular"/>
    <s v="No"/>
    <s v="High"/>
    <n v="591.9"/>
    <n v="573.52"/>
  </r>
  <r>
    <s v="NFX-100620"/>
    <x v="619"/>
    <s v="Movie"/>
    <x v="3"/>
    <n v="2022"/>
    <s v="Australia"/>
    <s v="2019-07-26"/>
    <n v="121"/>
    <s v="G"/>
    <n v="5.6"/>
    <n v="577.5"/>
    <s v="German"/>
    <s v="Bong Joon-ho"/>
    <s v="Ranbir Kapoor"/>
    <m/>
    <n v="157"/>
    <n v="223.3"/>
    <s v="Flop"/>
    <s v="Blockbuster"/>
    <s v="Yes"/>
    <s v="High"/>
    <n v="66.300000000000011"/>
    <n v="142.22929936305732"/>
  </r>
  <r>
    <s v="NFX-100621"/>
    <x v="620"/>
    <s v="Movie"/>
    <x v="3"/>
    <n v="2017"/>
    <s v="UK"/>
    <s v="2019-11-29"/>
    <n v="102"/>
    <s v="G"/>
    <n v="9.3000000000000007"/>
    <n v="238.9"/>
    <s v="French"/>
    <s v="Anurag Kashyap"/>
    <s v="Lee Jung-jae"/>
    <m/>
    <n v="159"/>
    <n v="412"/>
    <s v="Hit"/>
    <s v="Popular"/>
    <s v="Yes"/>
    <s v="High"/>
    <n v="253"/>
    <n v="259.11949685534591"/>
  </r>
  <r>
    <s v="NFX-100622"/>
    <x v="621"/>
    <s v="Movie"/>
    <x v="2"/>
    <n v="2007"/>
    <s v="Germany"/>
    <s v="2020-04-07"/>
    <n v="157"/>
    <s v="PG-13"/>
    <n v="8.4"/>
    <n v="87"/>
    <s v="English"/>
    <s v="Bong Joon-ho"/>
    <s v="Ryan Gosling"/>
    <m/>
    <n v="64"/>
    <n v="350.9"/>
    <s v="Hit"/>
    <s v="Normal"/>
    <s v="No"/>
    <s v="Low"/>
    <n v="286.89999999999998"/>
    <n v="548.28125"/>
  </r>
  <r>
    <s v="NFX-100623"/>
    <x v="622"/>
    <s v="TV Show"/>
    <x v="0"/>
    <n v="2003"/>
    <s v="France"/>
    <s v="2021-02-23"/>
    <n v="48"/>
    <s v="PG-13"/>
    <n v="8.5"/>
    <n v="275.39999999999998"/>
    <s v="Korean"/>
    <s v="Park Chan-wook"/>
    <s v="Timothée Chalamet"/>
    <n v="7"/>
    <n v="78"/>
    <n v="306.8"/>
    <s v="Hit"/>
    <s v="Popular"/>
    <s v="No"/>
    <s v="Low"/>
    <n v="228.8"/>
    <n v="393.33333333333337"/>
  </r>
  <r>
    <s v="NFX-100624"/>
    <x v="623"/>
    <s v="Movie"/>
    <x v="10"/>
    <n v="2013"/>
    <s v="Australia"/>
    <s v="2018-06-29"/>
    <n v="164"/>
    <s v="G"/>
    <n v="9.1999999999999993"/>
    <n v="337.9"/>
    <s v="English"/>
    <s v="Anurag Kashyap"/>
    <s v="Ryan Gosling"/>
    <m/>
    <n v="155"/>
    <n v="478.6"/>
    <s v="Hit"/>
    <s v="Popular"/>
    <s v="Yes"/>
    <s v="High"/>
    <n v="323.60000000000002"/>
    <n v="308.77419354838713"/>
  </r>
  <r>
    <s v="NFX-100625"/>
    <x v="624"/>
    <s v="Movie"/>
    <x v="1"/>
    <n v="2006"/>
    <s v="South Korea"/>
    <s v="2021-04-27"/>
    <n v="82"/>
    <s v="PG"/>
    <n v="8.3000000000000007"/>
    <n v="325.7"/>
    <s v="Japanese"/>
    <s v="Greta Gerwig"/>
    <s v="Emma Stone"/>
    <m/>
    <n v="186"/>
    <n v="438.4"/>
    <s v="Hit"/>
    <s v="Popular"/>
    <s v="Yes"/>
    <s v="High"/>
    <n v="252.39999999999998"/>
    <n v="235.69892473118279"/>
  </r>
  <r>
    <s v="NFX-100626"/>
    <x v="625"/>
    <s v="Movie"/>
    <x v="8"/>
    <n v="2010"/>
    <s v="South Korea"/>
    <s v="2024-09-28"/>
    <n v="93"/>
    <s v="PG"/>
    <n v="8.8000000000000007"/>
    <n v="468"/>
    <s v="English"/>
    <s v="Ridley Scott"/>
    <s v="Ryan Gosling"/>
    <m/>
    <n v="142"/>
    <n v="448.8"/>
    <s v="Hit"/>
    <s v="Blockbuster"/>
    <s v="Yes"/>
    <s v="High"/>
    <n v="306.8"/>
    <n v="316.05633802816902"/>
  </r>
  <r>
    <s v="NFX-100627"/>
    <x v="626"/>
    <s v="Movie"/>
    <x v="2"/>
    <n v="2010"/>
    <s v="India"/>
    <s v="2022-09-29"/>
    <n v="108"/>
    <s v="18+"/>
    <n v="9.1"/>
    <n v="425.5"/>
    <s v="French"/>
    <s v="Zoya Akhtar"/>
    <s v="Robert Downey Jr."/>
    <m/>
    <n v="178"/>
    <n v="294.60000000000002"/>
    <s v="Hit"/>
    <s v="Blockbuster"/>
    <s v="No"/>
    <s v="High"/>
    <n v="116.60000000000002"/>
    <n v="165.50561797752809"/>
  </r>
  <r>
    <s v="NFX-100628"/>
    <x v="627"/>
    <s v="TV Show"/>
    <x v="2"/>
    <n v="2006"/>
    <s v="India"/>
    <s v="2024-09-22"/>
    <n v="37"/>
    <s v="18+"/>
    <n v="5.5"/>
    <n v="309.10000000000002"/>
    <s v="English"/>
    <s v="Quentin Tarantino"/>
    <s v="Ranbir Kapoor"/>
    <n v="2"/>
    <n v="164"/>
    <n v="362.5"/>
    <s v="Flop"/>
    <s v="Popular"/>
    <s v="No"/>
    <s v="High"/>
    <n v="198.5"/>
    <n v="221.03658536585365"/>
  </r>
  <r>
    <s v="NFX-100629"/>
    <x v="628"/>
    <s v="Movie"/>
    <x v="4"/>
    <n v="2011"/>
    <s v="France"/>
    <s v="2020-12-27"/>
    <n v="94"/>
    <s v="PG-13"/>
    <n v="6.2"/>
    <n v="12.5"/>
    <s v="Spanish"/>
    <s v="Guillermo del Toro"/>
    <s v="Ryan Gosling"/>
    <m/>
    <n v="27"/>
    <n v="131.6"/>
    <s v="Average"/>
    <s v="Normal"/>
    <s v="No"/>
    <s v="Low"/>
    <n v="104.6"/>
    <n v="487.40740740740745"/>
  </r>
  <r>
    <s v="NFX-100630"/>
    <x v="629"/>
    <s v="TV Show"/>
    <x v="9"/>
    <n v="2021"/>
    <s v="USA"/>
    <s v="2021-07-30"/>
    <n v="54"/>
    <s v="G"/>
    <n v="6.6"/>
    <n v="467.4"/>
    <s v="German"/>
    <s v="Martin Scorsese"/>
    <s v="Ranbir Kapoor"/>
    <n v="8"/>
    <n v="129"/>
    <n v="530.79999999999995"/>
    <s v="Average"/>
    <s v="Blockbuster"/>
    <s v="Yes"/>
    <s v="High"/>
    <n v="401.79999999999995"/>
    <n v="411.47286821705427"/>
  </r>
  <r>
    <s v="NFX-100631"/>
    <x v="630"/>
    <s v="Movie"/>
    <x v="5"/>
    <n v="2000"/>
    <s v="Japan"/>
    <s v="2023-07-27"/>
    <n v="180"/>
    <s v="18+"/>
    <n v="9"/>
    <n v="299.2"/>
    <s v="German"/>
    <s v="Zoya Akhtar"/>
    <s v="Shah Rukh Khan"/>
    <m/>
    <n v="141"/>
    <n v="440.9"/>
    <s v="Hit"/>
    <s v="Popular"/>
    <s v="No"/>
    <s v="High"/>
    <n v="299.89999999999998"/>
    <n v="312.69503546099287"/>
  </r>
  <r>
    <s v="NFX-100632"/>
    <x v="631"/>
    <s v="Movie"/>
    <x v="4"/>
    <n v="2020"/>
    <s v="South Korea"/>
    <s v="2024-01-18"/>
    <n v="174"/>
    <s v="PG-13"/>
    <n v="5"/>
    <n v="401.9"/>
    <s v="English"/>
    <s v="Greta Gerwig"/>
    <s v="Ranbir Kapoor"/>
    <m/>
    <n v="143"/>
    <n v="539.6"/>
    <s v="Flop"/>
    <s v="Blockbuster"/>
    <s v="No"/>
    <s v="High"/>
    <n v="396.6"/>
    <n v="377.34265734265733"/>
  </r>
  <r>
    <s v="NFX-100633"/>
    <x v="632"/>
    <s v="Movie"/>
    <x v="0"/>
    <n v="2000"/>
    <s v="South Korea"/>
    <s v="2019-08-18"/>
    <n v="149"/>
    <s v="PG-13"/>
    <n v="9.3000000000000007"/>
    <n v="9.6999999999999993"/>
    <s v="Hindi"/>
    <s v="Park Chan-wook"/>
    <s v="Ranbir Kapoor"/>
    <m/>
    <n v="11"/>
    <n v="18"/>
    <s v="Hit"/>
    <s v="Normal"/>
    <s v="No"/>
    <s v="Low"/>
    <n v="7"/>
    <n v="163.63636363636365"/>
  </r>
  <r>
    <s v="NFX-100634"/>
    <x v="633"/>
    <s v="Movie"/>
    <x v="2"/>
    <n v="2024"/>
    <s v="Germany"/>
    <s v="2018-06-28"/>
    <n v="152"/>
    <s v="18+"/>
    <n v="8.3000000000000007"/>
    <n v="280.7"/>
    <s v="Japanese"/>
    <s v="James Cameron"/>
    <s v="Chris Evans"/>
    <m/>
    <n v="91"/>
    <n v="415.4"/>
    <s v="Hit"/>
    <s v="Popular"/>
    <s v="No"/>
    <s v="Low"/>
    <n v="324.39999999999998"/>
    <n v="456.48351648351644"/>
  </r>
  <r>
    <s v="NFX-100635"/>
    <x v="634"/>
    <s v="TV Show"/>
    <x v="1"/>
    <n v="2012"/>
    <s v="France"/>
    <s v="2020-08-28"/>
    <n v="36"/>
    <s v="PG"/>
    <n v="7.3"/>
    <n v="315.2"/>
    <s v="Japanese"/>
    <s v="Zoya Akhtar"/>
    <s v="Robert Downey Jr."/>
    <n v="3"/>
    <n v="163"/>
    <n v="883.9"/>
    <s v="Average"/>
    <s v="Popular"/>
    <s v="Yes"/>
    <s v="High"/>
    <n v="720.9"/>
    <n v="542.2699386503067"/>
  </r>
  <r>
    <s v="NFX-100636"/>
    <x v="635"/>
    <s v="TV Show"/>
    <x v="2"/>
    <n v="2008"/>
    <s v="UK"/>
    <s v="2018-01-31"/>
    <n v="39"/>
    <s v="PG-13"/>
    <n v="8"/>
    <n v="199.7"/>
    <s v="Korean"/>
    <s v="Zoya Akhtar"/>
    <s v="Tom Hardy"/>
    <n v="7"/>
    <n v="190"/>
    <n v="253.6"/>
    <s v="Hit"/>
    <s v="Normal"/>
    <s v="No"/>
    <s v="High"/>
    <n v="63.599999999999994"/>
    <n v="133.47368421052633"/>
  </r>
  <r>
    <s v="NFX-100637"/>
    <x v="636"/>
    <s v="TV Show"/>
    <x v="8"/>
    <n v="2015"/>
    <s v="Japan"/>
    <s v="2018-01-26"/>
    <n v="49"/>
    <s v="18+"/>
    <n v="5.8"/>
    <n v="207.6"/>
    <s v="Spanish"/>
    <s v="Steven Spielberg"/>
    <s v="Ranbir Kapoor"/>
    <n v="4"/>
    <n v="44"/>
    <n v="259.5"/>
    <s v="Flop"/>
    <s v="Popular"/>
    <s v="No"/>
    <s v="Low"/>
    <n v="215.5"/>
    <n v="589.77272727272725"/>
  </r>
  <r>
    <s v="NFX-100638"/>
    <x v="637"/>
    <s v="Movie"/>
    <x v="3"/>
    <n v="2020"/>
    <s v="India"/>
    <s v="2018-11-27"/>
    <n v="138"/>
    <s v="PG-13"/>
    <n v="7.9"/>
    <n v="263.8"/>
    <s v="Korean"/>
    <s v="Anurag Kashyap"/>
    <s v="Ryan Gosling"/>
    <m/>
    <n v="152"/>
    <n v="684.6"/>
    <s v="Average"/>
    <s v="Popular"/>
    <s v="No"/>
    <s v="High"/>
    <n v="532.6"/>
    <n v="450.39473684210532"/>
  </r>
  <r>
    <s v="NFX-100639"/>
    <x v="638"/>
    <s v="Movie"/>
    <x v="8"/>
    <n v="2013"/>
    <s v="Germany"/>
    <s v="2023-05-03"/>
    <n v="84"/>
    <s v="PG"/>
    <n v="9.1"/>
    <n v="66.5"/>
    <s v="Japanese"/>
    <s v="Denis Villeneuve"/>
    <s v="Ranbir Kapoor"/>
    <m/>
    <n v="193"/>
    <n v="587.1"/>
    <s v="Hit"/>
    <s v="Normal"/>
    <s v="Yes"/>
    <s v="High"/>
    <n v="394.1"/>
    <n v="304.19689119170982"/>
  </r>
  <r>
    <s v="NFX-100640"/>
    <x v="639"/>
    <s v="TV Show"/>
    <x v="2"/>
    <n v="2007"/>
    <s v="Spain"/>
    <s v="2020-06-09"/>
    <n v="33"/>
    <s v="G"/>
    <n v="6.8"/>
    <n v="573.1"/>
    <s v="English"/>
    <s v="Anurag Kashyap"/>
    <s v="Lee Jung-jae"/>
    <n v="6"/>
    <n v="70"/>
    <n v="238"/>
    <s v="Average"/>
    <s v="Blockbuster"/>
    <s v="Yes"/>
    <s v="Low"/>
    <n v="168"/>
    <n v="340"/>
  </r>
  <r>
    <s v="NFX-100641"/>
    <x v="640"/>
    <s v="TV Show"/>
    <x v="8"/>
    <n v="2023"/>
    <s v="Spain"/>
    <s v="2024-04-11"/>
    <n v="35"/>
    <s v="16+"/>
    <n v="7.1"/>
    <n v="181.2"/>
    <s v="Korean"/>
    <s v="Martin Scorsese"/>
    <s v="Ranbir Kapoor"/>
    <n v="8"/>
    <n v="172"/>
    <n v="578.6"/>
    <s v="Average"/>
    <s v="Normal"/>
    <s v="No"/>
    <s v="High"/>
    <n v="406.6"/>
    <n v="336.39534883720927"/>
  </r>
  <r>
    <s v="NFX-100642"/>
    <x v="641"/>
    <s v="TV Show"/>
    <x v="2"/>
    <n v="2015"/>
    <s v="Japan"/>
    <s v="2024-09-15"/>
    <n v="30"/>
    <s v="PG"/>
    <n v="7.2"/>
    <n v="294.3"/>
    <s v="Hindi"/>
    <s v="Steven Spielberg"/>
    <s v="Jennifer Lawrence"/>
    <n v="4"/>
    <n v="138"/>
    <n v="374.1"/>
    <s v="Average"/>
    <s v="Popular"/>
    <s v="Yes"/>
    <s v="High"/>
    <n v="236.10000000000002"/>
    <n v="271.08695652173913"/>
  </r>
  <r>
    <s v="NFX-100643"/>
    <x v="642"/>
    <s v="TV Show"/>
    <x v="6"/>
    <n v="2017"/>
    <s v="Australia"/>
    <s v="2020-12-24"/>
    <n v="45"/>
    <s v="16+"/>
    <n v="5.8"/>
    <n v="310.39999999999998"/>
    <s v="English"/>
    <s v="Bong Joon-ho"/>
    <s v="Song Kang-ho"/>
    <n v="7"/>
    <n v="188"/>
    <n v="350.7"/>
    <s v="Flop"/>
    <s v="Popular"/>
    <s v="No"/>
    <s v="High"/>
    <n v="162.69999999999999"/>
    <n v="186.54255319148936"/>
  </r>
  <r>
    <s v="NFX-100644"/>
    <x v="643"/>
    <s v="TV Show"/>
    <x v="5"/>
    <n v="2017"/>
    <s v="Germany"/>
    <s v="2018-10-12"/>
    <n v="32"/>
    <s v="PG-13"/>
    <n v="6"/>
    <n v="543"/>
    <s v="French"/>
    <s v="Martin Scorsese"/>
    <s v="Robert Downey Jr."/>
    <n v="6"/>
    <n v="153"/>
    <n v="860.6"/>
    <s v="Average"/>
    <s v="Blockbuster"/>
    <s v="No"/>
    <s v="High"/>
    <n v="707.6"/>
    <n v="562.48366013071904"/>
  </r>
  <r>
    <s v="NFX-100645"/>
    <x v="644"/>
    <s v="Movie"/>
    <x v="10"/>
    <n v="2002"/>
    <s v="Japan"/>
    <s v="2022-02-18"/>
    <n v="163"/>
    <s v="16+"/>
    <n v="9.4"/>
    <n v="247.9"/>
    <s v="German"/>
    <s v="Sanjay Leela Bhansali"/>
    <s v="Timothée Chalamet"/>
    <m/>
    <n v="114"/>
    <n v="305"/>
    <s v="Hit"/>
    <s v="Popular"/>
    <s v="No"/>
    <s v="High"/>
    <n v="191"/>
    <n v="267.54385964912279"/>
  </r>
  <r>
    <s v="NFX-100646"/>
    <x v="645"/>
    <s v="Movie"/>
    <x v="2"/>
    <n v="2018"/>
    <s v="South Korea"/>
    <s v="2021-01-26"/>
    <n v="99"/>
    <s v="16+"/>
    <n v="6.5"/>
    <n v="500.5"/>
    <s v="French"/>
    <s v="Greta Gerwig"/>
    <s v="Timothée Chalamet"/>
    <m/>
    <n v="178"/>
    <n v="1118.5"/>
    <s v="Average"/>
    <s v="Blockbuster"/>
    <s v="No"/>
    <s v="High"/>
    <n v="940.5"/>
    <n v="628.37078651685397"/>
  </r>
  <r>
    <s v="NFX-100647"/>
    <x v="646"/>
    <s v="TV Show"/>
    <x v="8"/>
    <n v="2021"/>
    <s v="Spain"/>
    <s v="2023-10-08"/>
    <n v="31"/>
    <s v="16+"/>
    <n v="6.3"/>
    <n v="437.5"/>
    <s v="Spanish"/>
    <s v="Guillermo del Toro"/>
    <s v="Ryan Gosling"/>
    <n v="3"/>
    <n v="125"/>
    <n v="492.4"/>
    <s v="Average"/>
    <s v="Blockbuster"/>
    <s v="No"/>
    <s v="High"/>
    <n v="367.4"/>
    <n v="393.92"/>
  </r>
  <r>
    <s v="NFX-100648"/>
    <x v="647"/>
    <s v="TV Show"/>
    <x v="6"/>
    <n v="2011"/>
    <s v="Canada"/>
    <s v="2024-04-07"/>
    <n v="41"/>
    <s v="G"/>
    <n v="8.3000000000000007"/>
    <n v="340.7"/>
    <s v="English"/>
    <s v="Martin Scorsese"/>
    <s v="Ranbir Kapoor"/>
    <n v="3"/>
    <n v="188"/>
    <n v="1060.5"/>
    <s v="Hit"/>
    <s v="Popular"/>
    <s v="Yes"/>
    <s v="High"/>
    <n v="872.5"/>
    <n v="564.095744680851"/>
  </r>
  <r>
    <s v="NFX-100649"/>
    <x v="648"/>
    <s v="Movie"/>
    <x v="8"/>
    <n v="2009"/>
    <s v="South Korea"/>
    <s v="2023-06-12"/>
    <n v="171"/>
    <s v="G"/>
    <n v="6.3"/>
    <n v="407.9"/>
    <s v="Spanish"/>
    <s v="Sanjay Leela Bhansali"/>
    <s v="Tom Hardy"/>
    <m/>
    <n v="192"/>
    <n v="572.70000000000005"/>
    <s v="Average"/>
    <s v="Blockbuster"/>
    <s v="Yes"/>
    <s v="High"/>
    <n v="380.70000000000005"/>
    <n v="298.28125"/>
  </r>
  <r>
    <s v="NFX-100650"/>
    <x v="649"/>
    <s v="TV Show"/>
    <x v="5"/>
    <n v="2003"/>
    <s v="Canada"/>
    <s v="2021-09-18"/>
    <n v="47"/>
    <s v="G"/>
    <n v="4.5999999999999996"/>
    <n v="45.4"/>
    <s v="Hindi"/>
    <s v="Rajkumar Hirani"/>
    <s v="Scarlett Johansson"/>
    <n v="8"/>
    <n v="29"/>
    <n v="117.8"/>
    <s v="Flop"/>
    <s v="Normal"/>
    <s v="Yes"/>
    <s v="Low"/>
    <n v="88.8"/>
    <n v="406.20689655172413"/>
  </r>
  <r>
    <s v="NFX-100651"/>
    <x v="650"/>
    <s v="Movie"/>
    <x v="10"/>
    <n v="2009"/>
    <s v="Germany"/>
    <s v="2018-12-28"/>
    <n v="167"/>
    <s v="18+"/>
    <n v="7.9"/>
    <n v="421.6"/>
    <s v="English"/>
    <s v="Anurag Kashyap"/>
    <s v="Ranbir Kapoor"/>
    <m/>
    <n v="136"/>
    <n v="271.89999999999998"/>
    <s v="Average"/>
    <s v="Blockbuster"/>
    <s v="No"/>
    <s v="High"/>
    <n v="135.89999999999998"/>
    <n v="199.92647058823528"/>
  </r>
  <r>
    <s v="NFX-100652"/>
    <x v="651"/>
    <s v="Movie"/>
    <x v="1"/>
    <n v="2023"/>
    <s v="UK"/>
    <s v="2024-02-20"/>
    <n v="115"/>
    <s v="G"/>
    <n v="6.4"/>
    <n v="440.3"/>
    <s v="Korean"/>
    <s v="Zoya Akhtar"/>
    <s v="Robert Downey Jr."/>
    <m/>
    <n v="131"/>
    <n v="818"/>
    <s v="Average"/>
    <s v="Blockbuster"/>
    <s v="Yes"/>
    <s v="High"/>
    <n v="687"/>
    <n v="624.42748091603062"/>
  </r>
  <r>
    <s v="NFX-100653"/>
    <x v="652"/>
    <s v="TV Show"/>
    <x v="10"/>
    <n v="2012"/>
    <s v="Australia"/>
    <s v="2020-05-01"/>
    <n v="60"/>
    <s v="PG-13"/>
    <n v="7.2"/>
    <n v="101.3"/>
    <s v="English"/>
    <s v="Ridley Scott"/>
    <s v="Tom Hardy"/>
    <n v="6"/>
    <n v="164"/>
    <n v="1029"/>
    <s v="Average"/>
    <s v="Normal"/>
    <s v="No"/>
    <s v="High"/>
    <n v="865"/>
    <n v="627.43902439024396"/>
  </r>
  <r>
    <s v="NFX-100654"/>
    <x v="653"/>
    <s v="Movie"/>
    <x v="8"/>
    <n v="2022"/>
    <s v="India"/>
    <s v="2022-12-18"/>
    <n v="164"/>
    <s v="16+"/>
    <n v="7.6"/>
    <n v="74.5"/>
    <s v="Spanish"/>
    <s v="Quentin Tarantino"/>
    <s v="Lee Jung-jae"/>
    <m/>
    <n v="186"/>
    <n v="706.4"/>
    <s v="Average"/>
    <s v="Normal"/>
    <s v="No"/>
    <s v="High"/>
    <n v="520.4"/>
    <n v="379.78494623655916"/>
  </r>
  <r>
    <s v="NFX-100655"/>
    <x v="654"/>
    <s v="TV Show"/>
    <x v="6"/>
    <n v="2020"/>
    <s v="Spain"/>
    <s v="2024-06-24"/>
    <n v="55"/>
    <s v="G"/>
    <n v="8"/>
    <n v="191.7"/>
    <s v="French"/>
    <s v="Steven Spielberg"/>
    <s v="Deepika Padukone"/>
    <n v="4"/>
    <n v="10"/>
    <n v="45.3"/>
    <s v="Hit"/>
    <s v="Normal"/>
    <s v="Yes"/>
    <s v="Low"/>
    <n v="35.299999999999997"/>
    <n v="452.99999999999994"/>
  </r>
  <r>
    <s v="NFX-100656"/>
    <x v="655"/>
    <s v="Movie"/>
    <x v="2"/>
    <n v="2009"/>
    <s v="Spain"/>
    <s v="2021-06-26"/>
    <n v="143"/>
    <s v="PG"/>
    <n v="8.4"/>
    <n v="147.9"/>
    <s v="Japanese"/>
    <s v="James Cameron"/>
    <s v="Deepika Padukone"/>
    <m/>
    <n v="86"/>
    <n v="232.3"/>
    <s v="Hit"/>
    <s v="Normal"/>
    <s v="Yes"/>
    <s v="Low"/>
    <n v="146.30000000000001"/>
    <n v="270.11627906976747"/>
  </r>
  <r>
    <s v="NFX-100657"/>
    <x v="656"/>
    <s v="Movie"/>
    <x v="4"/>
    <n v="2008"/>
    <s v="USA"/>
    <s v="2022-02-05"/>
    <n v="109"/>
    <s v="16+"/>
    <n v="5.4"/>
    <n v="460.3"/>
    <s v="Hindi"/>
    <s v="Park Chan-wook"/>
    <s v="Song Kang-ho"/>
    <m/>
    <n v="116"/>
    <n v="225.7"/>
    <s v="Flop"/>
    <s v="Blockbuster"/>
    <s v="No"/>
    <s v="High"/>
    <n v="109.69999999999999"/>
    <n v="194.56896551724137"/>
  </r>
  <r>
    <s v="NFX-100658"/>
    <x v="657"/>
    <s v="TV Show"/>
    <x v="6"/>
    <n v="2006"/>
    <s v="France"/>
    <s v="2022-09-28"/>
    <n v="33"/>
    <s v="PG-13"/>
    <n v="5.7"/>
    <n v="442.6"/>
    <s v="German"/>
    <s v="Steven Spielberg"/>
    <s v="Ryan Gosling"/>
    <n v="5"/>
    <n v="143"/>
    <n v="425.9"/>
    <s v="Flop"/>
    <s v="Blockbuster"/>
    <s v="No"/>
    <s v="High"/>
    <n v="282.89999999999998"/>
    <n v="297.83216783216784"/>
  </r>
  <r>
    <s v="NFX-100659"/>
    <x v="658"/>
    <s v="Movie"/>
    <x v="3"/>
    <n v="2016"/>
    <s v="UK"/>
    <s v="2022-11-29"/>
    <n v="135"/>
    <s v="G"/>
    <n v="7.4"/>
    <n v="164.4"/>
    <s v="Hindi"/>
    <s v="Zoya Akhtar"/>
    <s v="Scarlett Johansson"/>
    <m/>
    <n v="183"/>
    <n v="1099.8"/>
    <s v="Average"/>
    <s v="Normal"/>
    <s v="Yes"/>
    <s v="High"/>
    <n v="916.8"/>
    <n v="600.98360655737702"/>
  </r>
  <r>
    <s v="NFX-100660"/>
    <x v="659"/>
    <s v="Movie"/>
    <x v="0"/>
    <n v="2016"/>
    <s v="South Korea"/>
    <s v="2018-05-02"/>
    <n v="96"/>
    <s v="G"/>
    <n v="5.6"/>
    <n v="33.799999999999997"/>
    <s v="Hindi"/>
    <s v="Christopher Nolan"/>
    <s v="Emma Stone"/>
    <m/>
    <n v="12"/>
    <n v="67"/>
    <s v="Flop"/>
    <s v="Normal"/>
    <s v="Yes"/>
    <s v="Low"/>
    <n v="55"/>
    <n v="558.33333333333326"/>
  </r>
  <r>
    <s v="NFX-100661"/>
    <x v="660"/>
    <s v="Movie"/>
    <x v="2"/>
    <n v="2017"/>
    <s v="India"/>
    <s v="2023-02-09"/>
    <n v="148"/>
    <s v="G"/>
    <n v="4.9000000000000004"/>
    <n v="341.5"/>
    <s v="French"/>
    <s v="Sanjay Leela Bhansali"/>
    <s v="Song Kang-ho"/>
    <m/>
    <n v="171"/>
    <n v="725.3"/>
    <s v="Flop"/>
    <s v="Popular"/>
    <s v="Yes"/>
    <s v="High"/>
    <n v="554.29999999999995"/>
    <n v="424.15204678362574"/>
  </r>
  <r>
    <s v="NFX-100662"/>
    <x v="661"/>
    <s v="Movie"/>
    <x v="8"/>
    <n v="2018"/>
    <s v="South Korea"/>
    <s v="2024-10-29"/>
    <n v="143"/>
    <s v="PG"/>
    <n v="6.2"/>
    <n v="363.2"/>
    <s v="German"/>
    <s v="James Cameron"/>
    <s v="Song Kang-ho"/>
    <m/>
    <n v="114"/>
    <n v="617.4"/>
    <s v="Average"/>
    <s v="Popular"/>
    <s v="Yes"/>
    <s v="High"/>
    <n v="503.4"/>
    <n v="541.57894736842104"/>
  </r>
  <r>
    <s v="NFX-100663"/>
    <x v="662"/>
    <s v="Movie"/>
    <x v="3"/>
    <n v="2013"/>
    <s v="USA"/>
    <s v="2019-01-15"/>
    <n v="177"/>
    <s v="G"/>
    <n v="5.7"/>
    <n v="307.10000000000002"/>
    <s v="Spanish"/>
    <s v="Zoya Akhtar"/>
    <s v="Timothée Chalamet"/>
    <m/>
    <n v="135"/>
    <n v="311.7"/>
    <s v="Flop"/>
    <s v="Popular"/>
    <s v="Yes"/>
    <s v="High"/>
    <n v="176.7"/>
    <n v="230.88888888888889"/>
  </r>
  <r>
    <s v="NFX-100664"/>
    <x v="663"/>
    <s v="TV Show"/>
    <x v="3"/>
    <n v="2020"/>
    <s v="Spain"/>
    <s v="2020-01-19"/>
    <n v="59"/>
    <s v="G"/>
    <n v="5"/>
    <n v="346.6"/>
    <s v="German"/>
    <s v="Greta Gerwig"/>
    <s v="Chris Evans"/>
    <n v="2"/>
    <n v="169"/>
    <n v="906.1"/>
    <s v="Flop"/>
    <s v="Popular"/>
    <s v="Yes"/>
    <s v="High"/>
    <n v="737.1"/>
    <n v="536.15384615384619"/>
  </r>
  <r>
    <s v="NFX-100665"/>
    <x v="664"/>
    <s v="TV Show"/>
    <x v="3"/>
    <n v="2009"/>
    <s v="UK"/>
    <s v="2022-03-15"/>
    <n v="44"/>
    <s v="G"/>
    <n v="8.4"/>
    <n v="567.6"/>
    <s v="Japanese"/>
    <s v="Ridley Scott"/>
    <s v="Lee Jung-jae"/>
    <n v="3"/>
    <n v="166"/>
    <n v="481.6"/>
    <s v="Hit"/>
    <s v="Blockbuster"/>
    <s v="Yes"/>
    <s v="High"/>
    <n v="315.60000000000002"/>
    <n v="290.1204819277109"/>
  </r>
  <r>
    <s v="NFX-100666"/>
    <x v="665"/>
    <s v="TV Show"/>
    <x v="6"/>
    <n v="2002"/>
    <s v="Spain"/>
    <s v="2023-08-22"/>
    <n v="44"/>
    <s v="PG"/>
    <n v="5.6"/>
    <n v="513.70000000000005"/>
    <s v="English"/>
    <s v="Anurag Kashyap"/>
    <s v="Timothée Chalamet"/>
    <n v="2"/>
    <n v="184"/>
    <n v="646"/>
    <s v="Flop"/>
    <s v="Blockbuster"/>
    <s v="Yes"/>
    <s v="High"/>
    <n v="462"/>
    <n v="351.08695652173913"/>
  </r>
  <r>
    <s v="NFX-100667"/>
    <x v="666"/>
    <s v="Movie"/>
    <x v="5"/>
    <n v="2011"/>
    <s v="USA"/>
    <s v="2018-08-23"/>
    <n v="139"/>
    <s v="16+"/>
    <n v="5.9"/>
    <n v="232.1"/>
    <s v="Hindi"/>
    <s v="Ridley Scott"/>
    <s v="Chris Evans"/>
    <m/>
    <n v="100"/>
    <n v="160.5"/>
    <s v="Flop"/>
    <s v="Popular"/>
    <s v="No"/>
    <s v="High"/>
    <n v="60.5"/>
    <n v="160.5"/>
  </r>
  <r>
    <s v="NFX-100668"/>
    <x v="667"/>
    <s v="TV Show"/>
    <x v="9"/>
    <n v="2005"/>
    <s v="UK"/>
    <s v="2020-02-19"/>
    <n v="40"/>
    <s v="PG"/>
    <n v="8.1"/>
    <n v="438.1"/>
    <s v="Korean"/>
    <s v="Quentin Tarantino"/>
    <s v="Ranbir Kapoor"/>
    <n v="8"/>
    <n v="73"/>
    <n v="405.8"/>
    <s v="Hit"/>
    <s v="Blockbuster"/>
    <s v="Yes"/>
    <s v="Low"/>
    <n v="332.8"/>
    <n v="555.89041095890411"/>
  </r>
  <r>
    <s v="NFX-100669"/>
    <x v="668"/>
    <s v="TV Show"/>
    <x v="1"/>
    <n v="2009"/>
    <s v="UK"/>
    <s v="2023-07-04"/>
    <n v="47"/>
    <s v="PG"/>
    <n v="8.4"/>
    <n v="451"/>
    <s v="French"/>
    <s v="James Cameron"/>
    <s v="Timothée Chalamet"/>
    <n v="7"/>
    <n v="149"/>
    <n v="319.10000000000002"/>
    <s v="Hit"/>
    <s v="Blockbuster"/>
    <s v="Yes"/>
    <s v="High"/>
    <n v="170.10000000000002"/>
    <n v="214.16107382550337"/>
  </r>
  <r>
    <s v="NFX-100670"/>
    <x v="669"/>
    <s v="Movie"/>
    <x v="6"/>
    <n v="2023"/>
    <s v="UK"/>
    <s v="2024-03-05"/>
    <n v="121"/>
    <s v="18+"/>
    <n v="5.4"/>
    <n v="387.6"/>
    <s v="Hindi"/>
    <s v="Zoya Akhtar"/>
    <s v="Robert Downey Jr."/>
    <m/>
    <n v="95"/>
    <n v="344.2"/>
    <s v="Flop"/>
    <s v="Popular"/>
    <s v="No"/>
    <s v="Low"/>
    <n v="249.2"/>
    <n v="362.31578947368416"/>
  </r>
  <r>
    <s v="NFX-100671"/>
    <x v="670"/>
    <s v="TV Show"/>
    <x v="8"/>
    <n v="2015"/>
    <s v="USA"/>
    <s v="2023-12-07"/>
    <n v="47"/>
    <s v="16+"/>
    <n v="6"/>
    <n v="204.6"/>
    <s v="Spanish"/>
    <s v="Greta Gerwig"/>
    <s v="Emma Stone"/>
    <n v="4"/>
    <n v="45"/>
    <n v="71.099999999999994"/>
    <s v="Average"/>
    <s v="Popular"/>
    <s v="No"/>
    <s v="Low"/>
    <n v="26.099999999999994"/>
    <n v="157.99999999999997"/>
  </r>
  <r>
    <s v="NFX-100672"/>
    <x v="671"/>
    <s v="TV Show"/>
    <x v="7"/>
    <n v="2016"/>
    <s v="Spain"/>
    <s v="2019-11-12"/>
    <n v="49"/>
    <s v="18+"/>
    <n v="6.5"/>
    <n v="443.9"/>
    <s v="Japanese"/>
    <s v="Zoya Akhtar"/>
    <s v="Leonardo DiCaprio"/>
    <n v="3"/>
    <n v="147"/>
    <n v="278.89999999999998"/>
    <s v="Average"/>
    <s v="Blockbuster"/>
    <s v="No"/>
    <s v="High"/>
    <n v="131.89999999999998"/>
    <n v="189.72789115646259"/>
  </r>
  <r>
    <s v="NFX-100673"/>
    <x v="672"/>
    <s v="TV Show"/>
    <x v="9"/>
    <n v="2007"/>
    <s v="Japan"/>
    <s v="2023-06-06"/>
    <n v="45"/>
    <s v="PG-13"/>
    <n v="6.8"/>
    <n v="266.60000000000002"/>
    <s v="German"/>
    <s v="Guillermo del Toro"/>
    <s v="Jennifer Lawrence"/>
    <n v="1"/>
    <n v="162"/>
    <n v="609.79999999999995"/>
    <s v="Average"/>
    <s v="Popular"/>
    <s v="No"/>
    <s v="High"/>
    <n v="447.79999999999995"/>
    <n v="376.41975308641975"/>
  </r>
  <r>
    <s v="NFX-100674"/>
    <x v="673"/>
    <s v="Movie"/>
    <x v="3"/>
    <n v="2020"/>
    <s v="France"/>
    <s v="2024-01-06"/>
    <n v="165"/>
    <s v="G"/>
    <n v="8.1999999999999993"/>
    <n v="36.799999999999997"/>
    <s v="German"/>
    <s v="Sanjay Leela Bhansali"/>
    <s v="Deepika Padukone"/>
    <m/>
    <n v="20"/>
    <n v="78.099999999999994"/>
    <s v="Hit"/>
    <s v="Normal"/>
    <s v="Yes"/>
    <s v="Low"/>
    <n v="58.099999999999994"/>
    <n v="390.5"/>
  </r>
  <r>
    <s v="NFX-100675"/>
    <x v="674"/>
    <s v="TV Show"/>
    <x v="9"/>
    <n v="2020"/>
    <s v="USA"/>
    <s v="2023-11-10"/>
    <n v="46"/>
    <s v="18+"/>
    <n v="8.6999999999999993"/>
    <n v="65.900000000000006"/>
    <s v="English"/>
    <s v="Anurag Kashyap"/>
    <s v="Jennifer Lawrence"/>
    <n v="3"/>
    <n v="104"/>
    <n v="319.2"/>
    <s v="Hit"/>
    <s v="Normal"/>
    <s v="No"/>
    <s v="High"/>
    <n v="215.2"/>
    <n v="306.92307692307691"/>
  </r>
  <r>
    <s v="NFX-100676"/>
    <x v="675"/>
    <s v="Movie"/>
    <x v="4"/>
    <n v="2011"/>
    <s v="France"/>
    <s v="2023-07-10"/>
    <n v="98"/>
    <s v="PG-13"/>
    <n v="7.4"/>
    <n v="181.2"/>
    <s v="French"/>
    <s v="Christopher Nolan"/>
    <s v="Leonardo DiCaprio"/>
    <m/>
    <n v="14"/>
    <n v="79"/>
    <s v="Average"/>
    <s v="Normal"/>
    <s v="No"/>
    <s v="Low"/>
    <n v="65"/>
    <n v="564.28571428571433"/>
  </r>
  <r>
    <s v="NFX-100677"/>
    <x v="676"/>
    <s v="Movie"/>
    <x v="2"/>
    <n v="2025"/>
    <s v="India"/>
    <s v="2024-08-05"/>
    <n v="93"/>
    <s v="G"/>
    <n v="8"/>
    <n v="344.4"/>
    <s v="Hindi"/>
    <s v="Greta Gerwig"/>
    <s v="Leonardo DiCaprio"/>
    <m/>
    <n v="189"/>
    <n v="865.1"/>
    <s v="Hit"/>
    <s v="Popular"/>
    <s v="Yes"/>
    <s v="High"/>
    <n v="676.1"/>
    <n v="457.72486772486775"/>
  </r>
  <r>
    <s v="NFX-100678"/>
    <x v="677"/>
    <s v="Movie"/>
    <x v="5"/>
    <n v="2008"/>
    <s v="Spain"/>
    <s v="2018-12-30"/>
    <n v="124"/>
    <s v="PG-13"/>
    <n v="5"/>
    <n v="111.1"/>
    <s v="Korean"/>
    <s v="Denis Villeneuve"/>
    <s v="Brad Pitt"/>
    <m/>
    <n v="26"/>
    <n v="168.3"/>
    <s v="Flop"/>
    <s v="Normal"/>
    <s v="No"/>
    <s v="Low"/>
    <n v="142.30000000000001"/>
    <n v="647.30769230769226"/>
  </r>
  <r>
    <s v="NFX-100679"/>
    <x v="678"/>
    <s v="Movie"/>
    <x v="4"/>
    <n v="2003"/>
    <s v="USA"/>
    <s v="2018-09-05"/>
    <n v="89"/>
    <s v="16+"/>
    <n v="5.6"/>
    <n v="563.70000000000005"/>
    <s v="German"/>
    <s v="Anurag Kashyap"/>
    <s v="Timothée Chalamet"/>
    <m/>
    <n v="41"/>
    <n v="155.9"/>
    <s v="Flop"/>
    <s v="Blockbuster"/>
    <s v="No"/>
    <s v="Low"/>
    <n v="114.9"/>
    <n v="380.2439024390244"/>
  </r>
  <r>
    <s v="NFX-100680"/>
    <x v="679"/>
    <s v="TV Show"/>
    <x v="0"/>
    <n v="2016"/>
    <s v="Australia"/>
    <s v="2020-11-11"/>
    <n v="49"/>
    <s v="18+"/>
    <n v="7.2"/>
    <n v="148.80000000000001"/>
    <s v="German"/>
    <s v="Denis Villeneuve"/>
    <s v="Song Kang-ho"/>
    <n v="1"/>
    <n v="18"/>
    <n v="46.7"/>
    <s v="Average"/>
    <s v="Normal"/>
    <s v="No"/>
    <s v="Low"/>
    <n v="28.700000000000003"/>
    <n v="259.44444444444446"/>
  </r>
  <r>
    <s v="NFX-100681"/>
    <x v="680"/>
    <s v="Movie"/>
    <x v="6"/>
    <n v="2003"/>
    <s v="Canada"/>
    <s v="2019-04-23"/>
    <n v="180"/>
    <s v="16+"/>
    <n v="8.4"/>
    <n v="419.2"/>
    <s v="Korean"/>
    <s v="Guillermo del Toro"/>
    <s v="Deepika Padukone"/>
    <m/>
    <n v="37"/>
    <n v="117.5"/>
    <s v="Hit"/>
    <s v="Blockbuster"/>
    <s v="No"/>
    <s v="Low"/>
    <n v="80.5"/>
    <n v="317.56756756756761"/>
  </r>
  <r>
    <s v="NFX-100682"/>
    <x v="681"/>
    <s v="Movie"/>
    <x v="10"/>
    <n v="2018"/>
    <s v="Japan"/>
    <s v="2021-02-14"/>
    <n v="127"/>
    <s v="PG"/>
    <n v="4.5999999999999996"/>
    <n v="546.29999999999995"/>
    <s v="English"/>
    <s v="Christopher Nolan"/>
    <s v="Lee Jung-jae"/>
    <m/>
    <n v="82"/>
    <n v="264.60000000000002"/>
    <s v="Flop"/>
    <s v="Blockbuster"/>
    <s v="Yes"/>
    <s v="Low"/>
    <n v="182.60000000000002"/>
    <n v="322.6829268292683"/>
  </r>
  <r>
    <s v="NFX-100683"/>
    <x v="682"/>
    <s v="Movie"/>
    <x v="1"/>
    <n v="2007"/>
    <s v="Canada"/>
    <s v="2022-03-30"/>
    <n v="172"/>
    <s v="PG-13"/>
    <n v="8.1999999999999993"/>
    <n v="430"/>
    <s v="Korean"/>
    <s v="Rajkumar Hirani"/>
    <s v="Deepika Padukone"/>
    <m/>
    <n v="160"/>
    <n v="559.79999999999995"/>
    <s v="Hit"/>
    <s v="Blockbuster"/>
    <s v="No"/>
    <s v="High"/>
    <n v="399.79999999999995"/>
    <n v="349.875"/>
  </r>
  <r>
    <s v="NFX-100684"/>
    <x v="683"/>
    <s v="TV Show"/>
    <x v="0"/>
    <n v="2024"/>
    <s v="UK"/>
    <s v="2022-03-07"/>
    <n v="45"/>
    <s v="G"/>
    <n v="4.7"/>
    <n v="411.2"/>
    <s v="English"/>
    <s v="Ridley Scott"/>
    <s v="Emma Stone"/>
    <n v="5"/>
    <n v="86"/>
    <n v="387.3"/>
    <s v="Flop"/>
    <s v="Blockbuster"/>
    <s v="Yes"/>
    <s v="Low"/>
    <n v="301.3"/>
    <n v="450.3488372093023"/>
  </r>
  <r>
    <s v="NFX-100685"/>
    <x v="684"/>
    <s v="Movie"/>
    <x v="5"/>
    <n v="2011"/>
    <s v="South Korea"/>
    <s v="2021-06-27"/>
    <n v="99"/>
    <s v="PG-13"/>
    <n v="5.6"/>
    <n v="512"/>
    <s v="German"/>
    <s v="James Cameron"/>
    <s v="Ranbir Kapoor"/>
    <m/>
    <n v="148"/>
    <n v="310.8"/>
    <s v="Flop"/>
    <s v="Blockbuster"/>
    <s v="No"/>
    <s v="High"/>
    <n v="162.80000000000001"/>
    <n v="210"/>
  </r>
  <r>
    <s v="NFX-100686"/>
    <x v="685"/>
    <s v="Movie"/>
    <x v="3"/>
    <n v="2004"/>
    <s v="Germany"/>
    <s v="2022-08-13"/>
    <n v="142"/>
    <s v="PG"/>
    <n v="8.1"/>
    <n v="546.5"/>
    <s v="German"/>
    <s v="Denis Villeneuve"/>
    <s v="Leonardo DiCaprio"/>
    <m/>
    <n v="7"/>
    <n v="42"/>
    <s v="Hit"/>
    <s v="Blockbuster"/>
    <s v="Yes"/>
    <s v="Low"/>
    <n v="35"/>
    <n v="600"/>
  </r>
  <r>
    <s v="NFX-100687"/>
    <x v="686"/>
    <s v="Movie"/>
    <x v="5"/>
    <n v="2007"/>
    <s v="UK"/>
    <s v="2018-08-04"/>
    <n v="100"/>
    <s v="PG-13"/>
    <n v="8.9"/>
    <n v="8.6"/>
    <s v="Spanish"/>
    <s v="Zoya Akhtar"/>
    <s v="Jennifer Lawrence"/>
    <m/>
    <n v="183"/>
    <n v="722.6"/>
    <s v="Hit"/>
    <s v="Normal"/>
    <s v="No"/>
    <s v="High"/>
    <n v="539.6"/>
    <n v="394.8633879781421"/>
  </r>
  <r>
    <s v="NFX-100688"/>
    <x v="687"/>
    <s v="Movie"/>
    <x v="3"/>
    <n v="2018"/>
    <s v="USA"/>
    <s v="2021-01-22"/>
    <n v="82"/>
    <s v="16+"/>
    <n v="5.2"/>
    <n v="206.4"/>
    <s v="French"/>
    <s v="Rajkumar Hirani"/>
    <s v="Tom Hardy"/>
    <m/>
    <n v="22"/>
    <n v="55.7"/>
    <s v="Flop"/>
    <s v="Popular"/>
    <s v="No"/>
    <s v="Low"/>
    <n v="33.700000000000003"/>
    <n v="253.18181818181819"/>
  </r>
  <r>
    <s v="NFX-100689"/>
    <x v="688"/>
    <s v="TV Show"/>
    <x v="1"/>
    <n v="2004"/>
    <s v="USA"/>
    <s v="2024-04-30"/>
    <n v="36"/>
    <s v="PG-13"/>
    <n v="6.1"/>
    <n v="242.1"/>
    <s v="French"/>
    <s v="Anurag Kashyap"/>
    <s v="Shah Rukh Khan"/>
    <n v="7"/>
    <n v="168"/>
    <n v="223"/>
    <s v="Average"/>
    <s v="Popular"/>
    <s v="No"/>
    <s v="High"/>
    <n v="55"/>
    <n v="132.73809523809524"/>
  </r>
  <r>
    <s v="NFX-100690"/>
    <x v="689"/>
    <s v="Movie"/>
    <x v="10"/>
    <n v="2024"/>
    <s v="France"/>
    <s v="2018-07-28"/>
    <n v="114"/>
    <s v="18+"/>
    <n v="6.4"/>
    <n v="445.1"/>
    <s v="Japanese"/>
    <s v="Ridley Scott"/>
    <s v="Scarlett Johansson"/>
    <m/>
    <n v="8"/>
    <n v="35.1"/>
    <s v="Average"/>
    <s v="Blockbuster"/>
    <s v="No"/>
    <s v="Low"/>
    <n v="27.1"/>
    <n v="438.75"/>
  </r>
  <r>
    <s v="NFX-100691"/>
    <x v="690"/>
    <s v="Movie"/>
    <x v="3"/>
    <n v="2010"/>
    <s v="Germany"/>
    <s v="2024-06-03"/>
    <n v="121"/>
    <s v="PG"/>
    <n v="7.8"/>
    <n v="267.60000000000002"/>
    <s v="German"/>
    <s v="Zoya Akhtar"/>
    <s v="Chris Evans"/>
    <m/>
    <n v="140"/>
    <n v="319.7"/>
    <s v="Average"/>
    <s v="Popular"/>
    <s v="Yes"/>
    <s v="High"/>
    <n v="179.7"/>
    <n v="228.35714285714283"/>
  </r>
  <r>
    <s v="NFX-100692"/>
    <x v="691"/>
    <s v="Movie"/>
    <x v="5"/>
    <n v="2018"/>
    <s v="India"/>
    <s v="2019-09-29"/>
    <n v="157"/>
    <s v="PG-13"/>
    <n v="9.3000000000000007"/>
    <n v="371.6"/>
    <s v="Korean"/>
    <s v="Anurag Kashyap"/>
    <s v="Leonardo DiCaprio"/>
    <m/>
    <n v="105"/>
    <n v="442.2"/>
    <s v="Hit"/>
    <s v="Popular"/>
    <s v="No"/>
    <s v="High"/>
    <n v="337.2"/>
    <n v="421.14285714285717"/>
  </r>
  <r>
    <s v="NFX-100693"/>
    <x v="692"/>
    <s v="Movie"/>
    <x v="7"/>
    <n v="2014"/>
    <s v="Germany"/>
    <s v="2023-01-29"/>
    <n v="111"/>
    <s v="18+"/>
    <n v="8.1999999999999993"/>
    <n v="504.9"/>
    <s v="Spanish"/>
    <s v="Anurag Kashyap"/>
    <s v="Shah Rukh Khan"/>
    <m/>
    <n v="130"/>
    <n v="493.1"/>
    <s v="Hit"/>
    <s v="Blockbuster"/>
    <s v="No"/>
    <s v="High"/>
    <n v="363.1"/>
    <n v="379.30769230769232"/>
  </r>
  <r>
    <s v="NFX-100694"/>
    <x v="693"/>
    <s v="Movie"/>
    <x v="2"/>
    <n v="2004"/>
    <s v="USA"/>
    <s v="2019-01-13"/>
    <n v="147"/>
    <s v="PG"/>
    <n v="7.8"/>
    <n v="178.2"/>
    <s v="Hindi"/>
    <s v="Bong Joon-ho"/>
    <s v="Chris Evans"/>
    <m/>
    <n v="188"/>
    <n v="536"/>
    <s v="Average"/>
    <s v="Normal"/>
    <s v="Yes"/>
    <s v="High"/>
    <n v="348"/>
    <n v="285.10638297872339"/>
  </r>
  <r>
    <s v="NFX-100695"/>
    <x v="694"/>
    <s v="TV Show"/>
    <x v="1"/>
    <n v="2002"/>
    <s v="Spain"/>
    <s v="2022-04-09"/>
    <n v="33"/>
    <s v="16+"/>
    <n v="8.9"/>
    <n v="131.6"/>
    <s v="French"/>
    <s v="Martin Scorsese"/>
    <s v="Leonardo DiCaprio"/>
    <n v="3"/>
    <n v="75"/>
    <n v="192.6"/>
    <s v="Hit"/>
    <s v="Normal"/>
    <s v="No"/>
    <s v="Low"/>
    <n v="117.6"/>
    <n v="256.8"/>
  </r>
  <r>
    <s v="NFX-100696"/>
    <x v="695"/>
    <s v="TV Show"/>
    <x v="4"/>
    <n v="2005"/>
    <s v="Australia"/>
    <s v="2020-12-06"/>
    <n v="30"/>
    <s v="PG"/>
    <n v="5.0999999999999996"/>
    <n v="289.39999999999998"/>
    <s v="English"/>
    <s v="Bong Joon-ho"/>
    <s v="Robert Downey Jr."/>
    <n v="6"/>
    <n v="67"/>
    <n v="374.5"/>
    <s v="Flop"/>
    <s v="Popular"/>
    <s v="Yes"/>
    <s v="Low"/>
    <n v="307.5"/>
    <n v="558.95522388059703"/>
  </r>
  <r>
    <s v="NFX-100697"/>
    <x v="696"/>
    <s v="TV Show"/>
    <x v="8"/>
    <n v="2024"/>
    <s v="France"/>
    <s v="2019-01-09"/>
    <n v="41"/>
    <s v="G"/>
    <n v="5.9"/>
    <n v="108.8"/>
    <s v="Spanish"/>
    <s v="Guillermo del Toro"/>
    <s v="Leonardo DiCaprio"/>
    <n v="2"/>
    <n v="80"/>
    <n v="363.9"/>
    <s v="Flop"/>
    <s v="Normal"/>
    <s v="Yes"/>
    <s v="Low"/>
    <n v="283.89999999999998"/>
    <n v="454.875"/>
  </r>
  <r>
    <s v="NFX-100698"/>
    <x v="697"/>
    <s v="TV Show"/>
    <x v="7"/>
    <n v="2018"/>
    <s v="India"/>
    <s v="2020-08-23"/>
    <n v="53"/>
    <s v="16+"/>
    <n v="9.4"/>
    <n v="338.4"/>
    <s v="English"/>
    <s v="Rajkumar Hirani"/>
    <s v="Jennifer Lawrence"/>
    <n v="5"/>
    <n v="109"/>
    <n v="232.6"/>
    <s v="Hit"/>
    <s v="Popular"/>
    <s v="No"/>
    <s v="High"/>
    <n v="123.6"/>
    <n v="213.39449541284404"/>
  </r>
  <r>
    <s v="NFX-100699"/>
    <x v="698"/>
    <s v="Movie"/>
    <x v="10"/>
    <n v="2021"/>
    <s v="India"/>
    <s v="2022-12-31"/>
    <n v="86"/>
    <s v="G"/>
    <n v="9.1"/>
    <n v="247.1"/>
    <s v="Japanese"/>
    <s v="Quentin Tarantino"/>
    <s v="Brad Pitt"/>
    <m/>
    <n v="132"/>
    <n v="462.1"/>
    <s v="Hit"/>
    <s v="Popular"/>
    <s v="Yes"/>
    <s v="High"/>
    <n v="330.1"/>
    <n v="350.07575757575762"/>
  </r>
  <r>
    <s v="NFX-100700"/>
    <x v="699"/>
    <s v="Movie"/>
    <x v="6"/>
    <n v="2014"/>
    <s v="Germany"/>
    <s v="2019-09-07"/>
    <n v="128"/>
    <s v="18+"/>
    <n v="8.6999999999999993"/>
    <n v="199.8"/>
    <s v="German"/>
    <s v="Denis Villeneuve"/>
    <s v="Scarlett Johansson"/>
    <m/>
    <n v="121"/>
    <n v="194.5"/>
    <s v="Hit"/>
    <s v="Normal"/>
    <s v="No"/>
    <s v="High"/>
    <n v="73.5"/>
    <n v="160.74380165289256"/>
  </r>
  <r>
    <s v="NFX-100701"/>
    <x v="700"/>
    <s v="Movie"/>
    <x v="4"/>
    <n v="2013"/>
    <s v="France"/>
    <s v="2018-03-03"/>
    <n v="95"/>
    <s v="16+"/>
    <n v="8.9"/>
    <n v="410.2"/>
    <s v="Japanese"/>
    <s v="Bong Joon-ho"/>
    <s v="Chris Evans"/>
    <m/>
    <n v="199"/>
    <n v="246.7"/>
    <s v="Hit"/>
    <s v="Blockbuster"/>
    <s v="No"/>
    <s v="High"/>
    <n v="47.699999999999989"/>
    <n v="123.96984924623115"/>
  </r>
  <r>
    <s v="NFX-100702"/>
    <x v="701"/>
    <s v="Movie"/>
    <x v="0"/>
    <n v="2005"/>
    <s v="Spain"/>
    <s v="2023-06-29"/>
    <n v="84"/>
    <s v="18+"/>
    <n v="5.7"/>
    <n v="54.4"/>
    <s v="German"/>
    <s v="James Cameron"/>
    <s v="Brad Pitt"/>
    <m/>
    <n v="99"/>
    <n v="598.79999999999995"/>
    <s v="Flop"/>
    <s v="Normal"/>
    <s v="No"/>
    <s v="Low"/>
    <n v="499.79999999999995"/>
    <n v="604.84848484848476"/>
  </r>
  <r>
    <s v="NFX-100703"/>
    <x v="702"/>
    <s v="Movie"/>
    <x v="4"/>
    <n v="2004"/>
    <s v="India"/>
    <s v="2023-10-04"/>
    <n v="172"/>
    <s v="PG"/>
    <n v="8"/>
    <n v="513"/>
    <s v="Hindi"/>
    <s v="Christopher Nolan"/>
    <s v="Leonardo DiCaprio"/>
    <m/>
    <n v="163"/>
    <n v="891.2"/>
    <s v="Hit"/>
    <s v="Blockbuster"/>
    <s v="Yes"/>
    <s v="High"/>
    <n v="728.2"/>
    <n v="546.74846625766872"/>
  </r>
  <r>
    <s v="NFX-100704"/>
    <x v="703"/>
    <s v="TV Show"/>
    <x v="9"/>
    <n v="2020"/>
    <s v="UK"/>
    <s v="2018-10-03"/>
    <n v="50"/>
    <s v="G"/>
    <n v="8.6"/>
    <n v="470.6"/>
    <s v="German"/>
    <s v="Greta Gerwig"/>
    <s v="Timothée Chalamet"/>
    <n v="1"/>
    <n v="9"/>
    <n v="33.5"/>
    <s v="Hit"/>
    <s v="Blockbuster"/>
    <s v="Yes"/>
    <s v="Low"/>
    <n v="24.5"/>
    <n v="372.22222222222223"/>
  </r>
  <r>
    <s v="NFX-100705"/>
    <x v="704"/>
    <s v="TV Show"/>
    <x v="0"/>
    <n v="2013"/>
    <s v="Canada"/>
    <s v="2021-01-01"/>
    <n v="49"/>
    <s v="16+"/>
    <n v="7.8"/>
    <n v="586"/>
    <s v="Korean"/>
    <s v="Park Chan-wook"/>
    <s v="Jennifer Lawrence"/>
    <n v="1"/>
    <n v="42"/>
    <n v="182.3"/>
    <s v="Average"/>
    <s v="Blockbuster"/>
    <s v="No"/>
    <s v="Low"/>
    <n v="140.30000000000001"/>
    <n v="434.04761904761909"/>
  </r>
  <r>
    <s v="NFX-100706"/>
    <x v="705"/>
    <s v="Movie"/>
    <x v="3"/>
    <n v="2019"/>
    <s v="Germany"/>
    <s v="2021-04-30"/>
    <n v="148"/>
    <s v="16+"/>
    <n v="7.9"/>
    <n v="597.4"/>
    <s v="Japanese"/>
    <s v="Guillermo del Toro"/>
    <s v="Emma Stone"/>
    <m/>
    <n v="191"/>
    <n v="986.7"/>
    <s v="Average"/>
    <s v="Blockbuster"/>
    <s v="No"/>
    <s v="High"/>
    <n v="795.7"/>
    <n v="516.59685863874347"/>
  </r>
  <r>
    <s v="NFX-100707"/>
    <x v="706"/>
    <s v="Movie"/>
    <x v="6"/>
    <n v="2014"/>
    <s v="Spain"/>
    <s v="2023-09-01"/>
    <n v="174"/>
    <s v="18+"/>
    <n v="6"/>
    <n v="486.9"/>
    <s v="German"/>
    <s v="Steven Spielberg"/>
    <s v="Shah Rukh Khan"/>
    <m/>
    <n v="199"/>
    <n v="481.9"/>
    <s v="Average"/>
    <s v="Blockbuster"/>
    <s v="No"/>
    <s v="High"/>
    <n v="282.89999999999998"/>
    <n v="242.16080402010047"/>
  </r>
  <r>
    <s v="NFX-100708"/>
    <x v="707"/>
    <s v="TV Show"/>
    <x v="2"/>
    <n v="2021"/>
    <s v="India"/>
    <s v="2023-11-30"/>
    <n v="42"/>
    <s v="G"/>
    <n v="9.1999999999999993"/>
    <n v="93.4"/>
    <s v="Spanish"/>
    <s v="Quentin Tarantino"/>
    <s v="Tom Hardy"/>
    <n v="6"/>
    <n v="35"/>
    <n v="176.5"/>
    <s v="Hit"/>
    <s v="Normal"/>
    <s v="Yes"/>
    <s v="Low"/>
    <n v="141.5"/>
    <n v="504.28571428571428"/>
  </r>
  <r>
    <s v="NFX-100709"/>
    <x v="708"/>
    <s v="Movie"/>
    <x v="5"/>
    <n v="2009"/>
    <s v="Canada"/>
    <s v="2022-07-12"/>
    <n v="100"/>
    <s v="18+"/>
    <n v="7"/>
    <n v="81.099999999999994"/>
    <s v="German"/>
    <s v="Bong Joon-ho"/>
    <s v="Timothée Chalamet"/>
    <m/>
    <n v="70"/>
    <n v="332.5"/>
    <s v="Average"/>
    <s v="Normal"/>
    <s v="No"/>
    <s v="Low"/>
    <n v="262.5"/>
    <n v="475"/>
  </r>
  <r>
    <s v="NFX-100710"/>
    <x v="709"/>
    <s v="TV Show"/>
    <x v="0"/>
    <n v="2013"/>
    <s v="USA"/>
    <s v="2024-06-19"/>
    <n v="51"/>
    <s v="G"/>
    <n v="7.5"/>
    <n v="351.8"/>
    <s v="Hindi"/>
    <s v="Denis Villeneuve"/>
    <s v="Robert Downey Jr."/>
    <n v="1"/>
    <n v="104"/>
    <n v="208.5"/>
    <s v="Average"/>
    <s v="Popular"/>
    <s v="Yes"/>
    <s v="High"/>
    <n v="104.5"/>
    <n v="200.48076923076925"/>
  </r>
  <r>
    <s v="NFX-100711"/>
    <x v="710"/>
    <s v="Movie"/>
    <x v="1"/>
    <n v="2014"/>
    <s v="Australia"/>
    <s v="2020-11-23"/>
    <n v="147"/>
    <s v="PG-13"/>
    <n v="8.5"/>
    <n v="461.7"/>
    <s v="Spanish"/>
    <s v="Bong Joon-ho"/>
    <s v="Jennifer Lawrence"/>
    <m/>
    <n v="36"/>
    <n v="88.2"/>
    <s v="Hit"/>
    <s v="Blockbuster"/>
    <s v="No"/>
    <s v="Low"/>
    <n v="52.2"/>
    <n v="245.00000000000003"/>
  </r>
  <r>
    <s v="NFX-100712"/>
    <x v="711"/>
    <s v="Movie"/>
    <x v="2"/>
    <n v="2014"/>
    <s v="Spain"/>
    <s v="2020-08-04"/>
    <n v="161"/>
    <s v="16+"/>
    <n v="8.1999999999999993"/>
    <n v="473.4"/>
    <s v="Spanish"/>
    <s v="Denis Villeneuve"/>
    <s v="Deepika Padukone"/>
    <m/>
    <n v="76"/>
    <n v="378.3"/>
    <s v="Hit"/>
    <s v="Blockbuster"/>
    <s v="No"/>
    <s v="Low"/>
    <n v="302.3"/>
    <n v="497.76315789473688"/>
  </r>
  <r>
    <s v="NFX-100713"/>
    <x v="712"/>
    <s v="TV Show"/>
    <x v="6"/>
    <n v="2006"/>
    <s v="Australia"/>
    <s v="2019-01-06"/>
    <n v="31"/>
    <s v="PG-13"/>
    <n v="6.3"/>
    <n v="570.6"/>
    <s v="French"/>
    <s v="James Cameron"/>
    <s v="Song Kang-ho"/>
    <n v="6"/>
    <n v="12"/>
    <n v="76.7"/>
    <s v="Average"/>
    <s v="Blockbuster"/>
    <s v="No"/>
    <s v="Low"/>
    <n v="64.7"/>
    <n v="639.16666666666663"/>
  </r>
  <r>
    <s v="NFX-100714"/>
    <x v="713"/>
    <s v="TV Show"/>
    <x v="5"/>
    <n v="2023"/>
    <s v="USA"/>
    <s v="2020-06-15"/>
    <n v="42"/>
    <s v="18+"/>
    <n v="6.6"/>
    <n v="191.5"/>
    <s v="English"/>
    <s v="Bong Joon-ho"/>
    <s v="Robert Downey Jr."/>
    <n v="7"/>
    <n v="94"/>
    <n v="381.7"/>
    <s v="Average"/>
    <s v="Normal"/>
    <s v="No"/>
    <s v="Low"/>
    <n v="287.7"/>
    <n v="406.063829787234"/>
  </r>
  <r>
    <s v="NFX-100715"/>
    <x v="714"/>
    <s v="Movie"/>
    <x v="6"/>
    <n v="2001"/>
    <s v="India"/>
    <s v="2023-08-02"/>
    <n v="93"/>
    <s v="18+"/>
    <n v="7.6"/>
    <n v="572.6"/>
    <s v="English"/>
    <s v="Sanjay Leela Bhansali"/>
    <s v="Leonardo DiCaprio"/>
    <m/>
    <n v="89"/>
    <n v="485"/>
    <s v="Average"/>
    <s v="Blockbuster"/>
    <s v="No"/>
    <s v="Low"/>
    <n v="396"/>
    <n v="544.94382022471916"/>
  </r>
  <r>
    <s v="NFX-100716"/>
    <x v="715"/>
    <s v="Movie"/>
    <x v="9"/>
    <n v="2024"/>
    <s v="Canada"/>
    <s v="2024-07-29"/>
    <n v="112"/>
    <s v="G"/>
    <n v="9.6"/>
    <n v="219.1"/>
    <s v="French"/>
    <s v="Christopher Nolan"/>
    <s v="Tom Hardy"/>
    <m/>
    <n v="65"/>
    <n v="123.4"/>
    <s v="Hit"/>
    <s v="Popular"/>
    <s v="Yes"/>
    <s v="Low"/>
    <n v="58.400000000000006"/>
    <n v="189.84615384615387"/>
  </r>
  <r>
    <s v="NFX-100717"/>
    <x v="716"/>
    <s v="Movie"/>
    <x v="0"/>
    <n v="2015"/>
    <s v="Canada"/>
    <s v="2021-07-12"/>
    <n v="87"/>
    <s v="PG"/>
    <n v="8"/>
    <n v="112.8"/>
    <s v="Spanish"/>
    <s v="Quentin Tarantino"/>
    <s v="Lee Jung-jae"/>
    <m/>
    <n v="149"/>
    <n v="201.6"/>
    <s v="Hit"/>
    <s v="Normal"/>
    <s v="Yes"/>
    <s v="High"/>
    <n v="52.599999999999994"/>
    <n v="135.30201342281879"/>
  </r>
  <r>
    <s v="NFX-100718"/>
    <x v="717"/>
    <s v="TV Show"/>
    <x v="2"/>
    <n v="2007"/>
    <s v="Japan"/>
    <s v="2019-01-02"/>
    <n v="42"/>
    <s v="PG"/>
    <n v="5.9"/>
    <n v="274.89999999999998"/>
    <s v="French"/>
    <s v="Anurag Kashyap"/>
    <s v="Jennifer Lawrence"/>
    <n v="2"/>
    <n v="177"/>
    <n v="523.6"/>
    <s v="Flop"/>
    <s v="Popular"/>
    <s v="Yes"/>
    <s v="High"/>
    <n v="346.6"/>
    <n v="295.81920903954801"/>
  </r>
  <r>
    <s v="NFX-100719"/>
    <x v="718"/>
    <s v="Movie"/>
    <x v="4"/>
    <n v="2004"/>
    <s v="USA"/>
    <s v="2018-05-29"/>
    <n v="133"/>
    <s v="PG-13"/>
    <n v="8.1999999999999993"/>
    <n v="92.2"/>
    <s v="French"/>
    <s v="Sanjay Leela Bhansali"/>
    <s v="Robert Downey Jr."/>
    <m/>
    <n v="23"/>
    <n v="91.9"/>
    <s v="Hit"/>
    <s v="Normal"/>
    <s v="No"/>
    <s v="Low"/>
    <n v="68.900000000000006"/>
    <n v="399.56521739130437"/>
  </r>
  <r>
    <s v="NFX-100720"/>
    <x v="719"/>
    <s v="Movie"/>
    <x v="3"/>
    <n v="2011"/>
    <s v="UK"/>
    <s v="2020-12-22"/>
    <n v="167"/>
    <s v="PG-13"/>
    <n v="5.3"/>
    <n v="102"/>
    <s v="French"/>
    <s v="James Cameron"/>
    <s v="Song Kang-ho"/>
    <m/>
    <n v="115"/>
    <n v="437.4"/>
    <s v="Flop"/>
    <s v="Normal"/>
    <s v="No"/>
    <s v="High"/>
    <n v="322.39999999999998"/>
    <n v="380.3478260869565"/>
  </r>
  <r>
    <s v="NFX-100721"/>
    <x v="720"/>
    <s v="Movie"/>
    <x v="3"/>
    <n v="2010"/>
    <s v="USA"/>
    <s v="2021-06-29"/>
    <n v="103"/>
    <s v="16+"/>
    <n v="8.6"/>
    <n v="23.9"/>
    <s v="Korean"/>
    <s v="Sanjay Leela Bhansali"/>
    <s v="Timothée Chalamet"/>
    <m/>
    <n v="31"/>
    <n v="131"/>
    <s v="Hit"/>
    <s v="Normal"/>
    <s v="No"/>
    <s v="Low"/>
    <n v="100"/>
    <n v="422.58064516129031"/>
  </r>
  <r>
    <s v="NFX-100722"/>
    <x v="721"/>
    <s v="TV Show"/>
    <x v="10"/>
    <n v="2006"/>
    <s v="Germany"/>
    <s v="2021-04-20"/>
    <n v="47"/>
    <s v="PG-13"/>
    <n v="8.1"/>
    <n v="206.4"/>
    <s v="Korean"/>
    <s v="Park Chan-wook"/>
    <s v="Chris Evans"/>
    <n v="5"/>
    <n v="93"/>
    <n v="502.7"/>
    <s v="Hit"/>
    <s v="Popular"/>
    <s v="No"/>
    <s v="Low"/>
    <n v="409.7"/>
    <n v="540.53763440860212"/>
  </r>
  <r>
    <s v="NFX-100723"/>
    <x v="722"/>
    <s v="Movie"/>
    <x v="3"/>
    <n v="2007"/>
    <s v="France"/>
    <s v="2018-06-14"/>
    <n v="159"/>
    <s v="PG"/>
    <n v="8.6"/>
    <n v="83.6"/>
    <s v="Japanese"/>
    <s v="Guillermo del Toro"/>
    <s v="Emma Stone"/>
    <m/>
    <n v="45"/>
    <n v="275.3"/>
    <s v="Hit"/>
    <s v="Normal"/>
    <s v="Yes"/>
    <s v="Low"/>
    <n v="230.3"/>
    <n v="611.77777777777783"/>
  </r>
  <r>
    <s v="NFX-100724"/>
    <x v="723"/>
    <s v="Movie"/>
    <x v="8"/>
    <n v="2020"/>
    <s v="India"/>
    <s v="2020-06-17"/>
    <n v="115"/>
    <s v="PG-13"/>
    <n v="5.6"/>
    <n v="161.30000000000001"/>
    <s v="Japanese"/>
    <s v="Zoya Akhtar"/>
    <s v="Tom Hardy"/>
    <m/>
    <n v="49"/>
    <n v="229.2"/>
    <s v="Flop"/>
    <s v="Normal"/>
    <s v="No"/>
    <s v="Low"/>
    <n v="180.2"/>
    <n v="467.75510204081633"/>
  </r>
  <r>
    <s v="NFX-100725"/>
    <x v="724"/>
    <s v="TV Show"/>
    <x v="0"/>
    <n v="2001"/>
    <s v="Japan"/>
    <s v="2018-09-04"/>
    <n v="41"/>
    <s v="PG"/>
    <n v="5.4"/>
    <n v="280.60000000000002"/>
    <s v="Japanese"/>
    <s v="Martin Scorsese"/>
    <s v="Song Kang-ho"/>
    <n v="4"/>
    <n v="184"/>
    <n v="1111.8"/>
    <s v="Flop"/>
    <s v="Popular"/>
    <s v="Yes"/>
    <s v="High"/>
    <n v="927.8"/>
    <n v="604.23913043478251"/>
  </r>
  <r>
    <s v="NFX-100726"/>
    <x v="725"/>
    <s v="TV Show"/>
    <x v="0"/>
    <n v="2012"/>
    <s v="Australia"/>
    <s v="2019-05-25"/>
    <n v="36"/>
    <s v="PG-13"/>
    <n v="4.5"/>
    <n v="357.2"/>
    <s v="Korean"/>
    <s v="Zoya Akhtar"/>
    <s v="Lee Jung-jae"/>
    <n v="4"/>
    <n v="121"/>
    <n v="164.2"/>
    <s v="Flop"/>
    <s v="Popular"/>
    <s v="No"/>
    <s v="High"/>
    <n v="43.199999999999989"/>
    <n v="135.70247933884298"/>
  </r>
  <r>
    <s v="NFX-100727"/>
    <x v="726"/>
    <s v="Movie"/>
    <x v="6"/>
    <n v="2025"/>
    <s v="USA"/>
    <s v="2023-03-01"/>
    <n v="90"/>
    <s v="16+"/>
    <n v="8.6999999999999993"/>
    <n v="221.6"/>
    <s v="English"/>
    <s v="Sanjay Leela Bhansali"/>
    <s v="Deepika Padukone"/>
    <m/>
    <n v="73"/>
    <n v="453.5"/>
    <s v="Hit"/>
    <s v="Popular"/>
    <s v="No"/>
    <s v="Low"/>
    <n v="380.5"/>
    <n v="621.23287671232879"/>
  </r>
  <r>
    <s v="NFX-100728"/>
    <x v="727"/>
    <s v="Movie"/>
    <x v="1"/>
    <n v="2009"/>
    <s v="UK"/>
    <s v="2023-11-27"/>
    <n v="149"/>
    <s v="PG"/>
    <n v="6"/>
    <n v="115.8"/>
    <s v="Spanish"/>
    <s v="Steven Spielberg"/>
    <s v="Jennifer Lawrence"/>
    <m/>
    <n v="90"/>
    <n v="133.19999999999999"/>
    <s v="Average"/>
    <s v="Normal"/>
    <s v="Yes"/>
    <s v="Low"/>
    <n v="43.199999999999989"/>
    <n v="148"/>
  </r>
  <r>
    <s v="NFX-100729"/>
    <x v="728"/>
    <s v="Movie"/>
    <x v="7"/>
    <n v="2014"/>
    <s v="USA"/>
    <s v="2022-06-14"/>
    <n v="96"/>
    <s v="PG"/>
    <n v="5.6"/>
    <n v="99.6"/>
    <s v="German"/>
    <s v="Guillermo del Toro"/>
    <s v="Shah Rukh Khan"/>
    <m/>
    <n v="71"/>
    <n v="284.3"/>
    <s v="Flop"/>
    <s v="Normal"/>
    <s v="Yes"/>
    <s v="Low"/>
    <n v="213.3"/>
    <n v="400.42253521126759"/>
  </r>
  <r>
    <s v="NFX-100730"/>
    <x v="729"/>
    <s v="TV Show"/>
    <x v="8"/>
    <n v="2023"/>
    <s v="Canada"/>
    <s v="2021-09-19"/>
    <n v="37"/>
    <s v="PG"/>
    <n v="6.9"/>
    <n v="153"/>
    <s v="Spanish"/>
    <s v="Park Chan-wook"/>
    <s v="Chris Evans"/>
    <n v="4"/>
    <n v="57"/>
    <n v="366.3"/>
    <s v="Average"/>
    <s v="Normal"/>
    <s v="Yes"/>
    <s v="Low"/>
    <n v="309.3"/>
    <n v="642.63157894736844"/>
  </r>
  <r>
    <s v="NFX-100731"/>
    <x v="730"/>
    <s v="Movie"/>
    <x v="2"/>
    <n v="2019"/>
    <s v="USA"/>
    <s v="2023-11-07"/>
    <n v="155"/>
    <s v="18+"/>
    <n v="9.6"/>
    <n v="329.5"/>
    <s v="German"/>
    <s v="Steven Spielberg"/>
    <s v="Deepika Padukone"/>
    <m/>
    <n v="128"/>
    <n v="744.3"/>
    <s v="Hit"/>
    <s v="Popular"/>
    <s v="No"/>
    <s v="High"/>
    <n v="616.29999999999995"/>
    <n v="581.484375"/>
  </r>
  <r>
    <s v="NFX-100732"/>
    <x v="731"/>
    <s v="TV Show"/>
    <x v="5"/>
    <n v="2004"/>
    <s v="France"/>
    <s v="2018-09-20"/>
    <n v="45"/>
    <s v="PG"/>
    <n v="9.1999999999999993"/>
    <n v="32.5"/>
    <s v="German"/>
    <s v="Steven Spielberg"/>
    <s v="Song Kang-ho"/>
    <n v="2"/>
    <n v="151"/>
    <n v="695.5"/>
    <s v="Hit"/>
    <s v="Normal"/>
    <s v="Yes"/>
    <s v="High"/>
    <n v="544.5"/>
    <n v="460.59602649006621"/>
  </r>
  <r>
    <s v="NFX-100733"/>
    <x v="732"/>
    <s v="TV Show"/>
    <x v="4"/>
    <n v="2022"/>
    <s v="South Korea"/>
    <s v="2018-05-23"/>
    <n v="60"/>
    <s v="18+"/>
    <n v="6.2"/>
    <n v="387.3"/>
    <s v="Japanese"/>
    <s v="Martin Scorsese"/>
    <s v="Ranbir Kapoor"/>
    <n v="3"/>
    <n v="72"/>
    <n v="193.5"/>
    <s v="Average"/>
    <s v="Popular"/>
    <s v="No"/>
    <s v="Low"/>
    <n v="121.5"/>
    <n v="268.75"/>
  </r>
  <r>
    <s v="NFX-100734"/>
    <x v="733"/>
    <s v="Movie"/>
    <x v="10"/>
    <n v="2014"/>
    <s v="Japan"/>
    <s v="2018-02-01"/>
    <n v="104"/>
    <s v="PG"/>
    <n v="7.4"/>
    <n v="511.4"/>
    <s v="English"/>
    <s v="James Cameron"/>
    <s v="Brad Pitt"/>
    <m/>
    <n v="9"/>
    <n v="15.2"/>
    <s v="Average"/>
    <s v="Blockbuster"/>
    <s v="Yes"/>
    <s v="Low"/>
    <n v="6.1999999999999993"/>
    <n v="168.88888888888889"/>
  </r>
  <r>
    <s v="NFX-100735"/>
    <x v="734"/>
    <s v="Movie"/>
    <x v="2"/>
    <n v="2025"/>
    <s v="Germany"/>
    <s v="2022-11-19"/>
    <n v="89"/>
    <s v="PG"/>
    <n v="9.3000000000000007"/>
    <n v="34.4"/>
    <s v="English"/>
    <s v="Steven Spielberg"/>
    <s v="Robert Downey Jr."/>
    <m/>
    <n v="120"/>
    <n v="628"/>
    <s v="Hit"/>
    <s v="Normal"/>
    <s v="Yes"/>
    <s v="High"/>
    <n v="508"/>
    <n v="523.33333333333337"/>
  </r>
  <r>
    <s v="NFX-100736"/>
    <x v="735"/>
    <s v="Movie"/>
    <x v="2"/>
    <n v="2000"/>
    <s v="Japan"/>
    <s v="2021-08-11"/>
    <n v="161"/>
    <s v="PG-13"/>
    <n v="7.6"/>
    <n v="489.3"/>
    <s v="Korean"/>
    <s v="Greta Gerwig"/>
    <s v="Jennifer Lawrence"/>
    <m/>
    <n v="86"/>
    <n v="413.1"/>
    <s v="Average"/>
    <s v="Blockbuster"/>
    <s v="No"/>
    <s v="Low"/>
    <n v="327.10000000000002"/>
    <n v="480.34883720930236"/>
  </r>
  <r>
    <s v="NFX-100737"/>
    <x v="736"/>
    <s v="Movie"/>
    <x v="1"/>
    <n v="2021"/>
    <s v="India"/>
    <s v="2022-05-21"/>
    <n v="117"/>
    <s v="PG"/>
    <n v="5.0999999999999996"/>
    <n v="40.5"/>
    <s v="German"/>
    <s v="Rajkumar Hirani"/>
    <s v="Tom Hardy"/>
    <m/>
    <n v="36"/>
    <n v="181.3"/>
    <s v="Flop"/>
    <s v="Normal"/>
    <s v="Yes"/>
    <s v="Low"/>
    <n v="145.30000000000001"/>
    <n v="503.61111111111114"/>
  </r>
  <r>
    <s v="NFX-100738"/>
    <x v="737"/>
    <s v="TV Show"/>
    <x v="1"/>
    <n v="2011"/>
    <s v="UK"/>
    <s v="2023-02-03"/>
    <n v="31"/>
    <s v="16+"/>
    <n v="6.6"/>
    <n v="292"/>
    <s v="Hindi"/>
    <s v="Anurag Kashyap"/>
    <s v="Robert Downey Jr."/>
    <n v="1"/>
    <n v="7"/>
    <n v="42.3"/>
    <s v="Average"/>
    <s v="Popular"/>
    <s v="No"/>
    <s v="Low"/>
    <n v="35.299999999999997"/>
    <n v="604.28571428571422"/>
  </r>
  <r>
    <s v="NFX-100739"/>
    <x v="738"/>
    <s v="Movie"/>
    <x v="2"/>
    <n v="2022"/>
    <s v="UK"/>
    <s v="2018-03-23"/>
    <n v="106"/>
    <s v="16+"/>
    <n v="4.9000000000000004"/>
    <n v="540.79999999999995"/>
    <s v="Japanese"/>
    <s v="Greta Gerwig"/>
    <s v="Tom Hardy"/>
    <m/>
    <n v="109"/>
    <n v="333.4"/>
    <s v="Flop"/>
    <s v="Blockbuster"/>
    <s v="No"/>
    <s v="High"/>
    <n v="224.39999999999998"/>
    <n v="305.87155963302752"/>
  </r>
  <r>
    <s v="NFX-100740"/>
    <x v="739"/>
    <s v="TV Show"/>
    <x v="9"/>
    <n v="2006"/>
    <s v="Japan"/>
    <s v="2018-07-22"/>
    <n v="31"/>
    <s v="16+"/>
    <n v="5.4"/>
    <n v="442.3"/>
    <s v="Japanese"/>
    <s v="Park Chan-wook"/>
    <s v="Chris Evans"/>
    <n v="7"/>
    <n v="50"/>
    <n v="252.2"/>
    <s v="Flop"/>
    <s v="Blockbuster"/>
    <s v="No"/>
    <s v="Low"/>
    <n v="202.2"/>
    <n v="504.4"/>
  </r>
  <r>
    <s v="NFX-100741"/>
    <x v="740"/>
    <s v="Movie"/>
    <x v="6"/>
    <n v="2018"/>
    <s v="Japan"/>
    <s v="2022-11-16"/>
    <n v="179"/>
    <s v="PG"/>
    <n v="5"/>
    <n v="166.8"/>
    <s v="French"/>
    <s v="Guillermo del Toro"/>
    <s v="Ranbir Kapoor"/>
    <m/>
    <n v="151"/>
    <n v="223.6"/>
    <s v="Flop"/>
    <s v="Normal"/>
    <s v="Yes"/>
    <s v="High"/>
    <n v="72.599999999999994"/>
    <n v="148.07947019867549"/>
  </r>
  <r>
    <s v="NFX-100742"/>
    <x v="741"/>
    <s v="TV Show"/>
    <x v="5"/>
    <n v="2009"/>
    <s v="Spain"/>
    <s v="2018-02-15"/>
    <n v="56"/>
    <s v="18+"/>
    <n v="5.3"/>
    <n v="272.8"/>
    <s v="German"/>
    <s v="Steven Spielberg"/>
    <s v="Leonardo DiCaprio"/>
    <n v="8"/>
    <n v="47"/>
    <n v="118.4"/>
    <s v="Flop"/>
    <s v="Popular"/>
    <s v="No"/>
    <s v="Low"/>
    <n v="71.400000000000006"/>
    <n v="251.91489361702128"/>
  </r>
  <r>
    <s v="NFX-100743"/>
    <x v="742"/>
    <s v="Movie"/>
    <x v="8"/>
    <n v="2003"/>
    <s v="Japan"/>
    <s v="2023-08-23"/>
    <n v="176"/>
    <s v="G"/>
    <n v="8.1999999999999993"/>
    <n v="3.8"/>
    <s v="Japanese"/>
    <s v="Guillermo del Toro"/>
    <s v="Brad Pitt"/>
    <m/>
    <n v="145"/>
    <n v="907.2"/>
    <s v="Hit"/>
    <s v="Normal"/>
    <s v="Yes"/>
    <s v="High"/>
    <n v="762.2"/>
    <n v="625.65517241379314"/>
  </r>
  <r>
    <s v="NFX-100744"/>
    <x v="743"/>
    <s v="Movie"/>
    <x v="5"/>
    <n v="2022"/>
    <s v="Canada"/>
    <s v="2022-03-21"/>
    <n v="86"/>
    <s v="G"/>
    <n v="8.3000000000000007"/>
    <n v="182.2"/>
    <s v="Japanese"/>
    <s v="Christopher Nolan"/>
    <s v="Timothée Chalamet"/>
    <m/>
    <n v="161"/>
    <n v="637.20000000000005"/>
    <s v="Hit"/>
    <s v="Normal"/>
    <s v="Yes"/>
    <s v="High"/>
    <n v="476.20000000000005"/>
    <n v="395.776397515528"/>
  </r>
  <r>
    <s v="NFX-100745"/>
    <x v="744"/>
    <s v="Movie"/>
    <x v="10"/>
    <n v="2002"/>
    <s v="USA"/>
    <s v="2019-06-09"/>
    <n v="87"/>
    <s v="G"/>
    <n v="9.3000000000000007"/>
    <n v="526.4"/>
    <s v="Korean"/>
    <s v="Ridley Scott"/>
    <s v="Shah Rukh Khan"/>
    <m/>
    <n v="133"/>
    <n v="441.7"/>
    <s v="Hit"/>
    <s v="Blockbuster"/>
    <s v="Yes"/>
    <s v="High"/>
    <n v="308.7"/>
    <n v="332.10526315789474"/>
  </r>
  <r>
    <s v="NFX-100746"/>
    <x v="745"/>
    <s v="TV Show"/>
    <x v="1"/>
    <n v="2007"/>
    <s v="Canada"/>
    <s v="2020-10-07"/>
    <n v="45"/>
    <s v="PG"/>
    <n v="7.1"/>
    <n v="245.4"/>
    <s v="Japanese"/>
    <s v="Steven Spielberg"/>
    <s v="Robert Downey Jr."/>
    <n v="2"/>
    <n v="191"/>
    <n v="814.1"/>
    <s v="Average"/>
    <s v="Popular"/>
    <s v="Yes"/>
    <s v="High"/>
    <n v="623.1"/>
    <n v="426.23036649214663"/>
  </r>
  <r>
    <s v="NFX-100747"/>
    <x v="746"/>
    <s v="TV Show"/>
    <x v="9"/>
    <n v="2025"/>
    <s v="UK"/>
    <s v="2019-04-15"/>
    <n v="31"/>
    <s v="16+"/>
    <n v="6.3"/>
    <n v="335.4"/>
    <s v="Hindi"/>
    <s v="Zoya Akhtar"/>
    <s v="Scarlett Johansson"/>
    <n v="3"/>
    <n v="154"/>
    <n v="188.4"/>
    <s v="Average"/>
    <s v="Popular"/>
    <s v="No"/>
    <s v="High"/>
    <n v="34.400000000000006"/>
    <n v="122.33766233766235"/>
  </r>
  <r>
    <s v="NFX-100748"/>
    <x v="747"/>
    <s v="TV Show"/>
    <x v="6"/>
    <n v="2002"/>
    <s v="UK"/>
    <s v="2022-07-05"/>
    <n v="51"/>
    <s v="PG"/>
    <n v="6.9"/>
    <n v="102.4"/>
    <s v="Japanese"/>
    <s v="Ridley Scott"/>
    <s v="Ryan Gosling"/>
    <n v="1"/>
    <n v="18"/>
    <n v="24"/>
    <s v="Average"/>
    <s v="Normal"/>
    <s v="Yes"/>
    <s v="Low"/>
    <n v="6"/>
    <n v="133.33333333333331"/>
  </r>
  <r>
    <s v="NFX-100749"/>
    <x v="748"/>
    <s v="Movie"/>
    <x v="6"/>
    <n v="2015"/>
    <s v="India"/>
    <s v="2023-07-03"/>
    <n v="96"/>
    <s v="18+"/>
    <n v="6.3"/>
    <n v="16.3"/>
    <s v="French"/>
    <s v="Rajkumar Hirani"/>
    <s v="Ranbir Kapoor"/>
    <m/>
    <n v="120"/>
    <n v="687.2"/>
    <s v="Average"/>
    <s v="Normal"/>
    <s v="No"/>
    <s v="High"/>
    <n v="567.20000000000005"/>
    <n v="572.66666666666674"/>
  </r>
  <r>
    <s v="NFX-100750"/>
    <x v="749"/>
    <s v="TV Show"/>
    <x v="2"/>
    <n v="2009"/>
    <s v="Australia"/>
    <s v="2019-01-21"/>
    <n v="33"/>
    <s v="16+"/>
    <n v="8.1999999999999993"/>
    <n v="233.9"/>
    <s v="Hindi"/>
    <s v="James Cameron"/>
    <s v="Brad Pitt"/>
    <n v="6"/>
    <n v="29"/>
    <n v="170.4"/>
    <s v="Hit"/>
    <s v="Popular"/>
    <s v="No"/>
    <s v="Low"/>
    <n v="141.4"/>
    <n v="587.58620689655174"/>
  </r>
  <r>
    <s v="NFX-100751"/>
    <x v="750"/>
    <s v="TV Show"/>
    <x v="4"/>
    <n v="2020"/>
    <s v="India"/>
    <s v="2023-10-21"/>
    <n v="60"/>
    <s v="18+"/>
    <n v="7.2"/>
    <n v="286.7"/>
    <s v="Japanese"/>
    <s v="Steven Spielberg"/>
    <s v="Lee Jung-jae"/>
    <n v="7"/>
    <n v="153"/>
    <n v="362.7"/>
    <s v="Average"/>
    <s v="Popular"/>
    <s v="No"/>
    <s v="High"/>
    <n v="209.7"/>
    <n v="237.05882352941177"/>
  </r>
  <r>
    <s v="NFX-100752"/>
    <x v="751"/>
    <s v="TV Show"/>
    <x v="1"/>
    <n v="2002"/>
    <s v="Canada"/>
    <s v="2019-03-10"/>
    <n v="41"/>
    <s v="16+"/>
    <n v="6.5"/>
    <n v="52.2"/>
    <s v="Korean"/>
    <s v="Denis Villeneuve"/>
    <s v="Deepika Padukone"/>
    <n v="2"/>
    <n v="52"/>
    <n v="275.89999999999998"/>
    <s v="Average"/>
    <s v="Normal"/>
    <s v="No"/>
    <s v="Low"/>
    <n v="223.89999999999998"/>
    <n v="530.57692307692298"/>
  </r>
  <r>
    <s v="NFX-100753"/>
    <x v="752"/>
    <s v="TV Show"/>
    <x v="9"/>
    <n v="2010"/>
    <s v="South Korea"/>
    <s v="2021-11-13"/>
    <n v="56"/>
    <s v="G"/>
    <n v="9.4"/>
    <n v="539.5"/>
    <s v="Hindi"/>
    <s v="Guillermo del Toro"/>
    <s v="Leonardo DiCaprio"/>
    <n v="7"/>
    <n v="85"/>
    <n v="129.6"/>
    <s v="Hit"/>
    <s v="Blockbuster"/>
    <s v="Yes"/>
    <s v="Low"/>
    <n v="44.599999999999994"/>
    <n v="152.47058823529412"/>
  </r>
  <r>
    <s v="NFX-100754"/>
    <x v="753"/>
    <s v="TV Show"/>
    <x v="7"/>
    <n v="2007"/>
    <s v="Japan"/>
    <s v="2024-02-06"/>
    <n v="41"/>
    <s v="G"/>
    <n v="7"/>
    <n v="113"/>
    <s v="Hindi"/>
    <s v="Quentin Tarantino"/>
    <s v="Chris Evans"/>
    <n v="3"/>
    <n v="61"/>
    <n v="169.6"/>
    <s v="Average"/>
    <s v="Normal"/>
    <s v="Yes"/>
    <s v="Low"/>
    <n v="108.6"/>
    <n v="278.03278688524591"/>
  </r>
  <r>
    <s v="NFX-100755"/>
    <x v="754"/>
    <s v="Movie"/>
    <x v="1"/>
    <n v="2010"/>
    <s v="Australia"/>
    <s v="2022-01-03"/>
    <n v="110"/>
    <s v="18+"/>
    <n v="6.4"/>
    <n v="255.6"/>
    <s v="Japanese"/>
    <s v="Zoya Akhtar"/>
    <s v="Ryan Gosling"/>
    <m/>
    <n v="110"/>
    <n v="504.8"/>
    <s v="Average"/>
    <s v="Popular"/>
    <s v="No"/>
    <s v="High"/>
    <n v="394.8"/>
    <n v="458.90909090909088"/>
  </r>
  <r>
    <s v="NFX-100756"/>
    <x v="755"/>
    <s v="Movie"/>
    <x v="9"/>
    <n v="2021"/>
    <s v="Canada"/>
    <s v="2020-05-07"/>
    <n v="88"/>
    <s v="16+"/>
    <n v="5.9"/>
    <n v="499.7"/>
    <s v="Korean"/>
    <s v="Denis Villeneuve"/>
    <s v="Robert Downey Jr."/>
    <m/>
    <n v="37"/>
    <n v="183.3"/>
    <s v="Flop"/>
    <s v="Blockbuster"/>
    <s v="No"/>
    <s v="Low"/>
    <n v="146.30000000000001"/>
    <n v="495.40540540540547"/>
  </r>
  <r>
    <s v="NFX-100757"/>
    <x v="756"/>
    <s v="Movie"/>
    <x v="4"/>
    <n v="2018"/>
    <s v="South Korea"/>
    <s v="2024-01-14"/>
    <n v="133"/>
    <s v="PG"/>
    <n v="4.8"/>
    <n v="329.2"/>
    <s v="Hindi"/>
    <s v="Zoya Akhtar"/>
    <s v="Deepika Padukone"/>
    <m/>
    <n v="146"/>
    <n v="891.2"/>
    <s v="Flop"/>
    <s v="Popular"/>
    <s v="Yes"/>
    <s v="High"/>
    <n v="745.2"/>
    <n v="610.41095890410963"/>
  </r>
  <r>
    <s v="NFX-100758"/>
    <x v="757"/>
    <s v="TV Show"/>
    <x v="10"/>
    <n v="2016"/>
    <s v="Germany"/>
    <s v="2022-07-13"/>
    <n v="59"/>
    <s v="G"/>
    <n v="5.9"/>
    <n v="23.9"/>
    <s v="Korean"/>
    <s v="James Cameron"/>
    <s v="Robert Downey Jr."/>
    <n v="6"/>
    <n v="88"/>
    <n v="171.4"/>
    <s v="Flop"/>
    <s v="Normal"/>
    <s v="Yes"/>
    <s v="Low"/>
    <n v="83.4"/>
    <n v="194.77272727272728"/>
  </r>
  <r>
    <s v="NFX-100759"/>
    <x v="758"/>
    <s v="TV Show"/>
    <x v="0"/>
    <n v="2003"/>
    <s v="India"/>
    <s v="2021-01-12"/>
    <n v="48"/>
    <s v="G"/>
    <n v="6.4"/>
    <n v="466.7"/>
    <s v="French"/>
    <s v="Greta Gerwig"/>
    <s v="Robert Downey Jr."/>
    <n v="3"/>
    <n v="12"/>
    <n v="48.1"/>
    <s v="Average"/>
    <s v="Blockbuster"/>
    <s v="Yes"/>
    <s v="Low"/>
    <n v="36.1"/>
    <n v="400.83333333333337"/>
  </r>
  <r>
    <s v="NFX-100760"/>
    <x v="759"/>
    <s v="TV Show"/>
    <x v="0"/>
    <n v="2019"/>
    <s v="Japan"/>
    <s v="2021-03-18"/>
    <n v="45"/>
    <s v="18+"/>
    <n v="4.5"/>
    <n v="335.4"/>
    <s v="Spanish"/>
    <s v="Anurag Kashyap"/>
    <s v="Song Kang-ho"/>
    <n v="8"/>
    <n v="140"/>
    <n v="270"/>
    <s v="Flop"/>
    <s v="Popular"/>
    <s v="No"/>
    <s v="High"/>
    <n v="130"/>
    <n v="192.85714285714286"/>
  </r>
  <r>
    <s v="NFX-100761"/>
    <x v="760"/>
    <s v="Movie"/>
    <x v="2"/>
    <n v="2025"/>
    <s v="Canada"/>
    <s v="2024-04-28"/>
    <n v="145"/>
    <s v="18+"/>
    <n v="8.5"/>
    <n v="117.9"/>
    <s v="Korean"/>
    <s v="Anurag Kashyap"/>
    <s v="Emma Stone"/>
    <m/>
    <n v="17"/>
    <n v="43.5"/>
    <s v="Hit"/>
    <s v="Normal"/>
    <s v="No"/>
    <s v="Low"/>
    <n v="26.5"/>
    <n v="255.88235294117646"/>
  </r>
  <r>
    <s v="NFX-100762"/>
    <x v="761"/>
    <s v="Movie"/>
    <x v="5"/>
    <n v="2008"/>
    <s v="France"/>
    <s v="2019-09-19"/>
    <n v="87"/>
    <s v="G"/>
    <n v="8.9"/>
    <n v="35.6"/>
    <s v="German"/>
    <s v="Martin Scorsese"/>
    <s v="Brad Pitt"/>
    <m/>
    <n v="116"/>
    <n v="312.10000000000002"/>
    <s v="Hit"/>
    <s v="Normal"/>
    <s v="Yes"/>
    <s v="High"/>
    <n v="196.10000000000002"/>
    <n v="269.05172413793105"/>
  </r>
  <r>
    <s v="NFX-100763"/>
    <x v="762"/>
    <s v="Movie"/>
    <x v="2"/>
    <n v="2003"/>
    <s v="Germany"/>
    <s v="2021-08-13"/>
    <n v="89"/>
    <s v="PG"/>
    <n v="5.6"/>
    <n v="438.8"/>
    <s v="French"/>
    <s v="James Cameron"/>
    <s v="Brad Pitt"/>
    <m/>
    <n v="200"/>
    <n v="470.3"/>
    <s v="Flop"/>
    <s v="Blockbuster"/>
    <s v="Yes"/>
    <s v="High"/>
    <n v="270.3"/>
    <n v="235.15"/>
  </r>
  <r>
    <s v="NFX-100764"/>
    <x v="763"/>
    <s v="TV Show"/>
    <x v="8"/>
    <n v="2006"/>
    <s v="Japan"/>
    <s v="2023-08-26"/>
    <n v="43"/>
    <s v="PG-13"/>
    <n v="6.4"/>
    <n v="539.70000000000005"/>
    <s v="Japanese"/>
    <s v="Greta Gerwig"/>
    <s v="Song Kang-ho"/>
    <n v="2"/>
    <n v="73"/>
    <n v="406.7"/>
    <s v="Average"/>
    <s v="Blockbuster"/>
    <s v="No"/>
    <s v="Low"/>
    <n v="333.7"/>
    <n v="557.1232876712329"/>
  </r>
  <r>
    <s v="NFX-100765"/>
    <x v="764"/>
    <s v="Movie"/>
    <x v="2"/>
    <n v="2022"/>
    <s v="Japan"/>
    <s v="2019-05-23"/>
    <n v="85"/>
    <s v="18+"/>
    <n v="8"/>
    <n v="519.9"/>
    <s v="English"/>
    <s v="Rajkumar Hirani"/>
    <s v="Brad Pitt"/>
    <m/>
    <n v="112"/>
    <n v="534.79999999999995"/>
    <s v="Hit"/>
    <s v="Blockbuster"/>
    <s v="No"/>
    <s v="High"/>
    <n v="422.79999999999995"/>
    <n v="477.49999999999994"/>
  </r>
  <r>
    <s v="NFX-100766"/>
    <x v="765"/>
    <s v="Movie"/>
    <x v="5"/>
    <n v="2005"/>
    <s v="UK"/>
    <s v="2022-08-02"/>
    <n v="104"/>
    <s v="18+"/>
    <n v="6.7"/>
    <n v="516.4"/>
    <s v="Hindi"/>
    <s v="Steven Spielberg"/>
    <s v="Leonardo DiCaprio"/>
    <m/>
    <n v="138"/>
    <n v="601"/>
    <s v="Average"/>
    <s v="Blockbuster"/>
    <s v="No"/>
    <s v="High"/>
    <n v="463"/>
    <n v="435.50724637681162"/>
  </r>
  <r>
    <s v="NFX-100767"/>
    <x v="766"/>
    <s v="TV Show"/>
    <x v="2"/>
    <n v="2003"/>
    <s v="India"/>
    <s v="2022-11-04"/>
    <n v="33"/>
    <s v="18+"/>
    <n v="7.7"/>
    <n v="205.3"/>
    <s v="French"/>
    <s v="Anurag Kashyap"/>
    <s v="Song Kang-ho"/>
    <n v="6"/>
    <n v="70"/>
    <n v="100.7"/>
    <s v="Average"/>
    <s v="Popular"/>
    <s v="No"/>
    <s v="Low"/>
    <n v="30.700000000000003"/>
    <n v="143.85714285714286"/>
  </r>
  <r>
    <s v="NFX-100768"/>
    <x v="767"/>
    <s v="Movie"/>
    <x v="1"/>
    <n v="2023"/>
    <s v="Spain"/>
    <s v="2019-08-24"/>
    <n v="168"/>
    <s v="PG"/>
    <n v="7.2"/>
    <n v="230.6"/>
    <s v="German"/>
    <s v="Quentin Tarantino"/>
    <s v="Shah Rukh Khan"/>
    <m/>
    <n v="36"/>
    <n v="132.4"/>
    <s v="Average"/>
    <s v="Popular"/>
    <s v="Yes"/>
    <s v="Low"/>
    <n v="96.4"/>
    <n v="367.77777777777783"/>
  </r>
  <r>
    <s v="NFX-100769"/>
    <x v="768"/>
    <s v="TV Show"/>
    <x v="6"/>
    <n v="2022"/>
    <s v="Australia"/>
    <s v="2020-10-11"/>
    <n v="52"/>
    <s v="16+"/>
    <n v="4.9000000000000004"/>
    <n v="573.29999999999995"/>
    <s v="Spanish"/>
    <s v="Martin Scorsese"/>
    <s v="Emma Stone"/>
    <n v="2"/>
    <n v="164"/>
    <n v="1023.4"/>
    <s v="Flop"/>
    <s v="Blockbuster"/>
    <s v="No"/>
    <s v="High"/>
    <n v="859.4"/>
    <n v="624.02439024390242"/>
  </r>
  <r>
    <s v="NFX-100770"/>
    <x v="769"/>
    <s v="Movie"/>
    <x v="2"/>
    <n v="2011"/>
    <s v="UK"/>
    <s v="2020-02-23"/>
    <n v="172"/>
    <s v="16+"/>
    <n v="5.3"/>
    <n v="565.70000000000005"/>
    <s v="Spanish"/>
    <s v="Ridley Scott"/>
    <s v="Robert Downey Jr."/>
    <m/>
    <n v="88"/>
    <n v="422.7"/>
    <s v="Flop"/>
    <s v="Blockbuster"/>
    <s v="No"/>
    <s v="Low"/>
    <n v="334.7"/>
    <n v="480.34090909090912"/>
  </r>
  <r>
    <s v="NFX-100771"/>
    <x v="770"/>
    <s v="Movie"/>
    <x v="9"/>
    <n v="2009"/>
    <s v="India"/>
    <s v="2018-12-14"/>
    <n v="137"/>
    <s v="G"/>
    <n v="7.2"/>
    <n v="341.1"/>
    <s v="Korean"/>
    <s v="Denis Villeneuve"/>
    <s v="Song Kang-ho"/>
    <m/>
    <n v="127"/>
    <n v="697.6"/>
    <s v="Average"/>
    <s v="Popular"/>
    <s v="Yes"/>
    <s v="High"/>
    <n v="570.6"/>
    <n v="549.29133858267721"/>
  </r>
  <r>
    <s v="NFX-100772"/>
    <x v="771"/>
    <s v="Movie"/>
    <x v="7"/>
    <n v="2019"/>
    <s v="Australia"/>
    <s v="2018-01-23"/>
    <n v="92"/>
    <s v="PG"/>
    <n v="6.8"/>
    <n v="526.79999999999995"/>
    <s v="Korean"/>
    <s v="Steven Spielberg"/>
    <s v="Emma Stone"/>
    <m/>
    <n v="56"/>
    <n v="99.5"/>
    <s v="Average"/>
    <s v="Blockbuster"/>
    <s v="Yes"/>
    <s v="Low"/>
    <n v="43.5"/>
    <n v="177.67857142857142"/>
  </r>
  <r>
    <s v="NFX-100773"/>
    <x v="772"/>
    <s v="Movie"/>
    <x v="9"/>
    <n v="2021"/>
    <s v="Japan"/>
    <s v="2024-06-09"/>
    <n v="115"/>
    <s v="PG"/>
    <n v="4.7"/>
    <n v="233.7"/>
    <s v="Korean"/>
    <s v="Bong Joon-ho"/>
    <s v="Leonardo DiCaprio"/>
    <m/>
    <n v="160"/>
    <n v="709.1"/>
    <s v="Flop"/>
    <s v="Popular"/>
    <s v="Yes"/>
    <s v="High"/>
    <n v="549.1"/>
    <n v="443.1875"/>
  </r>
  <r>
    <s v="NFX-100774"/>
    <x v="773"/>
    <s v="Movie"/>
    <x v="2"/>
    <n v="2007"/>
    <s v="India"/>
    <s v="2019-01-30"/>
    <n v="158"/>
    <s v="G"/>
    <n v="6.5"/>
    <n v="447.2"/>
    <s v="German"/>
    <s v="Christopher Nolan"/>
    <s v="Tom Hardy"/>
    <m/>
    <n v="97"/>
    <n v="212.7"/>
    <s v="Average"/>
    <s v="Blockbuster"/>
    <s v="Yes"/>
    <s v="Low"/>
    <n v="115.69999999999999"/>
    <n v="219.2783505154639"/>
  </r>
  <r>
    <s v="NFX-100775"/>
    <x v="774"/>
    <s v="Movie"/>
    <x v="2"/>
    <n v="2017"/>
    <s v="Germany"/>
    <s v="2023-05-12"/>
    <n v="102"/>
    <s v="PG"/>
    <n v="8.8000000000000007"/>
    <n v="306"/>
    <s v="Hindi"/>
    <s v="Park Chan-wook"/>
    <s v="Tom Hardy"/>
    <m/>
    <n v="75"/>
    <n v="483.6"/>
    <s v="Hit"/>
    <s v="Popular"/>
    <s v="Yes"/>
    <s v="Low"/>
    <n v="408.6"/>
    <n v="644.80000000000007"/>
  </r>
  <r>
    <s v="NFX-100776"/>
    <x v="775"/>
    <s v="Movie"/>
    <x v="4"/>
    <n v="2023"/>
    <s v="India"/>
    <s v="2019-10-08"/>
    <n v="149"/>
    <s v="PG-13"/>
    <n v="7.3"/>
    <n v="593.70000000000005"/>
    <s v="Japanese"/>
    <s v="Sanjay Leela Bhansali"/>
    <s v="Lee Jung-jae"/>
    <m/>
    <n v="160"/>
    <n v="285.89999999999998"/>
    <s v="Average"/>
    <s v="Blockbuster"/>
    <s v="No"/>
    <s v="High"/>
    <n v="125.89999999999998"/>
    <n v="178.68749999999997"/>
  </r>
  <r>
    <s v="NFX-100777"/>
    <x v="776"/>
    <s v="Movie"/>
    <x v="1"/>
    <n v="2003"/>
    <s v="Spain"/>
    <s v="2023-06-19"/>
    <n v="175"/>
    <s v="G"/>
    <n v="7.3"/>
    <n v="464.2"/>
    <s v="English"/>
    <s v="James Cameron"/>
    <s v="Emma Stone"/>
    <m/>
    <n v="118"/>
    <n v="269.3"/>
    <s v="Average"/>
    <s v="Blockbuster"/>
    <s v="Yes"/>
    <s v="High"/>
    <n v="151.30000000000001"/>
    <n v="228.22033898305088"/>
  </r>
  <r>
    <s v="NFX-100778"/>
    <x v="777"/>
    <s v="Movie"/>
    <x v="8"/>
    <n v="2009"/>
    <s v="USA"/>
    <s v="2023-10-19"/>
    <n v="148"/>
    <s v="PG-13"/>
    <n v="5.9"/>
    <n v="380.5"/>
    <s v="Japanese"/>
    <s v="Park Chan-wook"/>
    <s v="Shah Rukh Khan"/>
    <m/>
    <n v="26"/>
    <n v="97.8"/>
    <s v="Flop"/>
    <s v="Popular"/>
    <s v="No"/>
    <s v="Low"/>
    <n v="71.8"/>
    <n v="376.15384615384613"/>
  </r>
  <r>
    <s v="NFX-100779"/>
    <x v="778"/>
    <s v="TV Show"/>
    <x v="4"/>
    <n v="2018"/>
    <s v="France"/>
    <s v="2020-10-29"/>
    <n v="39"/>
    <s v="16+"/>
    <n v="5.2"/>
    <n v="66.3"/>
    <s v="Spanish"/>
    <s v="Steven Spielberg"/>
    <s v="Timothée Chalamet"/>
    <n v="5"/>
    <n v="145"/>
    <n v="372.4"/>
    <s v="Flop"/>
    <s v="Normal"/>
    <s v="No"/>
    <s v="High"/>
    <n v="227.39999999999998"/>
    <n v="256.82758620689651"/>
  </r>
  <r>
    <s v="NFX-100780"/>
    <x v="779"/>
    <s v="Movie"/>
    <x v="9"/>
    <n v="2025"/>
    <s v="UK"/>
    <s v="2020-12-26"/>
    <n v="117"/>
    <s v="PG"/>
    <n v="7.4"/>
    <n v="535.5"/>
    <s v="Hindi"/>
    <s v="Rajkumar Hirani"/>
    <s v="Scarlett Johansson"/>
    <m/>
    <n v="31"/>
    <n v="161.80000000000001"/>
    <s v="Average"/>
    <s v="Blockbuster"/>
    <s v="Yes"/>
    <s v="Low"/>
    <n v="130.80000000000001"/>
    <n v="521.9354838709678"/>
  </r>
  <r>
    <s v="NFX-100781"/>
    <x v="780"/>
    <s v="TV Show"/>
    <x v="0"/>
    <n v="2012"/>
    <s v="Germany"/>
    <s v="2023-08-07"/>
    <n v="38"/>
    <s v="16+"/>
    <n v="6.4"/>
    <n v="246.6"/>
    <s v="German"/>
    <s v="Greta Gerwig"/>
    <s v="Timothée Chalamet"/>
    <n v="4"/>
    <n v="147"/>
    <n v="247.8"/>
    <s v="Average"/>
    <s v="Popular"/>
    <s v="No"/>
    <s v="High"/>
    <n v="100.80000000000001"/>
    <n v="168.57142857142858"/>
  </r>
  <r>
    <s v="NFX-100782"/>
    <x v="781"/>
    <s v="Movie"/>
    <x v="7"/>
    <n v="2001"/>
    <s v="UK"/>
    <s v="2020-04-10"/>
    <n v="171"/>
    <s v="PG-13"/>
    <n v="4.9000000000000004"/>
    <n v="160"/>
    <s v="English"/>
    <s v="Ridley Scott"/>
    <s v="Song Kang-ho"/>
    <m/>
    <n v="88"/>
    <n v="319.7"/>
    <s v="Flop"/>
    <s v="Normal"/>
    <s v="No"/>
    <s v="Low"/>
    <n v="231.7"/>
    <n v="363.2954545454545"/>
  </r>
  <r>
    <s v="NFX-100783"/>
    <x v="782"/>
    <s v="Movie"/>
    <x v="7"/>
    <n v="2023"/>
    <s v="Japan"/>
    <s v="2023-01-13"/>
    <n v="161"/>
    <s v="PG-13"/>
    <n v="7.1"/>
    <n v="313.39999999999998"/>
    <s v="Japanese"/>
    <s v="Greta Gerwig"/>
    <s v="Timothée Chalamet"/>
    <m/>
    <n v="181"/>
    <n v="786"/>
    <s v="Average"/>
    <s v="Popular"/>
    <s v="No"/>
    <s v="High"/>
    <n v="605"/>
    <n v="434.25414364640886"/>
  </r>
  <r>
    <s v="NFX-100784"/>
    <x v="783"/>
    <s v="Movie"/>
    <x v="0"/>
    <n v="2012"/>
    <s v="UK"/>
    <s v="2021-05-02"/>
    <n v="96"/>
    <s v="PG"/>
    <n v="9.6"/>
    <n v="553.9"/>
    <s v="Korean"/>
    <s v="Ridley Scott"/>
    <s v="Brad Pitt"/>
    <m/>
    <n v="17"/>
    <n v="39.1"/>
    <s v="Hit"/>
    <s v="Blockbuster"/>
    <s v="Yes"/>
    <s v="Low"/>
    <n v="22.1"/>
    <n v="230.00000000000003"/>
  </r>
  <r>
    <s v="NFX-100785"/>
    <x v="784"/>
    <s v="Movie"/>
    <x v="1"/>
    <n v="2002"/>
    <s v="Spain"/>
    <s v="2024-10-17"/>
    <n v="116"/>
    <s v="G"/>
    <n v="9.5"/>
    <n v="314.5"/>
    <s v="English"/>
    <s v="Quentin Tarantino"/>
    <s v="Robert Downey Jr."/>
    <m/>
    <n v="154"/>
    <n v="250.2"/>
    <s v="Hit"/>
    <s v="Popular"/>
    <s v="Yes"/>
    <s v="High"/>
    <n v="96.199999999999989"/>
    <n v="162.46753246753244"/>
  </r>
  <r>
    <s v="NFX-100786"/>
    <x v="785"/>
    <s v="TV Show"/>
    <x v="3"/>
    <n v="2024"/>
    <s v="France"/>
    <s v="2019-03-17"/>
    <n v="58"/>
    <s v="18+"/>
    <n v="8.6999999999999993"/>
    <n v="522.20000000000005"/>
    <s v="Korean"/>
    <s v="Greta Gerwig"/>
    <s v="Brad Pitt"/>
    <n v="4"/>
    <n v="110"/>
    <n v="213.5"/>
    <s v="Hit"/>
    <s v="Blockbuster"/>
    <s v="No"/>
    <s v="High"/>
    <n v="103.5"/>
    <n v="194.09090909090909"/>
  </r>
  <r>
    <s v="NFX-100787"/>
    <x v="786"/>
    <s v="Movie"/>
    <x v="8"/>
    <n v="2022"/>
    <s v="Spain"/>
    <s v="2020-11-10"/>
    <n v="145"/>
    <s v="G"/>
    <n v="5.8"/>
    <n v="193.5"/>
    <s v="Spanish"/>
    <s v="Quentin Tarantino"/>
    <s v="Ranbir Kapoor"/>
    <m/>
    <n v="187"/>
    <n v="1139"/>
    <s v="Flop"/>
    <s v="Normal"/>
    <s v="Yes"/>
    <s v="High"/>
    <n v="952"/>
    <n v="609.09090909090912"/>
  </r>
  <r>
    <s v="NFX-100788"/>
    <x v="787"/>
    <s v="TV Show"/>
    <x v="4"/>
    <n v="2002"/>
    <s v="France"/>
    <s v="2023-06-03"/>
    <n v="46"/>
    <s v="PG-13"/>
    <n v="6.8"/>
    <n v="6.8"/>
    <s v="Hindi"/>
    <s v="Denis Villeneuve"/>
    <s v="Emma Stone"/>
    <n v="3"/>
    <n v="81"/>
    <n v="206.6"/>
    <s v="Average"/>
    <s v="Normal"/>
    <s v="No"/>
    <s v="Low"/>
    <n v="125.6"/>
    <n v="255.06172839506172"/>
  </r>
  <r>
    <s v="NFX-100789"/>
    <x v="788"/>
    <s v="TV Show"/>
    <x v="8"/>
    <n v="2012"/>
    <s v="France"/>
    <s v="2019-07-03"/>
    <n v="49"/>
    <s v="PG"/>
    <n v="7.1"/>
    <n v="578.79999999999995"/>
    <s v="German"/>
    <s v="Greta Gerwig"/>
    <s v="Leonardo DiCaprio"/>
    <n v="5"/>
    <n v="152"/>
    <n v="694.5"/>
    <s v="Average"/>
    <s v="Blockbuster"/>
    <s v="Yes"/>
    <s v="High"/>
    <n v="542.5"/>
    <n v="456.90789473684214"/>
  </r>
  <r>
    <s v="NFX-100790"/>
    <x v="789"/>
    <s v="TV Show"/>
    <x v="0"/>
    <n v="2023"/>
    <s v="UK"/>
    <s v="2023-08-05"/>
    <n v="50"/>
    <s v="G"/>
    <n v="7.8"/>
    <n v="266.2"/>
    <s v="English"/>
    <s v="Park Chan-wook"/>
    <s v="Brad Pitt"/>
    <n v="7"/>
    <n v="140"/>
    <n v="200.9"/>
    <s v="Average"/>
    <s v="Popular"/>
    <s v="Yes"/>
    <s v="High"/>
    <n v="60.900000000000006"/>
    <n v="143.5"/>
  </r>
  <r>
    <s v="NFX-100791"/>
    <x v="790"/>
    <s v="Movie"/>
    <x v="3"/>
    <n v="2000"/>
    <s v="USA"/>
    <s v="2022-10-01"/>
    <n v="180"/>
    <s v="G"/>
    <n v="8.8000000000000007"/>
    <n v="427.5"/>
    <s v="Korean"/>
    <s v="Guillermo del Toro"/>
    <s v="Robert Downey Jr."/>
    <m/>
    <n v="39"/>
    <n v="196.7"/>
    <s v="Hit"/>
    <s v="Blockbuster"/>
    <s v="Yes"/>
    <s v="Low"/>
    <n v="157.69999999999999"/>
    <n v="504.35897435897436"/>
  </r>
  <r>
    <s v="NFX-100792"/>
    <x v="791"/>
    <s v="Movie"/>
    <x v="4"/>
    <n v="2023"/>
    <s v="Australia"/>
    <s v="2023-08-14"/>
    <n v="166"/>
    <s v="G"/>
    <n v="7.2"/>
    <n v="16"/>
    <s v="Japanese"/>
    <s v="Martin Scorsese"/>
    <s v="Timothée Chalamet"/>
    <m/>
    <n v="36"/>
    <n v="155"/>
    <s v="Average"/>
    <s v="Normal"/>
    <s v="Yes"/>
    <s v="Low"/>
    <n v="119"/>
    <n v="430.55555555555554"/>
  </r>
  <r>
    <s v="NFX-100793"/>
    <x v="792"/>
    <s v="TV Show"/>
    <x v="2"/>
    <n v="2016"/>
    <s v="USA"/>
    <s v="2018-07-30"/>
    <n v="49"/>
    <s v="PG"/>
    <n v="6.9"/>
    <n v="288.89999999999998"/>
    <s v="English"/>
    <s v="Sanjay Leela Bhansali"/>
    <s v="Scarlett Johansson"/>
    <n v="8"/>
    <n v="59"/>
    <n v="314.5"/>
    <s v="Average"/>
    <s v="Popular"/>
    <s v="Yes"/>
    <s v="Low"/>
    <n v="255.5"/>
    <n v="533.05084745762713"/>
  </r>
  <r>
    <s v="NFX-100794"/>
    <x v="793"/>
    <s v="Movie"/>
    <x v="6"/>
    <n v="2020"/>
    <s v="Japan"/>
    <s v="2019-06-09"/>
    <n v="109"/>
    <s v="PG-13"/>
    <n v="7.8"/>
    <n v="189.2"/>
    <s v="Spanish"/>
    <s v="Denis Villeneuve"/>
    <s v="Jennifer Lawrence"/>
    <m/>
    <n v="24"/>
    <n v="92.4"/>
    <s v="Average"/>
    <s v="Normal"/>
    <s v="No"/>
    <s v="Low"/>
    <n v="68.400000000000006"/>
    <n v="385"/>
  </r>
  <r>
    <s v="NFX-100795"/>
    <x v="794"/>
    <s v="TV Show"/>
    <x v="3"/>
    <n v="2010"/>
    <s v="Spain"/>
    <s v="2023-06-27"/>
    <n v="33"/>
    <s v="G"/>
    <n v="4.5"/>
    <n v="218.9"/>
    <s v="Japanese"/>
    <s v="Denis Villeneuve"/>
    <s v="Chris Evans"/>
    <n v="8"/>
    <n v="37"/>
    <n v="234.2"/>
    <s v="Flop"/>
    <s v="Popular"/>
    <s v="Yes"/>
    <s v="Low"/>
    <n v="197.2"/>
    <n v="632.97297297297291"/>
  </r>
  <r>
    <s v="NFX-100796"/>
    <x v="795"/>
    <s v="TV Show"/>
    <x v="8"/>
    <n v="2015"/>
    <s v="Spain"/>
    <s v="2021-10-05"/>
    <n v="40"/>
    <s v="16+"/>
    <n v="8.6"/>
    <n v="200.1"/>
    <s v="Korean"/>
    <s v="Zoya Akhtar"/>
    <s v="Ranbir Kapoor"/>
    <n v="1"/>
    <n v="48"/>
    <n v="203.5"/>
    <s v="Hit"/>
    <s v="Popular"/>
    <s v="No"/>
    <s v="Low"/>
    <n v="155.5"/>
    <n v="423.95833333333331"/>
  </r>
  <r>
    <s v="NFX-100797"/>
    <x v="796"/>
    <s v="Movie"/>
    <x v="0"/>
    <n v="2002"/>
    <s v="Japan"/>
    <s v="2019-08-30"/>
    <n v="85"/>
    <s v="16+"/>
    <n v="5.2"/>
    <n v="195.1"/>
    <s v="Hindi"/>
    <s v="James Cameron"/>
    <s v="Chris Evans"/>
    <m/>
    <n v="55"/>
    <n v="91.7"/>
    <s v="Flop"/>
    <s v="Normal"/>
    <s v="No"/>
    <s v="Low"/>
    <n v="36.700000000000003"/>
    <n v="166.72727272727272"/>
  </r>
  <r>
    <s v="NFX-100798"/>
    <x v="797"/>
    <s v="TV Show"/>
    <x v="6"/>
    <n v="2023"/>
    <s v="Germany"/>
    <s v="2022-08-07"/>
    <n v="31"/>
    <s v="18+"/>
    <n v="9.1999999999999993"/>
    <n v="15.3"/>
    <s v="Japanese"/>
    <s v="Quentin Tarantino"/>
    <s v="Brad Pitt"/>
    <n v="7"/>
    <n v="181"/>
    <n v="422.3"/>
    <s v="Hit"/>
    <s v="Normal"/>
    <s v="No"/>
    <s v="High"/>
    <n v="241.3"/>
    <n v="233.31491712707182"/>
  </r>
  <r>
    <s v="NFX-100799"/>
    <x v="798"/>
    <s v="Movie"/>
    <x v="8"/>
    <n v="2004"/>
    <s v="UK"/>
    <s v="2020-09-17"/>
    <n v="144"/>
    <s v="G"/>
    <n v="4.9000000000000004"/>
    <n v="421.9"/>
    <s v="Japanese"/>
    <s v="Park Chan-wook"/>
    <s v="Song Kang-ho"/>
    <m/>
    <n v="190"/>
    <n v="1111.0999999999999"/>
    <s v="Flop"/>
    <s v="Blockbuster"/>
    <s v="Yes"/>
    <s v="High"/>
    <n v="921.09999999999991"/>
    <n v="584.78947368421052"/>
  </r>
  <r>
    <s v="NFX-100800"/>
    <x v="799"/>
    <s v="TV Show"/>
    <x v="9"/>
    <n v="2007"/>
    <s v="UK"/>
    <s v="2020-03-23"/>
    <n v="49"/>
    <s v="G"/>
    <n v="6.6"/>
    <n v="13.2"/>
    <s v="French"/>
    <s v="Sanjay Leela Bhansali"/>
    <s v="Chris Evans"/>
    <n v="1"/>
    <n v="169"/>
    <n v="835.3"/>
    <s v="Average"/>
    <s v="Normal"/>
    <s v="Yes"/>
    <s v="High"/>
    <n v="666.3"/>
    <n v="494.26035502958581"/>
  </r>
  <r>
    <s v="NFX-100801"/>
    <x v="800"/>
    <s v="TV Show"/>
    <x v="2"/>
    <n v="2021"/>
    <s v="India"/>
    <s v="2022-05-24"/>
    <n v="32"/>
    <s v="16+"/>
    <n v="8.6"/>
    <n v="435.4"/>
    <s v="German"/>
    <s v="James Cameron"/>
    <s v="Jennifer Lawrence"/>
    <n v="1"/>
    <n v="79"/>
    <n v="227.4"/>
    <s v="Hit"/>
    <s v="Blockbuster"/>
    <s v="No"/>
    <s v="Low"/>
    <n v="148.4"/>
    <n v="287.84810126582283"/>
  </r>
  <r>
    <s v="NFX-100802"/>
    <x v="801"/>
    <s v="Movie"/>
    <x v="1"/>
    <n v="2007"/>
    <s v="UK"/>
    <s v="2023-09-24"/>
    <n v="114"/>
    <s v="18+"/>
    <n v="5.3"/>
    <n v="559.1"/>
    <s v="German"/>
    <s v="Greta Gerwig"/>
    <s v="Jennifer Lawrence"/>
    <m/>
    <n v="67"/>
    <n v="202.4"/>
    <s v="Flop"/>
    <s v="Blockbuster"/>
    <s v="No"/>
    <s v="Low"/>
    <n v="135.4"/>
    <n v="302.08955223880599"/>
  </r>
  <r>
    <s v="NFX-100803"/>
    <x v="802"/>
    <s v="TV Show"/>
    <x v="5"/>
    <n v="2000"/>
    <s v="South Korea"/>
    <s v="2018-02-28"/>
    <n v="47"/>
    <s v="PG-13"/>
    <n v="8.6999999999999993"/>
    <n v="379.8"/>
    <s v="Spanish"/>
    <s v="Quentin Tarantino"/>
    <s v="Jennifer Lawrence"/>
    <n v="8"/>
    <n v="179"/>
    <n v="874.3"/>
    <s v="Hit"/>
    <s v="Popular"/>
    <s v="No"/>
    <s v="High"/>
    <n v="695.3"/>
    <n v="488.43575418994413"/>
  </r>
  <r>
    <s v="NFX-100804"/>
    <x v="803"/>
    <s v="Movie"/>
    <x v="7"/>
    <n v="2005"/>
    <s v="Japan"/>
    <s v="2024-03-25"/>
    <n v="160"/>
    <s v="G"/>
    <n v="6.2"/>
    <n v="488"/>
    <s v="Korean"/>
    <s v="Guillermo del Toro"/>
    <s v="Leonardo DiCaprio"/>
    <m/>
    <n v="179"/>
    <n v="1044.8"/>
    <s v="Average"/>
    <s v="Blockbuster"/>
    <s v="Yes"/>
    <s v="High"/>
    <n v="865.8"/>
    <n v="583.68715083798884"/>
  </r>
  <r>
    <s v="NFX-100805"/>
    <x v="804"/>
    <s v="TV Show"/>
    <x v="2"/>
    <n v="2021"/>
    <s v="Spain"/>
    <s v="2018-07-14"/>
    <n v="60"/>
    <s v="G"/>
    <n v="7.1"/>
    <n v="96"/>
    <s v="Hindi"/>
    <s v="Rajkumar Hirani"/>
    <s v="Leonardo DiCaprio"/>
    <n v="4"/>
    <n v="175"/>
    <n v="531.1"/>
    <s v="Average"/>
    <s v="Normal"/>
    <s v="Yes"/>
    <s v="High"/>
    <n v="356.1"/>
    <n v="303.48571428571432"/>
  </r>
  <r>
    <s v="NFX-100806"/>
    <x v="805"/>
    <s v="Movie"/>
    <x v="0"/>
    <n v="2003"/>
    <s v="Australia"/>
    <s v="2022-10-26"/>
    <n v="168"/>
    <s v="16+"/>
    <n v="6.9"/>
    <n v="325.5"/>
    <s v="Hindi"/>
    <s v="Quentin Tarantino"/>
    <s v="Shah Rukh Khan"/>
    <m/>
    <n v="79"/>
    <n v="234.8"/>
    <s v="Average"/>
    <s v="Popular"/>
    <s v="No"/>
    <s v="Low"/>
    <n v="155.80000000000001"/>
    <n v="297.21518987341773"/>
  </r>
  <r>
    <s v="NFX-100807"/>
    <x v="806"/>
    <s v="TV Show"/>
    <x v="3"/>
    <n v="2001"/>
    <s v="India"/>
    <s v="2023-08-21"/>
    <n v="53"/>
    <s v="16+"/>
    <n v="5.6"/>
    <n v="208.2"/>
    <s v="Spanish"/>
    <s v="Christopher Nolan"/>
    <s v="Deepika Padukone"/>
    <n v="7"/>
    <n v="102"/>
    <n v="577.9"/>
    <s v="Flop"/>
    <s v="Popular"/>
    <s v="No"/>
    <s v="High"/>
    <n v="475.9"/>
    <n v="566.56862745098033"/>
  </r>
  <r>
    <s v="NFX-100808"/>
    <x v="807"/>
    <s v="TV Show"/>
    <x v="2"/>
    <n v="2008"/>
    <s v="Canada"/>
    <s v="2023-10-10"/>
    <n v="32"/>
    <s v="16+"/>
    <n v="5.2"/>
    <n v="559.29999999999995"/>
    <s v="German"/>
    <s v="Sanjay Leela Bhansali"/>
    <s v="Shah Rukh Khan"/>
    <n v="3"/>
    <n v="148"/>
    <n v="601.79999999999995"/>
    <s v="Flop"/>
    <s v="Blockbuster"/>
    <s v="No"/>
    <s v="High"/>
    <n v="453.79999999999995"/>
    <n v="406.62162162162161"/>
  </r>
  <r>
    <s v="NFX-100809"/>
    <x v="808"/>
    <s v="TV Show"/>
    <x v="0"/>
    <n v="2020"/>
    <s v="Spain"/>
    <s v="2023-06-17"/>
    <n v="59"/>
    <s v="16+"/>
    <n v="8.6"/>
    <n v="155.9"/>
    <s v="Korean"/>
    <s v="Guillermo del Toro"/>
    <s v="Ranbir Kapoor"/>
    <n v="1"/>
    <n v="188"/>
    <n v="910.7"/>
    <s v="Hit"/>
    <s v="Normal"/>
    <s v="No"/>
    <s v="High"/>
    <n v="722.7"/>
    <n v="484.41489361702128"/>
  </r>
  <r>
    <s v="NFX-100810"/>
    <x v="809"/>
    <s v="TV Show"/>
    <x v="1"/>
    <n v="2017"/>
    <s v="UK"/>
    <s v="2018-01-31"/>
    <n v="43"/>
    <s v="G"/>
    <n v="5.3"/>
    <n v="97.5"/>
    <s v="Hindi"/>
    <s v="Greta Gerwig"/>
    <s v="Leonardo DiCaprio"/>
    <n v="6"/>
    <n v="109"/>
    <n v="475.9"/>
    <s v="Flop"/>
    <s v="Normal"/>
    <s v="Yes"/>
    <s v="High"/>
    <n v="366.9"/>
    <n v="436.60550458715591"/>
  </r>
  <r>
    <s v="NFX-100811"/>
    <x v="810"/>
    <s v="Movie"/>
    <x v="5"/>
    <n v="2006"/>
    <s v="USA"/>
    <s v="2022-07-27"/>
    <n v="140"/>
    <s v="PG-13"/>
    <n v="9.3000000000000007"/>
    <n v="34.299999999999997"/>
    <s v="Hindi"/>
    <s v="Martin Scorsese"/>
    <s v="Robert Downey Jr."/>
    <m/>
    <n v="12"/>
    <n v="17.600000000000001"/>
    <s v="Hit"/>
    <s v="Normal"/>
    <s v="No"/>
    <s v="Low"/>
    <n v="5.6000000000000014"/>
    <n v="146.66666666666669"/>
  </r>
  <r>
    <s v="NFX-100812"/>
    <x v="811"/>
    <s v="Movie"/>
    <x v="1"/>
    <n v="2002"/>
    <s v="India"/>
    <s v="2019-11-18"/>
    <n v="119"/>
    <s v="PG-13"/>
    <n v="6.6"/>
    <n v="566"/>
    <s v="French"/>
    <s v="Ridley Scott"/>
    <s v="Shah Rukh Khan"/>
    <m/>
    <n v="95"/>
    <n v="541.4"/>
    <s v="Average"/>
    <s v="Blockbuster"/>
    <s v="No"/>
    <s v="Low"/>
    <n v="446.4"/>
    <n v="569.8947368421052"/>
  </r>
  <r>
    <s v="NFX-100813"/>
    <x v="812"/>
    <s v="TV Show"/>
    <x v="9"/>
    <n v="2001"/>
    <s v="Spain"/>
    <s v="2022-06-16"/>
    <n v="59"/>
    <s v="PG-13"/>
    <n v="7.2"/>
    <n v="72.8"/>
    <s v="Hindi"/>
    <s v="Christopher Nolan"/>
    <s v="Brad Pitt"/>
    <n v="8"/>
    <n v="120"/>
    <n v="221.5"/>
    <s v="Average"/>
    <s v="Normal"/>
    <s v="No"/>
    <s v="High"/>
    <n v="101.5"/>
    <n v="184.58333333333334"/>
  </r>
  <r>
    <s v="NFX-100814"/>
    <x v="813"/>
    <s v="TV Show"/>
    <x v="7"/>
    <n v="2020"/>
    <s v="Australia"/>
    <s v="2018-07-11"/>
    <n v="47"/>
    <s v="16+"/>
    <n v="8"/>
    <n v="130.69999999999999"/>
    <s v="Hindi"/>
    <s v="Zoya Akhtar"/>
    <s v="Song Kang-ho"/>
    <n v="8"/>
    <n v="122"/>
    <n v="398.4"/>
    <s v="Hit"/>
    <s v="Normal"/>
    <s v="No"/>
    <s v="High"/>
    <n v="276.39999999999998"/>
    <n v="326.55737704918033"/>
  </r>
  <r>
    <s v="NFX-100815"/>
    <x v="814"/>
    <s v="TV Show"/>
    <x v="1"/>
    <n v="2015"/>
    <s v="South Korea"/>
    <s v="2019-12-21"/>
    <n v="49"/>
    <s v="PG"/>
    <n v="7.7"/>
    <n v="497.5"/>
    <s v="Hindi"/>
    <s v="Christopher Nolan"/>
    <s v="Tom Hardy"/>
    <n v="7"/>
    <n v="146"/>
    <n v="915.3"/>
    <s v="Average"/>
    <s v="Blockbuster"/>
    <s v="Yes"/>
    <s v="High"/>
    <n v="769.3"/>
    <n v="626.91780821917803"/>
  </r>
  <r>
    <s v="NFX-100816"/>
    <x v="815"/>
    <s v="Movie"/>
    <x v="8"/>
    <n v="2013"/>
    <s v="India"/>
    <s v="2019-04-06"/>
    <n v="98"/>
    <s v="16+"/>
    <n v="5.0999999999999996"/>
    <n v="561.70000000000005"/>
    <s v="French"/>
    <s v="Quentin Tarantino"/>
    <s v="Jennifer Lawrence"/>
    <m/>
    <n v="45"/>
    <n v="125.2"/>
    <s v="Flop"/>
    <s v="Blockbuster"/>
    <s v="No"/>
    <s v="Low"/>
    <n v="80.2"/>
    <n v="278.22222222222223"/>
  </r>
  <r>
    <s v="NFX-100817"/>
    <x v="816"/>
    <s v="TV Show"/>
    <x v="10"/>
    <n v="2020"/>
    <s v="India"/>
    <s v="2020-05-31"/>
    <n v="39"/>
    <s v="PG-13"/>
    <n v="9.1"/>
    <n v="384.1"/>
    <s v="Korean"/>
    <s v="James Cameron"/>
    <s v="Lee Jung-jae"/>
    <n v="1"/>
    <n v="107"/>
    <n v="564.1"/>
    <s v="Hit"/>
    <s v="Popular"/>
    <s v="No"/>
    <s v="High"/>
    <n v="457.1"/>
    <n v="527.19626168224295"/>
  </r>
  <r>
    <s v="NFX-100818"/>
    <x v="817"/>
    <s v="TV Show"/>
    <x v="6"/>
    <n v="2022"/>
    <s v="South Korea"/>
    <s v="2020-10-06"/>
    <n v="50"/>
    <s v="18+"/>
    <n v="6.4"/>
    <n v="588"/>
    <s v="French"/>
    <s v="Sanjay Leela Bhansali"/>
    <s v="Deepika Padukone"/>
    <n v="4"/>
    <n v="97"/>
    <n v="169.6"/>
    <s v="Average"/>
    <s v="Blockbuster"/>
    <s v="No"/>
    <s v="Low"/>
    <n v="72.599999999999994"/>
    <n v="174.84536082474227"/>
  </r>
  <r>
    <s v="NFX-100819"/>
    <x v="818"/>
    <s v="Movie"/>
    <x v="10"/>
    <n v="2014"/>
    <s v="India"/>
    <s v="2020-06-17"/>
    <n v="121"/>
    <s v="18+"/>
    <n v="6.5"/>
    <n v="180.6"/>
    <s v="English"/>
    <s v="Quentin Tarantino"/>
    <s v="Deepika Padukone"/>
    <m/>
    <n v="5"/>
    <n v="24"/>
    <s v="Average"/>
    <s v="Normal"/>
    <s v="No"/>
    <s v="Low"/>
    <n v="19"/>
    <n v="480"/>
  </r>
  <r>
    <s v="NFX-100820"/>
    <x v="819"/>
    <s v="Movie"/>
    <x v="5"/>
    <n v="2015"/>
    <s v="Australia"/>
    <s v="2020-08-28"/>
    <n v="180"/>
    <s v="G"/>
    <n v="4.8"/>
    <n v="267.39999999999998"/>
    <s v="Japanese"/>
    <s v="Greta Gerwig"/>
    <s v="Brad Pitt"/>
    <m/>
    <n v="134"/>
    <n v="378.8"/>
    <s v="Flop"/>
    <s v="Popular"/>
    <s v="Yes"/>
    <s v="High"/>
    <n v="244.8"/>
    <n v="282.68656716417911"/>
  </r>
  <r>
    <s v="NFX-100821"/>
    <x v="820"/>
    <s v="TV Show"/>
    <x v="3"/>
    <n v="2022"/>
    <s v="South Korea"/>
    <s v="2018-05-13"/>
    <n v="37"/>
    <s v="18+"/>
    <n v="5.4"/>
    <n v="69.900000000000006"/>
    <s v="French"/>
    <s v="Rajkumar Hirani"/>
    <s v="Emma Stone"/>
    <n v="8"/>
    <n v="5"/>
    <n v="10.6"/>
    <s v="Flop"/>
    <s v="Normal"/>
    <s v="No"/>
    <s v="Low"/>
    <n v="5.6"/>
    <n v="212"/>
  </r>
  <r>
    <s v="NFX-100822"/>
    <x v="821"/>
    <s v="TV Show"/>
    <x v="5"/>
    <n v="2000"/>
    <s v="South Korea"/>
    <s v="2019-07-02"/>
    <n v="59"/>
    <s v="18+"/>
    <n v="8.9"/>
    <n v="326.10000000000002"/>
    <s v="Japanese"/>
    <s v="Steven Spielberg"/>
    <s v="Deepika Padukone"/>
    <n v="2"/>
    <n v="194"/>
    <n v="623.1"/>
    <s v="Hit"/>
    <s v="Popular"/>
    <s v="No"/>
    <s v="High"/>
    <n v="429.1"/>
    <n v="321.18556701030928"/>
  </r>
  <r>
    <s v="NFX-100823"/>
    <x v="822"/>
    <s v="TV Show"/>
    <x v="8"/>
    <n v="2005"/>
    <s v="Canada"/>
    <s v="2022-06-02"/>
    <n v="47"/>
    <s v="G"/>
    <n v="8.6999999999999993"/>
    <n v="449.1"/>
    <s v="Korean"/>
    <s v="Denis Villeneuve"/>
    <s v="Robert Downey Jr."/>
    <n v="3"/>
    <n v="130"/>
    <n v="237.7"/>
    <s v="Hit"/>
    <s v="Blockbuster"/>
    <s v="Yes"/>
    <s v="High"/>
    <n v="107.69999999999999"/>
    <n v="182.84615384615384"/>
  </r>
  <r>
    <s v="NFX-100824"/>
    <x v="823"/>
    <s v="TV Show"/>
    <x v="2"/>
    <n v="2009"/>
    <s v="UK"/>
    <s v="2024-02-26"/>
    <n v="36"/>
    <s v="18+"/>
    <n v="9.1999999999999993"/>
    <n v="203.5"/>
    <s v="Hindi"/>
    <s v="Anurag Kashyap"/>
    <s v="Robert Downey Jr."/>
    <n v="7"/>
    <n v="100"/>
    <n v="630.9"/>
    <s v="Hit"/>
    <s v="Popular"/>
    <s v="No"/>
    <s v="High"/>
    <n v="530.9"/>
    <n v="630.9"/>
  </r>
  <r>
    <s v="NFX-100825"/>
    <x v="824"/>
    <s v="TV Show"/>
    <x v="10"/>
    <n v="2007"/>
    <s v="South Korea"/>
    <s v="2023-07-21"/>
    <n v="47"/>
    <s v="16+"/>
    <n v="5"/>
    <n v="418.7"/>
    <s v="Hindi"/>
    <s v="Christopher Nolan"/>
    <s v="Shah Rukh Khan"/>
    <n v="2"/>
    <n v="25"/>
    <n v="68.2"/>
    <s v="Flop"/>
    <s v="Blockbuster"/>
    <s v="No"/>
    <s v="Low"/>
    <n v="43.2"/>
    <n v="272.8"/>
  </r>
  <r>
    <s v="NFX-100826"/>
    <x v="825"/>
    <s v="TV Show"/>
    <x v="2"/>
    <n v="2021"/>
    <s v="India"/>
    <s v="2021-12-10"/>
    <n v="32"/>
    <s v="PG"/>
    <n v="6.2"/>
    <n v="325.2"/>
    <s v="Japanese"/>
    <s v="Greta Gerwig"/>
    <s v="Brad Pitt"/>
    <n v="6"/>
    <n v="105"/>
    <n v="192.2"/>
    <s v="Average"/>
    <s v="Popular"/>
    <s v="Yes"/>
    <s v="High"/>
    <n v="87.199999999999989"/>
    <n v="183.04761904761904"/>
  </r>
  <r>
    <s v="NFX-100827"/>
    <x v="826"/>
    <s v="TV Show"/>
    <x v="7"/>
    <n v="2015"/>
    <s v="India"/>
    <s v="2018-10-14"/>
    <n v="30"/>
    <s v="G"/>
    <n v="8.9"/>
    <n v="370.4"/>
    <s v="French"/>
    <s v="Ridley Scott"/>
    <s v="Timothée Chalamet"/>
    <n v="5"/>
    <n v="106"/>
    <n v="180.4"/>
    <s v="Hit"/>
    <s v="Popular"/>
    <s v="Yes"/>
    <s v="High"/>
    <n v="74.400000000000006"/>
    <n v="170.18867924528303"/>
  </r>
  <r>
    <s v="NFX-100828"/>
    <x v="827"/>
    <s v="TV Show"/>
    <x v="7"/>
    <n v="2011"/>
    <s v="Australia"/>
    <s v="2023-02-19"/>
    <n v="41"/>
    <s v="16+"/>
    <n v="8.6"/>
    <n v="196.3"/>
    <s v="Spanish"/>
    <s v="Martin Scorsese"/>
    <s v="Lee Jung-jae"/>
    <n v="8"/>
    <n v="59"/>
    <n v="355.8"/>
    <s v="Hit"/>
    <s v="Normal"/>
    <s v="No"/>
    <s v="Low"/>
    <n v="296.8"/>
    <n v="603.05084745762713"/>
  </r>
  <r>
    <s v="NFX-100829"/>
    <x v="828"/>
    <s v="TV Show"/>
    <x v="2"/>
    <n v="2011"/>
    <s v="India"/>
    <s v="2023-04-15"/>
    <n v="45"/>
    <s v="G"/>
    <n v="8.9"/>
    <n v="56.2"/>
    <s v="Korean"/>
    <s v="Greta Gerwig"/>
    <s v="Ranbir Kapoor"/>
    <n v="5"/>
    <n v="89"/>
    <n v="418.9"/>
    <s v="Hit"/>
    <s v="Normal"/>
    <s v="Yes"/>
    <s v="Low"/>
    <n v="329.9"/>
    <n v="470.67415730337075"/>
  </r>
  <r>
    <s v="NFX-100830"/>
    <x v="829"/>
    <s v="TV Show"/>
    <x v="0"/>
    <n v="2023"/>
    <s v="Canada"/>
    <s v="2020-08-06"/>
    <n v="45"/>
    <s v="PG-13"/>
    <n v="8.6"/>
    <n v="376.2"/>
    <s v="Spanish"/>
    <s v="Anurag Kashyap"/>
    <s v="Leonardo DiCaprio"/>
    <n v="6"/>
    <n v="149"/>
    <n v="579"/>
    <s v="Hit"/>
    <s v="Popular"/>
    <s v="No"/>
    <s v="High"/>
    <n v="430"/>
    <n v="388.59060402684565"/>
  </r>
  <r>
    <s v="NFX-100831"/>
    <x v="830"/>
    <s v="TV Show"/>
    <x v="8"/>
    <n v="2023"/>
    <s v="South Korea"/>
    <s v="2019-11-29"/>
    <n v="54"/>
    <s v="G"/>
    <n v="6.1"/>
    <n v="326.7"/>
    <s v="Korean"/>
    <s v="Sanjay Leela Bhansali"/>
    <s v="Ryan Gosling"/>
    <n v="8"/>
    <n v="22"/>
    <n v="80.2"/>
    <s v="Average"/>
    <s v="Popular"/>
    <s v="Yes"/>
    <s v="Low"/>
    <n v="58.2"/>
    <n v="364.54545454545456"/>
  </r>
  <r>
    <s v="NFX-100832"/>
    <x v="831"/>
    <s v="TV Show"/>
    <x v="1"/>
    <n v="2014"/>
    <s v="Japan"/>
    <s v="2019-04-20"/>
    <n v="47"/>
    <s v="PG-13"/>
    <n v="7.9"/>
    <n v="458.5"/>
    <s v="French"/>
    <s v="Park Chan-wook"/>
    <s v="Lee Jung-jae"/>
    <n v="7"/>
    <n v="53"/>
    <n v="220.2"/>
    <s v="Average"/>
    <s v="Blockbuster"/>
    <s v="No"/>
    <s v="Low"/>
    <n v="167.2"/>
    <n v="415.47169811320759"/>
  </r>
  <r>
    <s v="NFX-100833"/>
    <x v="832"/>
    <s v="TV Show"/>
    <x v="5"/>
    <n v="2006"/>
    <s v="Canada"/>
    <s v="2024-02-08"/>
    <n v="40"/>
    <s v="16+"/>
    <n v="7.2"/>
    <n v="131.5"/>
    <s v="French"/>
    <s v="Martin Scorsese"/>
    <s v="Lee Jung-jae"/>
    <n v="8"/>
    <n v="52"/>
    <n v="202.5"/>
    <s v="Average"/>
    <s v="Normal"/>
    <s v="No"/>
    <s v="Low"/>
    <n v="150.5"/>
    <n v="389.42307692307691"/>
  </r>
  <r>
    <s v="NFX-100834"/>
    <x v="833"/>
    <s v="TV Show"/>
    <x v="1"/>
    <n v="2010"/>
    <s v="UK"/>
    <s v="2018-01-06"/>
    <n v="48"/>
    <s v="16+"/>
    <n v="7.4"/>
    <n v="191.1"/>
    <s v="French"/>
    <s v="Martin Scorsese"/>
    <s v="Jennifer Lawrence"/>
    <n v="3"/>
    <n v="147"/>
    <n v="605.6"/>
    <s v="Average"/>
    <s v="Normal"/>
    <s v="No"/>
    <s v="High"/>
    <n v="458.6"/>
    <n v="411.97278911564626"/>
  </r>
  <r>
    <s v="NFX-100835"/>
    <x v="834"/>
    <s v="TV Show"/>
    <x v="8"/>
    <n v="2018"/>
    <s v="Australia"/>
    <s v="2023-10-07"/>
    <n v="39"/>
    <s v="PG"/>
    <n v="5.5"/>
    <n v="53.2"/>
    <s v="German"/>
    <s v="Steven Spielberg"/>
    <s v="Timothée Chalamet"/>
    <n v="5"/>
    <n v="62"/>
    <n v="225.6"/>
    <s v="Flop"/>
    <s v="Normal"/>
    <s v="Yes"/>
    <s v="Low"/>
    <n v="163.6"/>
    <n v="363.87096774193549"/>
  </r>
  <r>
    <s v="NFX-100836"/>
    <x v="835"/>
    <s v="Movie"/>
    <x v="5"/>
    <n v="2003"/>
    <s v="Spain"/>
    <s v="2018-05-11"/>
    <n v="112"/>
    <s v="PG-13"/>
    <n v="5.3"/>
    <n v="439.2"/>
    <s v="Korean"/>
    <s v="Bong Joon-ho"/>
    <s v="Shah Rukh Khan"/>
    <m/>
    <n v="195"/>
    <n v="851.3"/>
    <s v="Flop"/>
    <s v="Blockbuster"/>
    <s v="No"/>
    <s v="High"/>
    <n v="656.3"/>
    <n v="436.56410256410254"/>
  </r>
  <r>
    <s v="NFX-100837"/>
    <x v="836"/>
    <s v="Movie"/>
    <x v="0"/>
    <n v="2021"/>
    <s v="South Korea"/>
    <s v="2019-10-27"/>
    <n v="159"/>
    <s v="PG-13"/>
    <n v="6.2"/>
    <n v="12.7"/>
    <s v="Japanese"/>
    <s v="Martin Scorsese"/>
    <s v="Scarlett Johansson"/>
    <m/>
    <n v="126"/>
    <n v="566.20000000000005"/>
    <s v="Average"/>
    <s v="Normal"/>
    <s v="No"/>
    <s v="High"/>
    <n v="440.20000000000005"/>
    <n v="449.3650793650794"/>
  </r>
  <r>
    <s v="NFX-100838"/>
    <x v="837"/>
    <s v="Movie"/>
    <x v="9"/>
    <n v="2024"/>
    <s v="France"/>
    <s v="2018-06-02"/>
    <n v="96"/>
    <s v="PG-13"/>
    <n v="6.2"/>
    <n v="25.4"/>
    <s v="Korean"/>
    <s v="Denis Villeneuve"/>
    <s v="Scarlett Johansson"/>
    <m/>
    <n v="32"/>
    <n v="172.2"/>
    <s v="Average"/>
    <s v="Normal"/>
    <s v="No"/>
    <s v="Low"/>
    <n v="140.19999999999999"/>
    <n v="538.125"/>
  </r>
  <r>
    <s v="NFX-100839"/>
    <x v="838"/>
    <s v="Movie"/>
    <x v="7"/>
    <n v="2006"/>
    <s v="Australia"/>
    <s v="2024-09-27"/>
    <n v="145"/>
    <s v="G"/>
    <n v="5"/>
    <n v="390.4"/>
    <s v="German"/>
    <s v="Steven Spielberg"/>
    <s v="Shah Rukh Khan"/>
    <m/>
    <n v="190"/>
    <n v="1100.5"/>
    <s v="Flop"/>
    <s v="Popular"/>
    <s v="Yes"/>
    <s v="High"/>
    <n v="910.5"/>
    <n v="579.21052631578948"/>
  </r>
  <r>
    <s v="NFX-100840"/>
    <x v="839"/>
    <s v="Movie"/>
    <x v="0"/>
    <n v="2001"/>
    <s v="Germany"/>
    <s v="2019-07-21"/>
    <n v="93"/>
    <s v="16+"/>
    <n v="9.1999999999999993"/>
    <n v="525.5"/>
    <s v="Japanese"/>
    <s v="Quentin Tarantino"/>
    <s v="Ranbir Kapoor"/>
    <m/>
    <n v="66"/>
    <n v="251.3"/>
    <s v="Hit"/>
    <s v="Blockbuster"/>
    <s v="No"/>
    <s v="Low"/>
    <n v="185.3"/>
    <n v="380.75757575757575"/>
  </r>
  <r>
    <s v="NFX-100841"/>
    <x v="840"/>
    <s v="Movie"/>
    <x v="4"/>
    <n v="2009"/>
    <s v="UK"/>
    <s v="2020-03-16"/>
    <n v="94"/>
    <s v="PG-13"/>
    <n v="8.1"/>
    <n v="303.8"/>
    <s v="Korean"/>
    <s v="Anurag Kashyap"/>
    <s v="Ranbir Kapoor"/>
    <m/>
    <n v="26"/>
    <n v="48.3"/>
    <s v="Hit"/>
    <s v="Popular"/>
    <s v="No"/>
    <s v="Low"/>
    <n v="22.299999999999997"/>
    <n v="185.76923076923075"/>
  </r>
  <r>
    <s v="NFX-100842"/>
    <x v="841"/>
    <s v="TV Show"/>
    <x v="5"/>
    <n v="2004"/>
    <s v="Australia"/>
    <s v="2021-06-03"/>
    <n v="54"/>
    <s v="16+"/>
    <n v="7.7"/>
    <n v="539.70000000000005"/>
    <s v="Japanese"/>
    <s v="Rajkumar Hirani"/>
    <s v="Shah Rukh Khan"/>
    <n v="3"/>
    <n v="158"/>
    <n v="718"/>
    <s v="Average"/>
    <s v="Blockbuster"/>
    <s v="No"/>
    <s v="High"/>
    <n v="560"/>
    <n v="454.43037974683546"/>
  </r>
  <r>
    <s v="NFX-100843"/>
    <x v="842"/>
    <s v="Movie"/>
    <x v="5"/>
    <n v="2002"/>
    <s v="India"/>
    <s v="2020-04-23"/>
    <n v="107"/>
    <s v="18+"/>
    <n v="9"/>
    <n v="459.9"/>
    <s v="Korean"/>
    <s v="Steven Spielberg"/>
    <s v="Robert Downey Jr."/>
    <m/>
    <n v="128"/>
    <n v="374.5"/>
    <s v="Hit"/>
    <s v="Blockbuster"/>
    <s v="No"/>
    <s v="High"/>
    <n v="246.5"/>
    <n v="292.578125"/>
  </r>
  <r>
    <s v="NFX-100844"/>
    <x v="843"/>
    <s v="TV Show"/>
    <x v="7"/>
    <n v="2008"/>
    <s v="Australia"/>
    <s v="2024-08-13"/>
    <n v="49"/>
    <s v="PG-13"/>
    <n v="7.4"/>
    <n v="41.7"/>
    <s v="Japanese"/>
    <s v="Anurag Kashyap"/>
    <s v="Timothée Chalamet"/>
    <n v="4"/>
    <n v="163"/>
    <n v="1058.5999999999999"/>
    <s v="Average"/>
    <s v="Normal"/>
    <s v="No"/>
    <s v="High"/>
    <n v="895.59999999999991"/>
    <n v="649.44785276073617"/>
  </r>
  <r>
    <s v="NFX-100845"/>
    <x v="844"/>
    <s v="TV Show"/>
    <x v="7"/>
    <n v="2020"/>
    <s v="India"/>
    <s v="2021-05-22"/>
    <n v="30"/>
    <s v="G"/>
    <n v="7"/>
    <n v="225.9"/>
    <s v="Korean"/>
    <s v="Denis Villeneuve"/>
    <s v="Tom Hardy"/>
    <n v="5"/>
    <n v="112"/>
    <n v="719.5"/>
    <s v="Average"/>
    <s v="Popular"/>
    <s v="Yes"/>
    <s v="High"/>
    <n v="607.5"/>
    <n v="642.41071428571433"/>
  </r>
  <r>
    <s v="NFX-100846"/>
    <x v="845"/>
    <s v="Movie"/>
    <x v="4"/>
    <n v="2016"/>
    <s v="Spain"/>
    <s v="2022-12-25"/>
    <n v="173"/>
    <s v="PG-13"/>
    <n v="7.4"/>
    <n v="14.6"/>
    <s v="German"/>
    <s v="Rajkumar Hirani"/>
    <s v="Timothée Chalamet"/>
    <m/>
    <n v="43"/>
    <n v="231.9"/>
    <s v="Average"/>
    <s v="Normal"/>
    <s v="No"/>
    <s v="Low"/>
    <n v="188.9"/>
    <n v="539.30232558139539"/>
  </r>
  <r>
    <s v="NFX-100847"/>
    <x v="846"/>
    <s v="TV Show"/>
    <x v="10"/>
    <n v="2009"/>
    <s v="Spain"/>
    <s v="2020-06-01"/>
    <n v="49"/>
    <s v="PG"/>
    <n v="5.0999999999999996"/>
    <n v="409.6"/>
    <s v="Korean"/>
    <s v="Martin Scorsese"/>
    <s v="Tom Hardy"/>
    <n v="6"/>
    <n v="12"/>
    <n v="70.2"/>
    <s v="Flop"/>
    <s v="Blockbuster"/>
    <s v="Yes"/>
    <s v="Low"/>
    <n v="58.2"/>
    <n v="585"/>
  </r>
  <r>
    <s v="NFX-100848"/>
    <x v="847"/>
    <s v="TV Show"/>
    <x v="6"/>
    <n v="2020"/>
    <s v="Spain"/>
    <s v="2023-04-15"/>
    <n v="44"/>
    <s v="PG"/>
    <n v="8.5"/>
    <n v="376.9"/>
    <s v="French"/>
    <s v="Quentin Tarantino"/>
    <s v="Scarlett Johansson"/>
    <n v="6"/>
    <n v="139"/>
    <n v="298.5"/>
    <s v="Hit"/>
    <s v="Popular"/>
    <s v="Yes"/>
    <s v="High"/>
    <n v="159.5"/>
    <n v="214.74820143884892"/>
  </r>
  <r>
    <s v="NFX-100849"/>
    <x v="848"/>
    <s v="Movie"/>
    <x v="2"/>
    <n v="2018"/>
    <s v="USA"/>
    <s v="2018-08-18"/>
    <n v="179"/>
    <s v="16+"/>
    <n v="6.8"/>
    <n v="508.9"/>
    <s v="German"/>
    <s v="Quentin Tarantino"/>
    <s v="Ranbir Kapoor"/>
    <m/>
    <n v="143"/>
    <n v="859.3"/>
    <s v="Average"/>
    <s v="Blockbuster"/>
    <s v="No"/>
    <s v="High"/>
    <n v="716.3"/>
    <n v="600.90909090909088"/>
  </r>
  <r>
    <s v="NFX-100850"/>
    <x v="849"/>
    <s v="Movie"/>
    <x v="6"/>
    <n v="2018"/>
    <s v="Japan"/>
    <s v="2021-12-04"/>
    <n v="129"/>
    <s v="18+"/>
    <n v="9.4"/>
    <n v="363.8"/>
    <s v="Spanish"/>
    <s v="Park Chan-wook"/>
    <s v="Brad Pitt"/>
    <m/>
    <n v="73"/>
    <n v="92.4"/>
    <s v="Hit"/>
    <s v="Popular"/>
    <s v="No"/>
    <s v="Low"/>
    <n v="19.400000000000006"/>
    <n v="126.57534246575344"/>
  </r>
  <r>
    <s v="NFX-100851"/>
    <x v="850"/>
    <s v="TV Show"/>
    <x v="1"/>
    <n v="2001"/>
    <s v="Spain"/>
    <s v="2023-04-03"/>
    <n v="43"/>
    <s v="18+"/>
    <n v="5.9"/>
    <n v="429.4"/>
    <s v="English"/>
    <s v="Steven Spielberg"/>
    <s v="Ryan Gosling"/>
    <n v="5"/>
    <n v="98"/>
    <n v="148.1"/>
    <s v="Flop"/>
    <s v="Blockbuster"/>
    <s v="No"/>
    <s v="Low"/>
    <n v="50.099999999999994"/>
    <n v="151.12244897959184"/>
  </r>
  <r>
    <s v="NFX-100852"/>
    <x v="851"/>
    <s v="Movie"/>
    <x v="9"/>
    <n v="2000"/>
    <s v="South Korea"/>
    <s v="2019-03-28"/>
    <n v="147"/>
    <s v="18+"/>
    <n v="6.3"/>
    <n v="153.4"/>
    <s v="Spanish"/>
    <s v="Denis Villeneuve"/>
    <s v="Shah Rukh Khan"/>
    <m/>
    <n v="174"/>
    <n v="986.3"/>
    <s v="Average"/>
    <s v="Normal"/>
    <s v="No"/>
    <s v="High"/>
    <n v="812.3"/>
    <n v="566.83908045977012"/>
  </r>
  <r>
    <s v="NFX-100853"/>
    <x v="852"/>
    <s v="Movie"/>
    <x v="4"/>
    <n v="2007"/>
    <s v="Australia"/>
    <s v="2024-03-10"/>
    <n v="142"/>
    <s v="PG-13"/>
    <n v="8.8000000000000007"/>
    <n v="71.099999999999994"/>
    <s v="Spanish"/>
    <s v="Christopher Nolan"/>
    <s v="Jennifer Lawrence"/>
    <m/>
    <n v="50"/>
    <n v="131.69999999999999"/>
    <s v="Hit"/>
    <s v="Normal"/>
    <s v="No"/>
    <s v="Low"/>
    <n v="81.699999999999989"/>
    <n v="263.39999999999998"/>
  </r>
  <r>
    <s v="NFX-100854"/>
    <x v="853"/>
    <s v="Movie"/>
    <x v="9"/>
    <n v="2020"/>
    <s v="Germany"/>
    <s v="2021-12-13"/>
    <n v="143"/>
    <s v="16+"/>
    <n v="8.1"/>
    <n v="431.1"/>
    <s v="Japanese"/>
    <s v="Ridley Scott"/>
    <s v="Song Kang-ho"/>
    <m/>
    <n v="180"/>
    <n v="993.3"/>
    <s v="Hit"/>
    <s v="Blockbuster"/>
    <s v="No"/>
    <s v="High"/>
    <n v="813.3"/>
    <n v="551.83333333333326"/>
  </r>
  <r>
    <s v="NFX-100855"/>
    <x v="854"/>
    <s v="TV Show"/>
    <x v="4"/>
    <n v="2000"/>
    <s v="Spain"/>
    <s v="2018-01-04"/>
    <n v="45"/>
    <s v="G"/>
    <n v="5.5"/>
    <n v="82.1"/>
    <s v="German"/>
    <s v="Bong Joon-ho"/>
    <s v="Ranbir Kapoor"/>
    <n v="4"/>
    <n v="90"/>
    <n v="529.6"/>
    <s v="Flop"/>
    <s v="Normal"/>
    <s v="Yes"/>
    <s v="Low"/>
    <n v="439.6"/>
    <n v="588.44444444444446"/>
  </r>
  <r>
    <s v="NFX-100856"/>
    <x v="855"/>
    <s v="TV Show"/>
    <x v="2"/>
    <n v="2021"/>
    <s v="UK"/>
    <s v="2021-09-06"/>
    <n v="30"/>
    <s v="PG-13"/>
    <n v="7.7"/>
    <n v="579.79999999999995"/>
    <s v="English"/>
    <s v="Guillermo del Toro"/>
    <s v="Scarlett Johansson"/>
    <n v="5"/>
    <n v="97"/>
    <n v="372.5"/>
    <s v="Average"/>
    <s v="Blockbuster"/>
    <s v="No"/>
    <s v="Low"/>
    <n v="275.5"/>
    <n v="384.02061855670104"/>
  </r>
  <r>
    <s v="NFX-100857"/>
    <x v="856"/>
    <s v="Movie"/>
    <x v="8"/>
    <n v="2025"/>
    <s v="Spain"/>
    <s v="2023-02-12"/>
    <n v="161"/>
    <s v="PG-13"/>
    <n v="7.3"/>
    <n v="408.3"/>
    <s v="German"/>
    <s v="Christopher Nolan"/>
    <s v="Lee Jung-jae"/>
    <m/>
    <n v="164"/>
    <n v="659.3"/>
    <s v="Average"/>
    <s v="Blockbuster"/>
    <s v="No"/>
    <s v="High"/>
    <n v="495.29999999999995"/>
    <n v="402.01219512195115"/>
  </r>
  <r>
    <s v="NFX-100858"/>
    <x v="857"/>
    <s v="TV Show"/>
    <x v="4"/>
    <n v="2022"/>
    <s v="Germany"/>
    <s v="2024-07-30"/>
    <n v="43"/>
    <s v="16+"/>
    <n v="5"/>
    <n v="3"/>
    <s v="Spanish"/>
    <s v="James Cameron"/>
    <s v="Robert Downey Jr."/>
    <n v="4"/>
    <n v="161"/>
    <n v="606.79999999999995"/>
    <s v="Flop"/>
    <s v="Normal"/>
    <s v="No"/>
    <s v="High"/>
    <n v="445.79999999999995"/>
    <n v="376.89440993788821"/>
  </r>
  <r>
    <s v="NFX-100859"/>
    <x v="858"/>
    <s v="Movie"/>
    <x v="2"/>
    <n v="2025"/>
    <s v="Japan"/>
    <s v="2024-03-23"/>
    <n v="82"/>
    <s v="16+"/>
    <n v="7.1"/>
    <n v="233.2"/>
    <s v="English"/>
    <s v="Martin Scorsese"/>
    <s v="Deepika Padukone"/>
    <m/>
    <n v="86"/>
    <n v="343.5"/>
    <s v="Average"/>
    <s v="Popular"/>
    <s v="No"/>
    <s v="Low"/>
    <n v="257.5"/>
    <n v="399.41860465116281"/>
  </r>
  <r>
    <s v="NFX-100860"/>
    <x v="859"/>
    <s v="Movie"/>
    <x v="4"/>
    <n v="2009"/>
    <s v="Germany"/>
    <s v="2018-05-15"/>
    <n v="106"/>
    <s v="18+"/>
    <n v="7.8"/>
    <n v="594.79999999999995"/>
    <s v="Spanish"/>
    <s v="Quentin Tarantino"/>
    <s v="Robert Downey Jr."/>
    <m/>
    <n v="14"/>
    <n v="54"/>
    <s v="Average"/>
    <s v="Blockbuster"/>
    <s v="No"/>
    <s v="Low"/>
    <n v="40"/>
    <n v="385.71428571428572"/>
  </r>
  <r>
    <s v="NFX-100861"/>
    <x v="860"/>
    <s v="TV Show"/>
    <x v="3"/>
    <n v="2018"/>
    <s v="Germany"/>
    <s v="2023-03-12"/>
    <n v="43"/>
    <s v="PG"/>
    <n v="8"/>
    <n v="242.4"/>
    <s v="English"/>
    <s v="Greta Gerwig"/>
    <s v="Jennifer Lawrence"/>
    <n v="1"/>
    <n v="99"/>
    <n v="155.6"/>
    <s v="Hit"/>
    <s v="Popular"/>
    <s v="Yes"/>
    <s v="Low"/>
    <n v="56.599999999999994"/>
    <n v="157.17171717171715"/>
  </r>
  <r>
    <s v="NFX-100862"/>
    <x v="861"/>
    <s v="Movie"/>
    <x v="4"/>
    <n v="2023"/>
    <s v="USA"/>
    <s v="2020-03-26"/>
    <n v="112"/>
    <s v="PG"/>
    <n v="7.7"/>
    <n v="584.9"/>
    <s v="Korean"/>
    <s v="James Cameron"/>
    <s v="Chris Evans"/>
    <m/>
    <n v="157"/>
    <n v="605.4"/>
    <s v="Average"/>
    <s v="Blockbuster"/>
    <s v="Yes"/>
    <s v="High"/>
    <n v="448.4"/>
    <n v="385.60509554140128"/>
  </r>
  <r>
    <s v="NFX-100863"/>
    <x v="862"/>
    <s v="TV Show"/>
    <x v="9"/>
    <n v="2005"/>
    <s v="Canada"/>
    <s v="2019-12-12"/>
    <n v="51"/>
    <s v="18+"/>
    <n v="4.8"/>
    <n v="46.8"/>
    <s v="Japanese"/>
    <s v="James Cameron"/>
    <s v="Robert Downey Jr."/>
    <n v="8"/>
    <n v="92"/>
    <n v="172.7"/>
    <s v="Flop"/>
    <s v="Normal"/>
    <s v="No"/>
    <s v="Low"/>
    <n v="80.699999999999989"/>
    <n v="187.71739130434781"/>
  </r>
  <r>
    <s v="NFX-100864"/>
    <x v="863"/>
    <s v="TV Show"/>
    <x v="5"/>
    <n v="2021"/>
    <s v="Australia"/>
    <s v="2018-09-21"/>
    <n v="57"/>
    <s v="G"/>
    <n v="7.9"/>
    <n v="459.2"/>
    <s v="Korean"/>
    <s v="Anurag Kashyap"/>
    <s v="Robert Downey Jr."/>
    <n v="6"/>
    <n v="109"/>
    <n v="513.1"/>
    <s v="Average"/>
    <s v="Blockbuster"/>
    <s v="Yes"/>
    <s v="High"/>
    <n v="404.1"/>
    <n v="470.73394495412845"/>
  </r>
  <r>
    <s v="NFX-100865"/>
    <x v="864"/>
    <s v="TV Show"/>
    <x v="4"/>
    <n v="2008"/>
    <s v="Spain"/>
    <s v="2020-07-26"/>
    <n v="38"/>
    <s v="G"/>
    <n v="8.9"/>
    <n v="219.5"/>
    <s v="Hindi"/>
    <s v="Bong Joon-ho"/>
    <s v="Leonardo DiCaprio"/>
    <n v="6"/>
    <n v="91"/>
    <n v="455.3"/>
    <s v="Hit"/>
    <s v="Popular"/>
    <s v="Yes"/>
    <s v="Low"/>
    <n v="364.3"/>
    <n v="500.32967032967031"/>
  </r>
  <r>
    <s v="NFX-100866"/>
    <x v="865"/>
    <s v="TV Show"/>
    <x v="10"/>
    <n v="2022"/>
    <s v="South Korea"/>
    <s v="2018-04-13"/>
    <n v="59"/>
    <s v="G"/>
    <n v="6.1"/>
    <n v="60.3"/>
    <s v="Spanish"/>
    <s v="Denis Villeneuve"/>
    <s v="Tom Hardy"/>
    <n v="4"/>
    <n v="67"/>
    <n v="83.5"/>
    <s v="Average"/>
    <s v="Normal"/>
    <s v="Yes"/>
    <s v="Low"/>
    <n v="16.5"/>
    <n v="124.62686567164178"/>
  </r>
  <r>
    <s v="NFX-100867"/>
    <x v="866"/>
    <s v="TV Show"/>
    <x v="5"/>
    <n v="2008"/>
    <s v="France"/>
    <s v="2019-12-01"/>
    <n v="53"/>
    <s v="16+"/>
    <n v="4.7"/>
    <n v="493.4"/>
    <s v="Spanish"/>
    <s v="Steven Spielberg"/>
    <s v="Ranbir Kapoor"/>
    <n v="3"/>
    <n v="152"/>
    <n v="470.1"/>
    <s v="Flop"/>
    <s v="Blockbuster"/>
    <s v="No"/>
    <s v="High"/>
    <n v="318.10000000000002"/>
    <n v="309.2763157894737"/>
  </r>
  <r>
    <s v="NFX-100868"/>
    <x v="867"/>
    <s v="Movie"/>
    <x v="1"/>
    <n v="2005"/>
    <s v="Japan"/>
    <s v="2020-07-18"/>
    <n v="163"/>
    <s v="PG"/>
    <n v="7.6"/>
    <n v="53.5"/>
    <s v="Spanish"/>
    <s v="Sanjay Leela Bhansali"/>
    <s v="Robert Downey Jr."/>
    <m/>
    <n v="73"/>
    <n v="161.80000000000001"/>
    <s v="Average"/>
    <s v="Normal"/>
    <s v="Yes"/>
    <s v="Low"/>
    <n v="88.800000000000011"/>
    <n v="221.64383561643839"/>
  </r>
  <r>
    <s v="NFX-100869"/>
    <x v="868"/>
    <s v="TV Show"/>
    <x v="5"/>
    <n v="2007"/>
    <s v="Spain"/>
    <s v="2019-10-30"/>
    <n v="47"/>
    <s v="16+"/>
    <n v="8.1"/>
    <n v="366.3"/>
    <s v="German"/>
    <s v="Martin Scorsese"/>
    <s v="Chris Evans"/>
    <n v="7"/>
    <n v="72"/>
    <n v="442.2"/>
    <s v="Hit"/>
    <s v="Popular"/>
    <s v="No"/>
    <s v="Low"/>
    <n v="370.2"/>
    <n v="614.16666666666663"/>
  </r>
  <r>
    <s v="NFX-100870"/>
    <x v="869"/>
    <s v="Movie"/>
    <x v="0"/>
    <n v="2020"/>
    <s v="Japan"/>
    <s v="2018-03-13"/>
    <n v="163"/>
    <s v="PG"/>
    <n v="9.5"/>
    <n v="547.20000000000005"/>
    <s v="French"/>
    <s v="Christopher Nolan"/>
    <s v="Ryan Gosling"/>
    <m/>
    <n v="53"/>
    <n v="123.1"/>
    <s v="Hit"/>
    <s v="Blockbuster"/>
    <s v="Yes"/>
    <s v="Low"/>
    <n v="70.099999999999994"/>
    <n v="232.2641509433962"/>
  </r>
  <r>
    <s v="NFX-100871"/>
    <x v="870"/>
    <s v="TV Show"/>
    <x v="4"/>
    <n v="2006"/>
    <s v="South Korea"/>
    <s v="2024-08-18"/>
    <n v="55"/>
    <s v="18+"/>
    <n v="5.8"/>
    <n v="145.30000000000001"/>
    <s v="Hindi"/>
    <s v="Guillermo del Toro"/>
    <s v="Jennifer Lawrence"/>
    <n v="5"/>
    <n v="81"/>
    <n v="157.1"/>
    <s v="Flop"/>
    <s v="Normal"/>
    <s v="No"/>
    <s v="Low"/>
    <n v="76.099999999999994"/>
    <n v="193.95061728395061"/>
  </r>
  <r>
    <s v="NFX-100872"/>
    <x v="871"/>
    <s v="Movie"/>
    <x v="6"/>
    <n v="2003"/>
    <s v="India"/>
    <s v="2018-10-24"/>
    <n v="151"/>
    <s v="PG-13"/>
    <n v="9"/>
    <n v="271.7"/>
    <s v="French"/>
    <s v="Anurag Kashyap"/>
    <s v="Shah Rukh Khan"/>
    <m/>
    <n v="61"/>
    <n v="201.1"/>
    <s v="Hit"/>
    <s v="Popular"/>
    <s v="No"/>
    <s v="Low"/>
    <n v="140.1"/>
    <n v="329.67213114754099"/>
  </r>
  <r>
    <s v="NFX-100873"/>
    <x v="872"/>
    <s v="TV Show"/>
    <x v="6"/>
    <n v="2005"/>
    <s v="USA"/>
    <s v="2023-09-04"/>
    <n v="43"/>
    <s v="16+"/>
    <n v="8.3000000000000007"/>
    <n v="565.9"/>
    <s v="Hindi"/>
    <s v="Christopher Nolan"/>
    <s v="Ranbir Kapoor"/>
    <n v="4"/>
    <n v="193"/>
    <n v="1009.1"/>
    <s v="Hit"/>
    <s v="Blockbuster"/>
    <s v="No"/>
    <s v="High"/>
    <n v="816.1"/>
    <n v="522.84974093264248"/>
  </r>
  <r>
    <s v="NFX-100874"/>
    <x v="873"/>
    <s v="Movie"/>
    <x v="5"/>
    <n v="2011"/>
    <s v="France"/>
    <s v="2021-12-19"/>
    <n v="134"/>
    <s v="PG"/>
    <n v="8.5"/>
    <n v="410.5"/>
    <s v="English"/>
    <s v="Park Chan-wook"/>
    <s v="Jennifer Lawrence"/>
    <m/>
    <n v="128"/>
    <n v="726.7"/>
    <s v="Hit"/>
    <s v="Blockbuster"/>
    <s v="Yes"/>
    <s v="High"/>
    <n v="598.70000000000005"/>
    <n v="567.734375"/>
  </r>
  <r>
    <s v="NFX-100875"/>
    <x v="874"/>
    <s v="Movie"/>
    <x v="0"/>
    <n v="2009"/>
    <s v="South Korea"/>
    <s v="2020-07-05"/>
    <n v="102"/>
    <s v="PG-13"/>
    <n v="5"/>
    <n v="528.20000000000005"/>
    <s v="French"/>
    <s v="Rajkumar Hirani"/>
    <s v="Emma Stone"/>
    <m/>
    <n v="159"/>
    <n v="729.3"/>
    <s v="Flop"/>
    <s v="Blockbuster"/>
    <s v="No"/>
    <s v="High"/>
    <n v="570.29999999999995"/>
    <n v="458.67924528301887"/>
  </r>
  <r>
    <s v="NFX-100876"/>
    <x v="875"/>
    <s v="Movie"/>
    <x v="4"/>
    <n v="2023"/>
    <s v="South Korea"/>
    <s v="2022-05-26"/>
    <n v="149"/>
    <s v="16+"/>
    <n v="7.2"/>
    <n v="439.4"/>
    <s v="French"/>
    <s v="Ridley Scott"/>
    <s v="Leonardo DiCaprio"/>
    <m/>
    <n v="66"/>
    <n v="312.8"/>
    <s v="Average"/>
    <s v="Blockbuster"/>
    <s v="No"/>
    <s v="Low"/>
    <n v="246.8"/>
    <n v="473.93939393939394"/>
  </r>
  <r>
    <s v="NFX-100877"/>
    <x v="876"/>
    <s v="Movie"/>
    <x v="6"/>
    <n v="2019"/>
    <s v="Spain"/>
    <s v="2023-08-07"/>
    <n v="106"/>
    <s v="16+"/>
    <n v="8.3000000000000007"/>
    <n v="7"/>
    <s v="German"/>
    <s v="Christopher Nolan"/>
    <s v="Timothée Chalamet"/>
    <m/>
    <n v="184"/>
    <n v="415.3"/>
    <s v="Hit"/>
    <s v="Normal"/>
    <s v="No"/>
    <s v="High"/>
    <n v="231.3"/>
    <n v="225.70652173913044"/>
  </r>
  <r>
    <s v="NFX-100878"/>
    <x v="877"/>
    <s v="TV Show"/>
    <x v="1"/>
    <n v="2012"/>
    <s v="Canada"/>
    <s v="2019-09-21"/>
    <n v="43"/>
    <s v="PG-13"/>
    <n v="7.8"/>
    <n v="333.8"/>
    <s v="German"/>
    <s v="Martin Scorsese"/>
    <s v="Deepika Padukone"/>
    <n v="1"/>
    <n v="27"/>
    <n v="143.69999999999999"/>
    <s v="Average"/>
    <s v="Popular"/>
    <s v="No"/>
    <s v="Low"/>
    <n v="116.69999999999999"/>
    <n v="532.22222222222217"/>
  </r>
  <r>
    <s v="NFX-100879"/>
    <x v="878"/>
    <s v="Movie"/>
    <x v="8"/>
    <n v="2014"/>
    <s v="Australia"/>
    <s v="2022-04-29"/>
    <n v="175"/>
    <s v="PG"/>
    <n v="8.4"/>
    <n v="253.3"/>
    <s v="English"/>
    <s v="Denis Villeneuve"/>
    <s v="Shah Rukh Khan"/>
    <m/>
    <n v="51"/>
    <n v="307.89999999999998"/>
    <s v="Hit"/>
    <s v="Popular"/>
    <s v="Yes"/>
    <s v="Low"/>
    <n v="256.89999999999998"/>
    <n v="603.72549019607845"/>
  </r>
  <r>
    <s v="NFX-100880"/>
    <x v="879"/>
    <s v="Movie"/>
    <x v="3"/>
    <n v="2018"/>
    <s v="Canada"/>
    <s v="2020-12-09"/>
    <n v="132"/>
    <s v="18+"/>
    <n v="8.1"/>
    <n v="197.1"/>
    <s v="French"/>
    <s v="Denis Villeneuve"/>
    <s v="Leonardo DiCaprio"/>
    <m/>
    <n v="56"/>
    <n v="232.8"/>
    <s v="Hit"/>
    <s v="Normal"/>
    <s v="No"/>
    <s v="Low"/>
    <n v="176.8"/>
    <n v="415.71428571428572"/>
  </r>
  <r>
    <s v="NFX-100881"/>
    <x v="880"/>
    <s v="TV Show"/>
    <x v="0"/>
    <n v="2013"/>
    <s v="Canada"/>
    <s v="2024-07-11"/>
    <n v="53"/>
    <s v="18+"/>
    <n v="6.8"/>
    <n v="201.6"/>
    <s v="Japanese"/>
    <s v="Park Chan-wook"/>
    <s v="Tom Hardy"/>
    <n v="2"/>
    <n v="88"/>
    <n v="542.5"/>
    <s v="Average"/>
    <s v="Popular"/>
    <s v="No"/>
    <s v="Low"/>
    <n v="454.5"/>
    <n v="616.47727272727275"/>
  </r>
  <r>
    <s v="NFX-100882"/>
    <x v="881"/>
    <s v="TV Show"/>
    <x v="3"/>
    <n v="2012"/>
    <s v="USA"/>
    <s v="2022-06-28"/>
    <n v="57"/>
    <s v="G"/>
    <n v="8.1999999999999993"/>
    <n v="557.4"/>
    <s v="Japanese"/>
    <s v="Steven Spielberg"/>
    <s v="Deepika Padukone"/>
    <n v="3"/>
    <n v="116"/>
    <n v="411.4"/>
    <s v="Hit"/>
    <s v="Blockbuster"/>
    <s v="Yes"/>
    <s v="High"/>
    <n v="295.39999999999998"/>
    <n v="354.65517241379308"/>
  </r>
  <r>
    <s v="NFX-100883"/>
    <x v="882"/>
    <s v="TV Show"/>
    <x v="9"/>
    <n v="2005"/>
    <s v="South Korea"/>
    <s v="2021-09-05"/>
    <n v="42"/>
    <s v="18+"/>
    <n v="6.4"/>
    <n v="289.2"/>
    <s v="French"/>
    <s v="Martin Scorsese"/>
    <s v="Brad Pitt"/>
    <n v="7"/>
    <n v="13"/>
    <n v="48.4"/>
    <s v="Average"/>
    <s v="Popular"/>
    <s v="No"/>
    <s v="Low"/>
    <n v="35.4"/>
    <n v="372.30769230769232"/>
  </r>
  <r>
    <s v="NFX-100884"/>
    <x v="883"/>
    <s v="Movie"/>
    <x v="4"/>
    <n v="2017"/>
    <s v="Japan"/>
    <s v="2023-06-07"/>
    <n v="168"/>
    <s v="16+"/>
    <n v="8.1"/>
    <n v="147.4"/>
    <s v="Hindi"/>
    <s v="Ridley Scott"/>
    <s v="Song Kang-ho"/>
    <m/>
    <n v="79"/>
    <n v="504.7"/>
    <s v="Hit"/>
    <s v="Normal"/>
    <s v="No"/>
    <s v="Low"/>
    <n v="425.7"/>
    <n v="638.86075949367091"/>
  </r>
  <r>
    <s v="NFX-100885"/>
    <x v="884"/>
    <s v="Movie"/>
    <x v="8"/>
    <n v="2004"/>
    <s v="France"/>
    <s v="2018-03-24"/>
    <n v="175"/>
    <s v="PG-13"/>
    <n v="8.3000000000000007"/>
    <n v="200.8"/>
    <s v="Spanish"/>
    <s v="Denis Villeneuve"/>
    <s v="Leonardo DiCaprio"/>
    <m/>
    <n v="188"/>
    <n v="709.7"/>
    <s v="Hit"/>
    <s v="Popular"/>
    <s v="No"/>
    <s v="High"/>
    <n v="521.70000000000005"/>
    <n v="377.50000000000006"/>
  </r>
  <r>
    <s v="NFX-100886"/>
    <x v="885"/>
    <s v="TV Show"/>
    <x v="2"/>
    <n v="2022"/>
    <s v="South Korea"/>
    <s v="2024-02-18"/>
    <n v="38"/>
    <s v="PG"/>
    <n v="4.7"/>
    <n v="10"/>
    <s v="Spanish"/>
    <s v="Park Chan-wook"/>
    <s v="Tom Hardy"/>
    <n v="1"/>
    <n v="10"/>
    <n v="51.5"/>
    <s v="Flop"/>
    <s v="Normal"/>
    <s v="Yes"/>
    <s v="Low"/>
    <n v="41.5"/>
    <n v="515"/>
  </r>
  <r>
    <s v="NFX-100887"/>
    <x v="886"/>
    <s v="Movie"/>
    <x v="9"/>
    <n v="2004"/>
    <s v="France"/>
    <s v="2024-09-25"/>
    <n v="140"/>
    <s v="G"/>
    <n v="5.5"/>
    <n v="321.3"/>
    <s v="Korean"/>
    <s v="Zoya Akhtar"/>
    <s v="Ryan Gosling"/>
    <m/>
    <n v="100"/>
    <n v="418.4"/>
    <s v="Flop"/>
    <s v="Popular"/>
    <s v="Yes"/>
    <s v="High"/>
    <n v="318.39999999999998"/>
    <n v="418.40000000000003"/>
  </r>
  <r>
    <s v="NFX-100888"/>
    <x v="887"/>
    <s v="Movie"/>
    <x v="8"/>
    <n v="2009"/>
    <s v="UK"/>
    <s v="2019-11-26"/>
    <n v="93"/>
    <s v="16+"/>
    <n v="6.6"/>
    <n v="557.70000000000005"/>
    <s v="Japanese"/>
    <s v="Park Chan-wook"/>
    <s v="Shah Rukh Khan"/>
    <m/>
    <n v="114"/>
    <n v="645.29999999999995"/>
    <s v="Average"/>
    <s v="Blockbuster"/>
    <s v="No"/>
    <s v="High"/>
    <n v="531.29999999999995"/>
    <n v="566.0526315789474"/>
  </r>
  <r>
    <s v="NFX-100889"/>
    <x v="888"/>
    <s v="TV Show"/>
    <x v="4"/>
    <n v="2012"/>
    <s v="Germany"/>
    <s v="2023-07-22"/>
    <n v="36"/>
    <s v="PG"/>
    <n v="7.4"/>
    <n v="179.2"/>
    <s v="Hindi"/>
    <s v="Guillermo del Toro"/>
    <s v="Lee Jung-jae"/>
    <n v="1"/>
    <n v="101"/>
    <n v="435.5"/>
    <s v="Average"/>
    <s v="Normal"/>
    <s v="Yes"/>
    <s v="High"/>
    <n v="334.5"/>
    <n v="431.18811881188117"/>
  </r>
  <r>
    <s v="NFX-100890"/>
    <x v="889"/>
    <s v="TV Show"/>
    <x v="1"/>
    <n v="2015"/>
    <s v="Germany"/>
    <s v="2022-04-11"/>
    <n v="40"/>
    <s v="PG"/>
    <n v="6.4"/>
    <n v="151.6"/>
    <s v="German"/>
    <s v="Martin Scorsese"/>
    <s v="Ryan Gosling"/>
    <n v="8"/>
    <n v="31"/>
    <n v="78.8"/>
    <s v="Average"/>
    <s v="Normal"/>
    <s v="Yes"/>
    <s v="Low"/>
    <n v="47.8"/>
    <n v="254.19354838709677"/>
  </r>
  <r>
    <s v="NFX-100891"/>
    <x v="890"/>
    <s v="Movie"/>
    <x v="5"/>
    <n v="2018"/>
    <s v="France"/>
    <s v="2021-11-23"/>
    <n v="160"/>
    <s v="G"/>
    <n v="8.3000000000000007"/>
    <n v="195.1"/>
    <s v="Korean"/>
    <s v="Ridley Scott"/>
    <s v="Timothée Chalamet"/>
    <m/>
    <n v="55"/>
    <n v="287.2"/>
    <s v="Hit"/>
    <s v="Normal"/>
    <s v="Yes"/>
    <s v="Low"/>
    <n v="232.2"/>
    <n v="522.18181818181813"/>
  </r>
  <r>
    <s v="NFX-100892"/>
    <x v="891"/>
    <s v="TV Show"/>
    <x v="1"/>
    <n v="2011"/>
    <s v="Spain"/>
    <s v="2024-09-18"/>
    <n v="55"/>
    <s v="16+"/>
    <n v="9.5"/>
    <n v="271.89999999999998"/>
    <s v="German"/>
    <s v="Park Chan-wook"/>
    <s v="Robert Downey Jr."/>
    <n v="3"/>
    <n v="159"/>
    <n v="401.4"/>
    <s v="Hit"/>
    <s v="Popular"/>
    <s v="No"/>
    <s v="High"/>
    <n v="242.39999999999998"/>
    <n v="252.4528301886792"/>
  </r>
  <r>
    <s v="NFX-100893"/>
    <x v="892"/>
    <s v="TV Show"/>
    <x v="1"/>
    <n v="2016"/>
    <s v="India"/>
    <s v="2024-10-14"/>
    <n v="54"/>
    <s v="18+"/>
    <n v="5"/>
    <n v="56.8"/>
    <s v="German"/>
    <s v="Bong Joon-ho"/>
    <s v="Deepika Padukone"/>
    <n v="1"/>
    <n v="91"/>
    <n v="581.6"/>
    <s v="Flop"/>
    <s v="Normal"/>
    <s v="No"/>
    <s v="Low"/>
    <n v="490.6"/>
    <n v="639.12087912087918"/>
  </r>
  <r>
    <s v="NFX-100894"/>
    <x v="893"/>
    <s v="Movie"/>
    <x v="3"/>
    <n v="2017"/>
    <s v="UK"/>
    <s v="2024-09-27"/>
    <n v="144"/>
    <s v="16+"/>
    <n v="7.9"/>
    <n v="501.6"/>
    <s v="English"/>
    <s v="Anurag Kashyap"/>
    <s v="Tom Hardy"/>
    <m/>
    <n v="184"/>
    <n v="331.4"/>
    <s v="Average"/>
    <s v="Blockbuster"/>
    <s v="No"/>
    <s v="High"/>
    <n v="147.39999999999998"/>
    <n v="180.10869565217391"/>
  </r>
  <r>
    <s v="NFX-100895"/>
    <x v="894"/>
    <s v="Movie"/>
    <x v="5"/>
    <n v="2007"/>
    <s v="UK"/>
    <s v="2021-05-20"/>
    <n v="125"/>
    <s v="18+"/>
    <n v="6"/>
    <n v="51.3"/>
    <s v="German"/>
    <s v="Denis Villeneuve"/>
    <s v="Scarlett Johansson"/>
    <m/>
    <n v="91"/>
    <n v="299.2"/>
    <s v="Average"/>
    <s v="Normal"/>
    <s v="No"/>
    <s v="Low"/>
    <n v="208.2"/>
    <n v="328.79120879120876"/>
  </r>
  <r>
    <s v="NFX-100896"/>
    <x v="895"/>
    <s v="Movie"/>
    <x v="9"/>
    <n v="2021"/>
    <s v="India"/>
    <s v="2018-01-26"/>
    <n v="127"/>
    <s v="PG"/>
    <n v="5.6"/>
    <n v="595.5"/>
    <s v="Spanish"/>
    <s v="Quentin Tarantino"/>
    <s v="Brad Pitt"/>
    <m/>
    <n v="140"/>
    <n v="787.5"/>
    <s v="Flop"/>
    <s v="Blockbuster"/>
    <s v="Yes"/>
    <s v="High"/>
    <n v="647.5"/>
    <n v="562.5"/>
  </r>
  <r>
    <s v="NFX-100897"/>
    <x v="896"/>
    <s v="TV Show"/>
    <x v="3"/>
    <n v="2003"/>
    <s v="Germany"/>
    <s v="2020-11-25"/>
    <n v="42"/>
    <s v="G"/>
    <n v="9.4"/>
    <n v="386.5"/>
    <s v="Hindi"/>
    <s v="Anurag Kashyap"/>
    <s v="Song Kang-ho"/>
    <n v="1"/>
    <n v="45"/>
    <n v="268.89999999999998"/>
    <s v="Hit"/>
    <s v="Popular"/>
    <s v="Yes"/>
    <s v="Low"/>
    <n v="223.89999999999998"/>
    <n v="597.55555555555554"/>
  </r>
  <r>
    <s v="NFX-100898"/>
    <x v="897"/>
    <s v="TV Show"/>
    <x v="2"/>
    <n v="2014"/>
    <s v="Japan"/>
    <s v="2021-01-18"/>
    <n v="60"/>
    <s v="G"/>
    <n v="7.6"/>
    <n v="256.5"/>
    <s v="French"/>
    <s v="Bong Joon-ho"/>
    <s v="Ranbir Kapoor"/>
    <n v="2"/>
    <n v="176"/>
    <n v="838.2"/>
    <s v="Average"/>
    <s v="Popular"/>
    <s v="Yes"/>
    <s v="High"/>
    <n v="662.2"/>
    <n v="476.25"/>
  </r>
  <r>
    <s v="NFX-100899"/>
    <x v="898"/>
    <s v="Movie"/>
    <x v="0"/>
    <n v="2004"/>
    <s v="Spain"/>
    <s v="2021-10-12"/>
    <n v="144"/>
    <s v="G"/>
    <n v="4.7"/>
    <n v="216.9"/>
    <s v="French"/>
    <s v="Rajkumar Hirani"/>
    <s v="Jennifer Lawrence"/>
    <m/>
    <n v="64"/>
    <n v="100.9"/>
    <s v="Flop"/>
    <s v="Popular"/>
    <s v="Yes"/>
    <s v="Low"/>
    <n v="36.900000000000006"/>
    <n v="157.65625"/>
  </r>
  <r>
    <s v="NFX-100900"/>
    <x v="899"/>
    <s v="Movie"/>
    <x v="7"/>
    <n v="2000"/>
    <s v="Australia"/>
    <s v="2023-11-14"/>
    <n v="148"/>
    <s v="G"/>
    <n v="5.4"/>
    <n v="81.3"/>
    <s v="English"/>
    <s v="Guillermo del Toro"/>
    <s v="Tom Hardy"/>
    <m/>
    <n v="19"/>
    <n v="52.7"/>
    <s v="Flop"/>
    <s v="Normal"/>
    <s v="Yes"/>
    <s v="Low"/>
    <n v="33.700000000000003"/>
    <n v="277.36842105263156"/>
  </r>
  <r>
    <s v="NFX-100901"/>
    <x v="900"/>
    <s v="Movie"/>
    <x v="1"/>
    <n v="2020"/>
    <s v="Australia"/>
    <s v="2019-12-18"/>
    <n v="133"/>
    <s v="PG"/>
    <n v="8.8000000000000007"/>
    <n v="338.9"/>
    <s v="Korean"/>
    <s v="Christopher Nolan"/>
    <s v="Leonardo DiCaprio"/>
    <m/>
    <n v="94"/>
    <n v="471"/>
    <s v="Hit"/>
    <s v="Popular"/>
    <s v="Yes"/>
    <s v="Low"/>
    <n v="377"/>
    <n v="501.063829787234"/>
  </r>
  <r>
    <s v="NFX-100902"/>
    <x v="901"/>
    <s v="TV Show"/>
    <x v="2"/>
    <n v="2021"/>
    <s v="Canada"/>
    <s v="2022-04-03"/>
    <n v="35"/>
    <s v="G"/>
    <n v="6.8"/>
    <n v="474.2"/>
    <s v="German"/>
    <s v="Ridley Scott"/>
    <s v="Scarlett Johansson"/>
    <n v="8"/>
    <n v="138"/>
    <n v="344"/>
    <s v="Average"/>
    <s v="Blockbuster"/>
    <s v="Yes"/>
    <s v="High"/>
    <n v="206"/>
    <n v="249.27536231884056"/>
  </r>
  <r>
    <s v="NFX-100903"/>
    <x v="902"/>
    <s v="TV Show"/>
    <x v="8"/>
    <n v="2021"/>
    <s v="Japan"/>
    <s v="2023-12-10"/>
    <n v="60"/>
    <s v="PG"/>
    <n v="8.5"/>
    <n v="375.7"/>
    <s v="Spanish"/>
    <s v="Steven Spielberg"/>
    <s v="Tom Hardy"/>
    <n v="1"/>
    <n v="68"/>
    <n v="439.3"/>
    <s v="Hit"/>
    <s v="Popular"/>
    <s v="Yes"/>
    <s v="Low"/>
    <n v="371.3"/>
    <n v="646.02941176470597"/>
  </r>
  <r>
    <s v="NFX-100904"/>
    <x v="903"/>
    <s v="Movie"/>
    <x v="7"/>
    <n v="2009"/>
    <s v="USA"/>
    <s v="2018-05-31"/>
    <n v="161"/>
    <s v="PG"/>
    <n v="4.8"/>
    <n v="60.7"/>
    <s v="Japanese"/>
    <s v="Rajkumar Hirani"/>
    <s v="Chris Evans"/>
    <m/>
    <n v="50"/>
    <n v="235.6"/>
    <s v="Flop"/>
    <s v="Normal"/>
    <s v="Yes"/>
    <s v="Low"/>
    <n v="185.6"/>
    <n v="471.2"/>
  </r>
  <r>
    <s v="NFX-100905"/>
    <x v="904"/>
    <s v="Movie"/>
    <x v="7"/>
    <n v="2023"/>
    <s v="Spain"/>
    <s v="2020-01-30"/>
    <n v="177"/>
    <s v="16+"/>
    <n v="6.2"/>
    <n v="540.1"/>
    <s v="French"/>
    <s v="Ridley Scott"/>
    <s v="Ryan Gosling"/>
    <m/>
    <n v="117"/>
    <n v="266.5"/>
    <s v="Average"/>
    <s v="Blockbuster"/>
    <s v="No"/>
    <s v="High"/>
    <n v="149.5"/>
    <n v="227.77777777777777"/>
  </r>
  <r>
    <s v="NFX-100906"/>
    <x v="905"/>
    <s v="Movie"/>
    <x v="2"/>
    <n v="2016"/>
    <s v="Canada"/>
    <s v="2023-07-06"/>
    <n v="174"/>
    <s v="18+"/>
    <n v="6.3"/>
    <n v="308.39999999999998"/>
    <s v="German"/>
    <s v="Park Chan-wook"/>
    <s v="Deepika Padukone"/>
    <m/>
    <n v="38"/>
    <n v="172.7"/>
    <s v="Average"/>
    <s v="Popular"/>
    <s v="No"/>
    <s v="Low"/>
    <n v="134.69999999999999"/>
    <n v="454.4736842105263"/>
  </r>
  <r>
    <s v="NFX-100907"/>
    <x v="906"/>
    <s v="TV Show"/>
    <x v="3"/>
    <n v="2014"/>
    <s v="USA"/>
    <s v="2019-08-10"/>
    <n v="37"/>
    <s v="16+"/>
    <n v="9.4"/>
    <n v="42.1"/>
    <s v="English"/>
    <s v="Bong Joon-ho"/>
    <s v="Ranbir Kapoor"/>
    <n v="5"/>
    <n v="60"/>
    <n v="278.10000000000002"/>
    <s v="Hit"/>
    <s v="Normal"/>
    <s v="No"/>
    <s v="Low"/>
    <n v="218.10000000000002"/>
    <n v="463.50000000000006"/>
  </r>
  <r>
    <s v="NFX-100908"/>
    <x v="907"/>
    <s v="Movie"/>
    <x v="8"/>
    <n v="2000"/>
    <s v="Japan"/>
    <s v="2021-07-03"/>
    <n v="144"/>
    <s v="16+"/>
    <n v="8"/>
    <n v="502"/>
    <s v="Spanish"/>
    <s v="Bong Joon-ho"/>
    <s v="Shah Rukh Khan"/>
    <m/>
    <n v="118"/>
    <n v="188.7"/>
    <s v="Hit"/>
    <s v="Blockbuster"/>
    <s v="No"/>
    <s v="High"/>
    <n v="70.699999999999989"/>
    <n v="159.91525423728811"/>
  </r>
  <r>
    <s v="NFX-100909"/>
    <x v="908"/>
    <s v="Movie"/>
    <x v="9"/>
    <n v="2013"/>
    <s v="South Korea"/>
    <s v="2021-07-07"/>
    <n v="89"/>
    <s v="18+"/>
    <n v="9"/>
    <n v="90.5"/>
    <s v="English"/>
    <s v="Greta Gerwig"/>
    <s v="Song Kang-ho"/>
    <m/>
    <n v="101"/>
    <n v="204.7"/>
    <s v="Hit"/>
    <s v="Normal"/>
    <s v="No"/>
    <s v="High"/>
    <n v="103.69999999999999"/>
    <n v="202.67326732673268"/>
  </r>
  <r>
    <s v="NFX-100910"/>
    <x v="909"/>
    <s v="Movie"/>
    <x v="0"/>
    <n v="2013"/>
    <s v="UK"/>
    <s v="2021-12-18"/>
    <n v="139"/>
    <s v="PG-13"/>
    <n v="5.9"/>
    <n v="86.9"/>
    <s v="French"/>
    <s v="James Cameron"/>
    <s v="Leonardo DiCaprio"/>
    <m/>
    <n v="160"/>
    <n v="575"/>
    <s v="Flop"/>
    <s v="Normal"/>
    <s v="No"/>
    <s v="High"/>
    <n v="415"/>
    <n v="359.375"/>
  </r>
  <r>
    <s v="NFX-100911"/>
    <x v="910"/>
    <s v="TV Show"/>
    <x v="2"/>
    <n v="2001"/>
    <s v="USA"/>
    <s v="2023-05-11"/>
    <n v="31"/>
    <s v="16+"/>
    <n v="7.6"/>
    <n v="422.6"/>
    <s v="Korean"/>
    <s v="Martin Scorsese"/>
    <s v="Scarlett Johansson"/>
    <n v="1"/>
    <n v="14"/>
    <n v="18.100000000000001"/>
    <s v="Average"/>
    <s v="Blockbuster"/>
    <s v="No"/>
    <s v="Low"/>
    <n v="4.1000000000000014"/>
    <n v="129.28571428571431"/>
  </r>
  <r>
    <s v="NFX-100912"/>
    <x v="911"/>
    <s v="TV Show"/>
    <x v="9"/>
    <n v="2006"/>
    <s v="France"/>
    <s v="2021-07-26"/>
    <n v="33"/>
    <s v="PG"/>
    <n v="4.7"/>
    <n v="180.3"/>
    <s v="German"/>
    <s v="Greta Gerwig"/>
    <s v="Deepika Padukone"/>
    <n v="7"/>
    <n v="68"/>
    <n v="374.5"/>
    <s v="Flop"/>
    <s v="Normal"/>
    <s v="Yes"/>
    <s v="Low"/>
    <n v="306.5"/>
    <n v="550.73529411764707"/>
  </r>
  <r>
    <s v="NFX-100913"/>
    <x v="912"/>
    <s v="Movie"/>
    <x v="4"/>
    <n v="2024"/>
    <s v="France"/>
    <s v="2018-05-18"/>
    <n v="106"/>
    <s v="PG"/>
    <n v="9.6"/>
    <n v="176.1"/>
    <s v="Hindi"/>
    <s v="Guillermo del Toro"/>
    <s v="Tom Hardy"/>
    <m/>
    <n v="29"/>
    <n v="36.700000000000003"/>
    <s v="Hit"/>
    <s v="Normal"/>
    <s v="Yes"/>
    <s v="Low"/>
    <n v="7.7000000000000028"/>
    <n v="126.55172413793106"/>
  </r>
  <r>
    <s v="NFX-100914"/>
    <x v="913"/>
    <s v="Movie"/>
    <x v="3"/>
    <n v="2024"/>
    <s v="Canada"/>
    <s v="2020-02-26"/>
    <n v="147"/>
    <s v="16+"/>
    <n v="6.3"/>
    <n v="249.2"/>
    <s v="German"/>
    <s v="Anurag Kashyap"/>
    <s v="Leonardo DiCaprio"/>
    <m/>
    <n v="115"/>
    <n v="339.3"/>
    <s v="Average"/>
    <s v="Popular"/>
    <s v="No"/>
    <s v="High"/>
    <n v="224.3"/>
    <n v="295.04347826086956"/>
  </r>
  <r>
    <s v="NFX-100915"/>
    <x v="914"/>
    <s v="Movie"/>
    <x v="2"/>
    <n v="2018"/>
    <s v="South Korea"/>
    <s v="2020-11-14"/>
    <n v="147"/>
    <s v="PG-13"/>
    <n v="8.3000000000000007"/>
    <n v="318.7"/>
    <s v="French"/>
    <s v="Anurag Kashyap"/>
    <s v="Scarlett Johansson"/>
    <m/>
    <n v="81"/>
    <n v="114.3"/>
    <s v="Hit"/>
    <s v="Popular"/>
    <s v="No"/>
    <s v="Low"/>
    <n v="33.299999999999997"/>
    <n v="141.11111111111109"/>
  </r>
  <r>
    <s v="NFX-100916"/>
    <x v="915"/>
    <s v="Movie"/>
    <x v="3"/>
    <n v="2003"/>
    <s v="Australia"/>
    <s v="2021-06-11"/>
    <n v="131"/>
    <s v="18+"/>
    <n v="7"/>
    <n v="4.8"/>
    <s v="Japanese"/>
    <s v="Ridley Scott"/>
    <s v="Emma Stone"/>
    <m/>
    <n v="163"/>
    <n v="579.1"/>
    <s v="Average"/>
    <s v="Normal"/>
    <s v="No"/>
    <s v="High"/>
    <n v="416.1"/>
    <n v="355.27607361963192"/>
  </r>
  <r>
    <s v="NFX-100917"/>
    <x v="916"/>
    <s v="Movie"/>
    <x v="8"/>
    <n v="2012"/>
    <s v="Germany"/>
    <s v="2021-02-08"/>
    <n v="107"/>
    <s v="G"/>
    <n v="8.8000000000000007"/>
    <n v="108.8"/>
    <s v="Spanish"/>
    <s v="Martin Scorsese"/>
    <s v="Leonardo DiCaprio"/>
    <m/>
    <n v="135"/>
    <n v="697.8"/>
    <s v="Hit"/>
    <s v="Normal"/>
    <s v="Yes"/>
    <s v="High"/>
    <n v="562.79999999999995"/>
    <n v="516.88888888888891"/>
  </r>
  <r>
    <s v="NFX-100918"/>
    <x v="917"/>
    <s v="TV Show"/>
    <x v="3"/>
    <n v="2023"/>
    <s v="Canada"/>
    <s v="2021-02-23"/>
    <n v="54"/>
    <s v="PG"/>
    <n v="9.1"/>
    <n v="533"/>
    <s v="Japanese"/>
    <s v="Denis Villeneuve"/>
    <s v="Scarlett Johansson"/>
    <n v="5"/>
    <n v="30"/>
    <n v="177.1"/>
    <s v="Hit"/>
    <s v="Blockbuster"/>
    <s v="Yes"/>
    <s v="Low"/>
    <n v="147.1"/>
    <n v="590.33333333333337"/>
  </r>
  <r>
    <s v="NFX-100919"/>
    <x v="918"/>
    <s v="Movie"/>
    <x v="5"/>
    <n v="2010"/>
    <s v="USA"/>
    <s v="2023-04-05"/>
    <n v="154"/>
    <s v="PG"/>
    <n v="7.6"/>
    <n v="353.7"/>
    <s v="Hindi"/>
    <s v="Steven Spielberg"/>
    <s v="Chris Evans"/>
    <m/>
    <n v="87"/>
    <n v="406.8"/>
    <s v="Average"/>
    <s v="Popular"/>
    <s v="Yes"/>
    <s v="Low"/>
    <n v="319.8"/>
    <n v="467.58620689655174"/>
  </r>
  <r>
    <s v="NFX-100920"/>
    <x v="919"/>
    <s v="Movie"/>
    <x v="2"/>
    <n v="2015"/>
    <s v="Germany"/>
    <s v="2020-10-15"/>
    <n v="175"/>
    <s v="16+"/>
    <n v="5.0999999999999996"/>
    <n v="10.199999999999999"/>
    <s v="Korean"/>
    <s v="Bong Joon-ho"/>
    <s v="Shah Rukh Khan"/>
    <m/>
    <n v="24"/>
    <n v="33.799999999999997"/>
    <s v="Flop"/>
    <s v="Normal"/>
    <s v="No"/>
    <s v="Low"/>
    <n v="9.7999999999999972"/>
    <n v="140.83333333333331"/>
  </r>
  <r>
    <s v="NFX-100921"/>
    <x v="920"/>
    <s v="TV Show"/>
    <x v="3"/>
    <n v="2011"/>
    <s v="Spain"/>
    <s v="2023-09-05"/>
    <n v="40"/>
    <s v="PG-13"/>
    <n v="8.8000000000000007"/>
    <n v="423.5"/>
    <s v="English"/>
    <s v="Bong Joon-ho"/>
    <s v="Robert Downey Jr."/>
    <n v="7"/>
    <n v="146"/>
    <n v="507.8"/>
    <s v="Hit"/>
    <s v="Blockbuster"/>
    <s v="No"/>
    <s v="High"/>
    <n v="361.8"/>
    <n v="347.8082191780822"/>
  </r>
  <r>
    <s v="NFX-100922"/>
    <x v="921"/>
    <s v="Movie"/>
    <x v="8"/>
    <n v="2012"/>
    <s v="France"/>
    <s v="2023-03-14"/>
    <n v="100"/>
    <s v="G"/>
    <n v="6.8"/>
    <n v="67.400000000000006"/>
    <s v="English"/>
    <s v="Anurag Kashyap"/>
    <s v="Jennifer Lawrence"/>
    <m/>
    <n v="36"/>
    <n v="201.4"/>
    <s v="Average"/>
    <s v="Normal"/>
    <s v="Yes"/>
    <s v="Low"/>
    <n v="165.4"/>
    <n v="559.44444444444446"/>
  </r>
  <r>
    <s v="NFX-100923"/>
    <x v="922"/>
    <s v="Movie"/>
    <x v="8"/>
    <n v="2017"/>
    <s v="UK"/>
    <s v="2023-10-13"/>
    <n v="131"/>
    <s v="PG"/>
    <n v="5.3"/>
    <n v="171.8"/>
    <s v="German"/>
    <s v="James Cameron"/>
    <s v="Shah Rukh Khan"/>
    <m/>
    <n v="8"/>
    <n v="14.2"/>
    <s v="Flop"/>
    <s v="Normal"/>
    <s v="Yes"/>
    <s v="Low"/>
    <n v="6.1999999999999993"/>
    <n v="177.5"/>
  </r>
  <r>
    <s v="NFX-100924"/>
    <x v="923"/>
    <s v="Movie"/>
    <x v="5"/>
    <n v="2024"/>
    <s v="Canada"/>
    <s v="2022-04-18"/>
    <n v="141"/>
    <s v="16+"/>
    <n v="7"/>
    <n v="254.1"/>
    <s v="Japanese"/>
    <s v="James Cameron"/>
    <s v="Ranbir Kapoor"/>
    <m/>
    <n v="131"/>
    <n v="784.1"/>
    <s v="Average"/>
    <s v="Popular"/>
    <s v="No"/>
    <s v="High"/>
    <n v="653.1"/>
    <n v="598.54961832061065"/>
  </r>
  <r>
    <s v="NFX-100925"/>
    <x v="924"/>
    <s v="Movie"/>
    <x v="5"/>
    <n v="2009"/>
    <s v="Spain"/>
    <s v="2020-10-13"/>
    <n v="87"/>
    <s v="G"/>
    <n v="6.8"/>
    <n v="152.1"/>
    <s v="Spanish"/>
    <s v="James Cameron"/>
    <s v="Scarlett Johansson"/>
    <m/>
    <n v="86"/>
    <n v="553.70000000000005"/>
    <s v="Average"/>
    <s v="Normal"/>
    <s v="Yes"/>
    <s v="Low"/>
    <n v="467.70000000000005"/>
    <n v="643.83720930232562"/>
  </r>
  <r>
    <s v="NFX-100926"/>
    <x v="925"/>
    <s v="TV Show"/>
    <x v="1"/>
    <n v="2001"/>
    <s v="South Korea"/>
    <s v="2020-04-02"/>
    <n v="35"/>
    <s v="G"/>
    <n v="6.4"/>
    <n v="116.6"/>
    <s v="German"/>
    <s v="Martin Scorsese"/>
    <s v="Brad Pitt"/>
    <n v="4"/>
    <n v="121"/>
    <n v="337.1"/>
    <s v="Average"/>
    <s v="Normal"/>
    <s v="Yes"/>
    <s v="High"/>
    <n v="216.10000000000002"/>
    <n v="278.59504132231405"/>
  </r>
  <r>
    <s v="NFX-100927"/>
    <x v="926"/>
    <s v="TV Show"/>
    <x v="9"/>
    <n v="2016"/>
    <s v="Australia"/>
    <s v="2018-12-13"/>
    <n v="34"/>
    <s v="16+"/>
    <n v="7.3"/>
    <n v="295.5"/>
    <s v="French"/>
    <s v="Ridley Scott"/>
    <s v="Lee Jung-jae"/>
    <n v="7"/>
    <n v="191"/>
    <n v="374.7"/>
    <s v="Average"/>
    <s v="Popular"/>
    <s v="No"/>
    <s v="High"/>
    <n v="183.7"/>
    <n v="196.17801047120417"/>
  </r>
  <r>
    <s v="NFX-100928"/>
    <x v="927"/>
    <s v="Movie"/>
    <x v="6"/>
    <n v="2002"/>
    <s v="UK"/>
    <s v="2021-04-10"/>
    <n v="146"/>
    <s v="PG-13"/>
    <n v="7.9"/>
    <n v="293.5"/>
    <s v="Hindi"/>
    <s v="Greta Gerwig"/>
    <s v="Deepika Padukone"/>
    <m/>
    <n v="42"/>
    <n v="108.7"/>
    <s v="Average"/>
    <s v="Popular"/>
    <s v="No"/>
    <s v="Low"/>
    <n v="66.7"/>
    <n v="258.8095238095238"/>
  </r>
  <r>
    <s v="NFX-100929"/>
    <x v="928"/>
    <s v="TV Show"/>
    <x v="10"/>
    <n v="2002"/>
    <s v="Japan"/>
    <s v="2024-10-23"/>
    <n v="40"/>
    <s v="16+"/>
    <n v="7.9"/>
    <n v="270.7"/>
    <s v="German"/>
    <s v="Park Chan-wook"/>
    <s v="Lee Jung-jae"/>
    <n v="1"/>
    <n v="10"/>
    <n v="20.9"/>
    <s v="Average"/>
    <s v="Popular"/>
    <s v="No"/>
    <s v="Low"/>
    <n v="10.899999999999999"/>
    <n v="209"/>
  </r>
  <r>
    <s v="NFX-100930"/>
    <x v="929"/>
    <s v="TV Show"/>
    <x v="4"/>
    <n v="2007"/>
    <s v="Spain"/>
    <s v="2022-09-30"/>
    <n v="37"/>
    <s v="G"/>
    <n v="4.9000000000000004"/>
    <n v="98.2"/>
    <s v="English"/>
    <s v="Ridley Scott"/>
    <s v="Lee Jung-jae"/>
    <n v="3"/>
    <n v="41"/>
    <n v="242"/>
    <s v="Flop"/>
    <s v="Normal"/>
    <s v="Yes"/>
    <s v="Low"/>
    <n v="201"/>
    <n v="590.2439024390244"/>
  </r>
  <r>
    <s v="NFX-100931"/>
    <x v="930"/>
    <s v="Movie"/>
    <x v="6"/>
    <n v="2002"/>
    <s v="USA"/>
    <s v="2019-04-26"/>
    <n v="166"/>
    <s v="16+"/>
    <n v="6.3"/>
    <n v="496.7"/>
    <s v="English"/>
    <s v="Park Chan-wook"/>
    <s v="Lee Jung-jae"/>
    <m/>
    <n v="12"/>
    <n v="14.8"/>
    <s v="Average"/>
    <s v="Blockbuster"/>
    <s v="No"/>
    <s v="Low"/>
    <n v="2.8000000000000007"/>
    <n v="123.33333333333334"/>
  </r>
  <r>
    <s v="NFX-100932"/>
    <x v="931"/>
    <s v="Movie"/>
    <x v="4"/>
    <n v="2020"/>
    <s v="USA"/>
    <s v="2021-02-26"/>
    <n v="139"/>
    <s v="PG"/>
    <n v="9.1999999999999993"/>
    <n v="437.9"/>
    <s v="Spanish"/>
    <s v="Christopher Nolan"/>
    <s v="Song Kang-ho"/>
    <m/>
    <n v="44"/>
    <n v="178.6"/>
    <s v="Hit"/>
    <s v="Blockbuster"/>
    <s v="Yes"/>
    <s v="Low"/>
    <n v="134.6"/>
    <n v="405.90909090909088"/>
  </r>
  <r>
    <s v="NFX-100933"/>
    <x v="932"/>
    <s v="TV Show"/>
    <x v="9"/>
    <n v="2005"/>
    <s v="India"/>
    <s v="2018-05-08"/>
    <n v="47"/>
    <s v="16+"/>
    <n v="4.7"/>
    <n v="279.89999999999998"/>
    <s v="Hindi"/>
    <s v="Christopher Nolan"/>
    <s v="Timothée Chalamet"/>
    <n v="7"/>
    <n v="159"/>
    <n v="917.8"/>
    <s v="Flop"/>
    <s v="Popular"/>
    <s v="No"/>
    <s v="High"/>
    <n v="758.8"/>
    <n v="577.23270440251565"/>
  </r>
  <r>
    <s v="NFX-100934"/>
    <x v="933"/>
    <s v="Movie"/>
    <x v="0"/>
    <n v="2002"/>
    <s v="Spain"/>
    <s v="2023-07-21"/>
    <n v="97"/>
    <s v="PG-13"/>
    <n v="5.6"/>
    <n v="469.5"/>
    <s v="Hindi"/>
    <s v="Martin Scorsese"/>
    <s v="Emma Stone"/>
    <m/>
    <n v="165"/>
    <n v="785.6"/>
    <s v="Flop"/>
    <s v="Blockbuster"/>
    <s v="No"/>
    <s v="High"/>
    <n v="620.6"/>
    <n v="476.12121212121218"/>
  </r>
  <r>
    <s v="NFX-100935"/>
    <x v="934"/>
    <s v="TV Show"/>
    <x v="10"/>
    <n v="2017"/>
    <s v="Germany"/>
    <s v="2018-12-20"/>
    <n v="41"/>
    <s v="G"/>
    <n v="5.9"/>
    <n v="89.4"/>
    <s v="Japanese"/>
    <s v="Denis Villeneuve"/>
    <s v="Emma Stone"/>
    <n v="6"/>
    <n v="145"/>
    <n v="716.9"/>
    <s v="Flop"/>
    <s v="Normal"/>
    <s v="Yes"/>
    <s v="High"/>
    <n v="571.9"/>
    <n v="494.41379310344826"/>
  </r>
  <r>
    <s v="NFX-100936"/>
    <x v="935"/>
    <s v="Movie"/>
    <x v="0"/>
    <n v="2004"/>
    <s v="Germany"/>
    <s v="2021-04-13"/>
    <n v="154"/>
    <s v="PG"/>
    <n v="8.4"/>
    <n v="300.7"/>
    <s v="Spanish"/>
    <s v="Ridley Scott"/>
    <s v="Scarlett Johansson"/>
    <m/>
    <n v="83"/>
    <n v="485.8"/>
    <s v="Hit"/>
    <s v="Popular"/>
    <s v="Yes"/>
    <s v="Low"/>
    <n v="402.8"/>
    <n v="585.30120481927713"/>
  </r>
  <r>
    <s v="NFX-100937"/>
    <x v="936"/>
    <s v="TV Show"/>
    <x v="4"/>
    <n v="2019"/>
    <s v="Spain"/>
    <s v="2023-07-09"/>
    <n v="47"/>
    <s v="PG-13"/>
    <n v="4.5999999999999996"/>
    <n v="130.19999999999999"/>
    <s v="English"/>
    <s v="James Cameron"/>
    <s v="Lee Jung-jae"/>
    <n v="4"/>
    <n v="155"/>
    <n v="850.7"/>
    <s v="Flop"/>
    <s v="Normal"/>
    <s v="No"/>
    <s v="High"/>
    <n v="695.7"/>
    <n v="548.83870967741939"/>
  </r>
  <r>
    <s v="NFX-100938"/>
    <x v="937"/>
    <s v="Movie"/>
    <x v="1"/>
    <n v="2000"/>
    <s v="Japan"/>
    <s v="2019-08-19"/>
    <n v="81"/>
    <s v="G"/>
    <n v="5.4"/>
    <n v="299.39999999999998"/>
    <s v="French"/>
    <s v="Ridley Scott"/>
    <s v="Scarlett Johansson"/>
    <m/>
    <n v="111"/>
    <n v="668.8"/>
    <s v="Flop"/>
    <s v="Popular"/>
    <s v="Yes"/>
    <s v="High"/>
    <n v="557.79999999999995"/>
    <n v="602.52252252252254"/>
  </r>
  <r>
    <s v="NFX-100939"/>
    <x v="938"/>
    <s v="Movie"/>
    <x v="2"/>
    <n v="2024"/>
    <s v="South Korea"/>
    <s v="2020-02-21"/>
    <n v="154"/>
    <s v="16+"/>
    <n v="5.8"/>
    <n v="533.70000000000005"/>
    <s v="English"/>
    <s v="Bong Joon-ho"/>
    <s v="Song Kang-ho"/>
    <m/>
    <n v="64"/>
    <n v="396.3"/>
    <s v="Flop"/>
    <s v="Blockbuster"/>
    <s v="No"/>
    <s v="Low"/>
    <n v="332.3"/>
    <n v="619.21875"/>
  </r>
  <r>
    <s v="NFX-100940"/>
    <x v="939"/>
    <s v="TV Show"/>
    <x v="6"/>
    <n v="2000"/>
    <s v="Japan"/>
    <s v="2022-05-03"/>
    <n v="56"/>
    <s v="PG"/>
    <n v="7.9"/>
    <n v="247.5"/>
    <s v="French"/>
    <s v="Steven Spielberg"/>
    <s v="Emma Stone"/>
    <n v="4"/>
    <n v="152"/>
    <n v="867.5"/>
    <s v="Average"/>
    <s v="Popular"/>
    <s v="Yes"/>
    <s v="High"/>
    <n v="715.5"/>
    <n v="570.72368421052624"/>
  </r>
  <r>
    <s v="NFX-100941"/>
    <x v="940"/>
    <s v="Movie"/>
    <x v="0"/>
    <n v="2021"/>
    <s v="South Korea"/>
    <s v="2020-06-21"/>
    <n v="104"/>
    <s v="G"/>
    <n v="5.5"/>
    <n v="544.29999999999995"/>
    <s v="Japanese"/>
    <s v="Guillermo del Toro"/>
    <s v="Song Kang-ho"/>
    <m/>
    <n v="62"/>
    <n v="305.8"/>
    <s v="Flop"/>
    <s v="Blockbuster"/>
    <s v="Yes"/>
    <s v="Low"/>
    <n v="243.8"/>
    <n v="493.22580645161293"/>
  </r>
  <r>
    <s v="NFX-100942"/>
    <x v="941"/>
    <s v="TV Show"/>
    <x v="7"/>
    <n v="2022"/>
    <s v="Canada"/>
    <s v="2018-03-27"/>
    <n v="58"/>
    <s v="18+"/>
    <n v="8.1999999999999993"/>
    <n v="581"/>
    <s v="German"/>
    <s v="Guillermo del Toro"/>
    <s v="Timothée Chalamet"/>
    <n v="4"/>
    <n v="22"/>
    <n v="71.599999999999994"/>
    <s v="Hit"/>
    <s v="Blockbuster"/>
    <s v="No"/>
    <s v="Low"/>
    <n v="49.599999999999994"/>
    <n v="325.45454545454544"/>
  </r>
  <r>
    <s v="NFX-100943"/>
    <x v="942"/>
    <s v="TV Show"/>
    <x v="10"/>
    <n v="2019"/>
    <s v="Germany"/>
    <s v="2021-07-23"/>
    <n v="54"/>
    <s v="G"/>
    <n v="6.2"/>
    <n v="342.4"/>
    <s v="Korean"/>
    <s v="Sanjay Leela Bhansali"/>
    <s v="Tom Hardy"/>
    <n v="8"/>
    <n v="77"/>
    <n v="239.5"/>
    <s v="Average"/>
    <s v="Popular"/>
    <s v="Yes"/>
    <s v="Low"/>
    <n v="162.5"/>
    <n v="311.03896103896102"/>
  </r>
  <r>
    <s v="NFX-100944"/>
    <x v="943"/>
    <s v="Movie"/>
    <x v="0"/>
    <n v="2015"/>
    <s v="UK"/>
    <s v="2020-01-22"/>
    <n v="119"/>
    <s v="PG"/>
    <n v="6.5"/>
    <n v="507"/>
    <s v="Hindi"/>
    <s v="Rajkumar Hirani"/>
    <s v="Timothée Chalamet"/>
    <m/>
    <n v="101"/>
    <n v="640.1"/>
    <s v="Average"/>
    <s v="Blockbuster"/>
    <s v="Yes"/>
    <s v="High"/>
    <n v="539.1"/>
    <n v="633.7623762376237"/>
  </r>
  <r>
    <s v="NFX-100945"/>
    <x v="944"/>
    <s v="Movie"/>
    <x v="0"/>
    <n v="2002"/>
    <s v="France"/>
    <s v="2024-01-29"/>
    <n v="141"/>
    <s v="PG-13"/>
    <n v="7"/>
    <n v="191.2"/>
    <s v="German"/>
    <s v="Zoya Akhtar"/>
    <s v="Emma Stone"/>
    <m/>
    <n v="69"/>
    <n v="258.7"/>
    <s v="Average"/>
    <s v="Normal"/>
    <s v="No"/>
    <s v="Low"/>
    <n v="189.7"/>
    <n v="374.92753623188406"/>
  </r>
  <r>
    <s v="NFX-100946"/>
    <x v="945"/>
    <s v="TV Show"/>
    <x v="9"/>
    <n v="2002"/>
    <s v="India"/>
    <s v="2024-05-19"/>
    <n v="34"/>
    <s v="PG"/>
    <n v="5.3"/>
    <n v="149.6"/>
    <s v="English"/>
    <s v="Guillermo del Toro"/>
    <s v="Song Kang-ho"/>
    <n v="4"/>
    <n v="21"/>
    <n v="53.6"/>
    <s v="Flop"/>
    <s v="Normal"/>
    <s v="Yes"/>
    <s v="Low"/>
    <n v="32.6"/>
    <n v="255.23809523809527"/>
  </r>
  <r>
    <s v="NFX-100947"/>
    <x v="946"/>
    <s v="Movie"/>
    <x v="1"/>
    <n v="2022"/>
    <s v="India"/>
    <s v="2024-01-19"/>
    <n v="147"/>
    <s v="16+"/>
    <n v="6.8"/>
    <n v="299.60000000000002"/>
    <s v="German"/>
    <s v="James Cameron"/>
    <s v="Leonardo DiCaprio"/>
    <m/>
    <n v="141"/>
    <n v="352.9"/>
    <s v="Average"/>
    <s v="Popular"/>
    <s v="No"/>
    <s v="High"/>
    <n v="211.89999999999998"/>
    <n v="250.28368794326238"/>
  </r>
  <r>
    <s v="NFX-100948"/>
    <x v="947"/>
    <s v="TV Show"/>
    <x v="0"/>
    <n v="2025"/>
    <s v="India"/>
    <s v="2020-06-17"/>
    <n v="47"/>
    <s v="PG-13"/>
    <n v="7.9"/>
    <n v="344"/>
    <s v="Korean"/>
    <s v="Martin Scorsese"/>
    <s v="Song Kang-ho"/>
    <n v="1"/>
    <n v="192"/>
    <n v="528"/>
    <s v="Average"/>
    <s v="Popular"/>
    <s v="No"/>
    <s v="High"/>
    <n v="336"/>
    <n v="275"/>
  </r>
  <r>
    <s v="NFX-100949"/>
    <x v="948"/>
    <s v="TV Show"/>
    <x v="5"/>
    <n v="2003"/>
    <s v="USA"/>
    <s v="2019-03-29"/>
    <n v="40"/>
    <s v="PG"/>
    <n v="7.2"/>
    <n v="510.4"/>
    <s v="Hindi"/>
    <s v="Ridley Scott"/>
    <s v="Lee Jung-jae"/>
    <n v="3"/>
    <n v="135"/>
    <n v="743.4"/>
    <s v="Average"/>
    <s v="Blockbuster"/>
    <s v="Yes"/>
    <s v="High"/>
    <n v="608.4"/>
    <n v="550.66666666666663"/>
  </r>
  <r>
    <s v="NFX-100950"/>
    <x v="949"/>
    <s v="TV Show"/>
    <x v="10"/>
    <n v="2025"/>
    <s v="India"/>
    <s v="2020-05-20"/>
    <n v="52"/>
    <s v="G"/>
    <n v="6.8"/>
    <n v="490.3"/>
    <s v="Korean"/>
    <s v="Steven Spielberg"/>
    <s v="Deepika Padukone"/>
    <n v="2"/>
    <n v="23"/>
    <n v="61.4"/>
    <s v="Average"/>
    <s v="Blockbuster"/>
    <s v="Yes"/>
    <s v="Low"/>
    <n v="38.4"/>
    <n v="266.95652173913044"/>
  </r>
  <r>
    <s v="NFX-100951"/>
    <x v="950"/>
    <s v="TV Show"/>
    <x v="9"/>
    <n v="2012"/>
    <s v="South Korea"/>
    <s v="2023-09-28"/>
    <n v="51"/>
    <s v="PG"/>
    <n v="8.9"/>
    <n v="142.19999999999999"/>
    <s v="Japanese"/>
    <s v="Steven Spielberg"/>
    <s v="Lee Jung-jae"/>
    <n v="8"/>
    <n v="9"/>
    <n v="40.1"/>
    <s v="Hit"/>
    <s v="Normal"/>
    <s v="Yes"/>
    <s v="Low"/>
    <n v="31.1"/>
    <n v="445.55555555555554"/>
  </r>
  <r>
    <s v="NFX-100952"/>
    <x v="951"/>
    <s v="TV Show"/>
    <x v="6"/>
    <n v="2011"/>
    <s v="Canada"/>
    <s v="2020-01-20"/>
    <n v="33"/>
    <s v="G"/>
    <n v="5.2"/>
    <n v="324.89999999999998"/>
    <s v="English"/>
    <s v="Denis Villeneuve"/>
    <s v="Leonardo DiCaprio"/>
    <n v="7"/>
    <n v="168"/>
    <n v="746.1"/>
    <s v="Flop"/>
    <s v="Popular"/>
    <s v="Yes"/>
    <s v="High"/>
    <n v="578.1"/>
    <n v="444.10714285714289"/>
  </r>
  <r>
    <s v="NFX-100953"/>
    <x v="952"/>
    <s v="Movie"/>
    <x v="2"/>
    <n v="2017"/>
    <s v="France"/>
    <s v="2019-09-24"/>
    <n v="164"/>
    <s v="G"/>
    <n v="8.9"/>
    <n v="153.6"/>
    <s v="German"/>
    <s v="Guillermo del Toro"/>
    <s v="Tom Hardy"/>
    <m/>
    <n v="195"/>
    <n v="955.9"/>
    <s v="Hit"/>
    <s v="Normal"/>
    <s v="Yes"/>
    <s v="High"/>
    <n v="760.9"/>
    <n v="490.20512820512818"/>
  </r>
  <r>
    <s v="NFX-100954"/>
    <x v="953"/>
    <s v="TV Show"/>
    <x v="6"/>
    <n v="2015"/>
    <s v="Germany"/>
    <s v="2020-09-13"/>
    <n v="59"/>
    <s v="PG-13"/>
    <n v="6.9"/>
    <n v="87.2"/>
    <s v="Spanish"/>
    <s v="Christopher Nolan"/>
    <s v="Leonardo DiCaprio"/>
    <n v="6"/>
    <n v="59"/>
    <n v="305"/>
    <s v="Average"/>
    <s v="Normal"/>
    <s v="No"/>
    <s v="Low"/>
    <n v="246"/>
    <n v="516.94915254237287"/>
  </r>
  <r>
    <s v="NFX-100955"/>
    <x v="954"/>
    <s v="Movie"/>
    <x v="4"/>
    <n v="2006"/>
    <s v="India"/>
    <s v="2019-10-31"/>
    <n v="126"/>
    <s v="G"/>
    <n v="9.1"/>
    <n v="559.29999999999995"/>
    <s v="French"/>
    <s v="Martin Scorsese"/>
    <s v="Brad Pitt"/>
    <m/>
    <n v="128"/>
    <n v="256.2"/>
    <s v="Hit"/>
    <s v="Blockbuster"/>
    <s v="Yes"/>
    <s v="High"/>
    <n v="128.19999999999999"/>
    <n v="200.15625"/>
  </r>
  <r>
    <s v="NFX-100956"/>
    <x v="955"/>
    <s v="Movie"/>
    <x v="4"/>
    <n v="2006"/>
    <s v="France"/>
    <s v="2018-09-04"/>
    <n v="144"/>
    <s v="PG-13"/>
    <n v="8.5"/>
    <n v="166.8"/>
    <s v="Hindi"/>
    <s v="Anurag Kashyap"/>
    <s v="Jennifer Lawrence"/>
    <m/>
    <n v="79"/>
    <n v="346.5"/>
    <s v="Hit"/>
    <s v="Normal"/>
    <s v="No"/>
    <s v="Low"/>
    <n v="267.5"/>
    <n v="438.60759493670889"/>
  </r>
  <r>
    <s v="NFX-100957"/>
    <x v="956"/>
    <s v="Movie"/>
    <x v="3"/>
    <n v="2000"/>
    <s v="Germany"/>
    <s v="2023-06-26"/>
    <n v="168"/>
    <s v="16+"/>
    <n v="8.3000000000000007"/>
    <n v="483.4"/>
    <s v="Spanish"/>
    <s v="Denis Villeneuve"/>
    <s v="Leonardo DiCaprio"/>
    <m/>
    <n v="24"/>
    <n v="38.799999999999997"/>
    <s v="Hit"/>
    <s v="Blockbuster"/>
    <s v="No"/>
    <s v="Low"/>
    <n v="14.799999999999997"/>
    <n v="161.66666666666666"/>
  </r>
  <r>
    <s v="NFX-100958"/>
    <x v="957"/>
    <s v="TV Show"/>
    <x v="10"/>
    <n v="2023"/>
    <s v="South Korea"/>
    <s v="2024-07-12"/>
    <n v="54"/>
    <s v="G"/>
    <n v="6.1"/>
    <n v="291.5"/>
    <s v="French"/>
    <s v="James Cameron"/>
    <s v="Song Kang-ho"/>
    <n v="5"/>
    <n v="198"/>
    <n v="1265.2"/>
    <s v="Average"/>
    <s v="Popular"/>
    <s v="Yes"/>
    <s v="High"/>
    <n v="1067.2"/>
    <n v="638.98989898989896"/>
  </r>
  <r>
    <s v="NFX-100959"/>
    <x v="958"/>
    <s v="Movie"/>
    <x v="5"/>
    <n v="2016"/>
    <s v="South Korea"/>
    <s v="2019-11-16"/>
    <n v="162"/>
    <s v="18+"/>
    <n v="7"/>
    <n v="353.9"/>
    <s v="Japanese"/>
    <s v="Ridley Scott"/>
    <s v="Chris Evans"/>
    <m/>
    <n v="103"/>
    <n v="462.9"/>
    <s v="Average"/>
    <s v="Popular"/>
    <s v="No"/>
    <s v="High"/>
    <n v="359.9"/>
    <n v="449.4174757281553"/>
  </r>
  <r>
    <s v="NFX-100960"/>
    <x v="959"/>
    <s v="TV Show"/>
    <x v="5"/>
    <n v="2006"/>
    <s v="UK"/>
    <s v="2022-03-11"/>
    <n v="52"/>
    <s v="G"/>
    <n v="5.8"/>
    <n v="485.9"/>
    <s v="Japanese"/>
    <s v="Bong Joon-ho"/>
    <s v="Ryan Gosling"/>
    <n v="4"/>
    <n v="124"/>
    <n v="429.7"/>
    <s v="Flop"/>
    <s v="Blockbuster"/>
    <s v="Yes"/>
    <s v="High"/>
    <n v="305.7"/>
    <n v="346.53225806451616"/>
  </r>
  <r>
    <s v="NFX-100961"/>
    <x v="960"/>
    <s v="TV Show"/>
    <x v="4"/>
    <n v="2007"/>
    <s v="Germany"/>
    <s v="2024-06-12"/>
    <n v="53"/>
    <s v="G"/>
    <n v="6.1"/>
    <n v="129.4"/>
    <s v="Korean"/>
    <s v="Park Chan-wook"/>
    <s v="Timothée Chalamet"/>
    <n v="6"/>
    <n v="123"/>
    <n v="430.9"/>
    <s v="Average"/>
    <s v="Normal"/>
    <s v="Yes"/>
    <s v="High"/>
    <n v="307.89999999999998"/>
    <n v="350.32520325203251"/>
  </r>
  <r>
    <s v="NFX-100962"/>
    <x v="961"/>
    <s v="TV Show"/>
    <x v="8"/>
    <n v="2001"/>
    <s v="Japan"/>
    <s v="2022-07-04"/>
    <n v="60"/>
    <s v="18+"/>
    <n v="8.4"/>
    <n v="214.4"/>
    <s v="Korean"/>
    <s v="Steven Spielberg"/>
    <s v="Robert Downey Jr."/>
    <n v="4"/>
    <n v="135"/>
    <n v="373.4"/>
    <s v="Hit"/>
    <s v="Popular"/>
    <s v="No"/>
    <s v="High"/>
    <n v="238.39999999999998"/>
    <n v="276.59259259259261"/>
  </r>
  <r>
    <s v="NFX-100963"/>
    <x v="962"/>
    <s v="Movie"/>
    <x v="6"/>
    <n v="2016"/>
    <s v="India"/>
    <s v="2018-09-23"/>
    <n v="113"/>
    <s v="16+"/>
    <n v="4.7"/>
    <n v="453.5"/>
    <s v="Korean"/>
    <s v="Christopher Nolan"/>
    <s v="Song Kang-ho"/>
    <m/>
    <n v="96"/>
    <n v="566.9"/>
    <s v="Flop"/>
    <s v="Blockbuster"/>
    <s v="No"/>
    <s v="Low"/>
    <n v="470.9"/>
    <n v="590.52083333333337"/>
  </r>
  <r>
    <s v="NFX-100964"/>
    <x v="963"/>
    <s v="TV Show"/>
    <x v="10"/>
    <n v="2001"/>
    <s v="Canada"/>
    <s v="2023-04-03"/>
    <n v="38"/>
    <s v="PG"/>
    <n v="4.5999999999999996"/>
    <n v="470"/>
    <s v="French"/>
    <s v="Anurag Kashyap"/>
    <s v="Robert Downey Jr."/>
    <n v="4"/>
    <n v="63"/>
    <n v="190.6"/>
    <s v="Flop"/>
    <s v="Blockbuster"/>
    <s v="Yes"/>
    <s v="Low"/>
    <n v="127.6"/>
    <n v="302.53968253968253"/>
  </r>
  <r>
    <s v="NFX-100965"/>
    <x v="964"/>
    <s v="Movie"/>
    <x v="4"/>
    <n v="2000"/>
    <s v="USA"/>
    <s v="2018-10-03"/>
    <n v="115"/>
    <s v="18+"/>
    <n v="6.7"/>
    <n v="554.4"/>
    <s v="Spanish"/>
    <s v="Christopher Nolan"/>
    <s v="Tom Hardy"/>
    <m/>
    <n v="71"/>
    <n v="416.9"/>
    <s v="Average"/>
    <s v="Blockbuster"/>
    <s v="No"/>
    <s v="Low"/>
    <n v="345.9"/>
    <n v="587.1830985915492"/>
  </r>
  <r>
    <s v="NFX-100966"/>
    <x v="965"/>
    <s v="Movie"/>
    <x v="8"/>
    <n v="2009"/>
    <s v="India"/>
    <s v="2022-05-12"/>
    <n v="119"/>
    <s v="16+"/>
    <n v="6.3"/>
    <n v="399.1"/>
    <s v="Korean"/>
    <s v="Ridley Scott"/>
    <s v="Tom Hardy"/>
    <m/>
    <n v="165"/>
    <n v="546.79999999999995"/>
    <s v="Average"/>
    <s v="Popular"/>
    <s v="No"/>
    <s v="High"/>
    <n v="381.79999999999995"/>
    <n v="331.39393939393938"/>
  </r>
  <r>
    <s v="NFX-100967"/>
    <x v="966"/>
    <s v="TV Show"/>
    <x v="4"/>
    <n v="2001"/>
    <s v="Australia"/>
    <s v="2022-03-18"/>
    <n v="36"/>
    <s v="PG-13"/>
    <n v="4.7"/>
    <n v="422.5"/>
    <s v="Spanish"/>
    <s v="Ridley Scott"/>
    <s v="Ryan Gosling"/>
    <n v="5"/>
    <n v="139"/>
    <n v="675.5"/>
    <s v="Flop"/>
    <s v="Blockbuster"/>
    <s v="No"/>
    <s v="High"/>
    <n v="536.5"/>
    <n v="485.97122302158277"/>
  </r>
  <r>
    <s v="NFX-100968"/>
    <x v="967"/>
    <s v="TV Show"/>
    <x v="4"/>
    <n v="2004"/>
    <s v="India"/>
    <s v="2021-01-07"/>
    <n v="34"/>
    <s v="G"/>
    <n v="8.4"/>
    <n v="463.1"/>
    <s v="English"/>
    <s v="Steven Spielberg"/>
    <s v="Leonardo DiCaprio"/>
    <n v="8"/>
    <n v="123"/>
    <n v="669.2"/>
    <s v="Hit"/>
    <s v="Blockbuster"/>
    <s v="Yes"/>
    <s v="High"/>
    <n v="546.20000000000005"/>
    <n v="544.06504065040656"/>
  </r>
  <r>
    <s v="NFX-100969"/>
    <x v="968"/>
    <s v="Movie"/>
    <x v="0"/>
    <n v="2013"/>
    <s v="Spain"/>
    <s v="2024-05-02"/>
    <n v="109"/>
    <s v="G"/>
    <n v="4.9000000000000004"/>
    <n v="27.6"/>
    <s v="Hindi"/>
    <s v="Rajkumar Hirani"/>
    <s v="Robert Downey Jr."/>
    <m/>
    <n v="131"/>
    <n v="690.2"/>
    <s v="Flop"/>
    <s v="Normal"/>
    <s v="Yes"/>
    <s v="High"/>
    <n v="559.20000000000005"/>
    <n v="526.87022900763361"/>
  </r>
  <r>
    <s v="NFX-100970"/>
    <x v="969"/>
    <s v="Movie"/>
    <x v="0"/>
    <n v="2006"/>
    <s v="South Korea"/>
    <s v="2022-11-27"/>
    <n v="112"/>
    <s v="PG"/>
    <n v="9.3000000000000007"/>
    <n v="337.4"/>
    <s v="Hindi"/>
    <s v="Guillermo del Toro"/>
    <s v="Lee Jung-jae"/>
    <m/>
    <n v="65"/>
    <n v="312.10000000000002"/>
    <s v="Hit"/>
    <s v="Popular"/>
    <s v="Yes"/>
    <s v="Low"/>
    <n v="247.10000000000002"/>
    <n v="480.15384615384613"/>
  </r>
  <r>
    <s v="NFX-100971"/>
    <x v="970"/>
    <s v="TV Show"/>
    <x v="9"/>
    <n v="2019"/>
    <s v="USA"/>
    <s v="2021-03-02"/>
    <n v="33"/>
    <s v="G"/>
    <n v="7.7"/>
    <n v="64.900000000000006"/>
    <s v="Hindi"/>
    <s v="Steven Spielberg"/>
    <s v="Leonardo DiCaprio"/>
    <n v="7"/>
    <n v="118"/>
    <n v="663.4"/>
    <s v="Average"/>
    <s v="Normal"/>
    <s v="Yes"/>
    <s v="High"/>
    <n v="545.4"/>
    <n v="562.20338983050851"/>
  </r>
  <r>
    <s v="NFX-100972"/>
    <x v="971"/>
    <s v="Movie"/>
    <x v="8"/>
    <n v="2018"/>
    <s v="Australia"/>
    <s v="2023-08-05"/>
    <n v="110"/>
    <s v="PG-13"/>
    <n v="4.7"/>
    <n v="56.5"/>
    <s v="Hindi"/>
    <s v="Steven Spielberg"/>
    <s v="Tom Hardy"/>
    <m/>
    <n v="181"/>
    <n v="361.1"/>
    <s v="Flop"/>
    <s v="Normal"/>
    <s v="No"/>
    <s v="High"/>
    <n v="180.10000000000002"/>
    <n v="199.50276243093924"/>
  </r>
  <r>
    <s v="NFX-100973"/>
    <x v="972"/>
    <s v="Movie"/>
    <x v="10"/>
    <n v="2009"/>
    <s v="Spain"/>
    <s v="2022-08-03"/>
    <n v="176"/>
    <s v="PG"/>
    <n v="6.1"/>
    <n v="494.4"/>
    <s v="German"/>
    <s v="Quentin Tarantino"/>
    <s v="Song Kang-ho"/>
    <m/>
    <n v="152"/>
    <n v="373.5"/>
    <s v="Average"/>
    <s v="Blockbuster"/>
    <s v="Yes"/>
    <s v="High"/>
    <n v="221.5"/>
    <n v="245.72368421052633"/>
  </r>
  <r>
    <s v="NFX-100974"/>
    <x v="973"/>
    <s v="TV Show"/>
    <x v="9"/>
    <n v="2011"/>
    <s v="France"/>
    <s v="2018-11-04"/>
    <n v="53"/>
    <s v="PG"/>
    <n v="9.5"/>
    <n v="177.2"/>
    <s v="English"/>
    <s v="Quentin Tarantino"/>
    <s v="Jennifer Lawrence"/>
    <n v="5"/>
    <n v="125"/>
    <n v="410.7"/>
    <s v="Hit"/>
    <s v="Normal"/>
    <s v="Yes"/>
    <s v="High"/>
    <n v="285.7"/>
    <n v="328.56"/>
  </r>
  <r>
    <s v="NFX-100975"/>
    <x v="974"/>
    <s v="Movie"/>
    <x v="0"/>
    <n v="2022"/>
    <s v="India"/>
    <s v="2023-05-30"/>
    <n v="149"/>
    <s v="G"/>
    <n v="7.4"/>
    <n v="471.2"/>
    <s v="French"/>
    <s v="Denis Villeneuve"/>
    <s v="Ranbir Kapoor"/>
    <m/>
    <n v="65"/>
    <n v="101.6"/>
    <s v="Average"/>
    <s v="Blockbuster"/>
    <s v="Yes"/>
    <s v="Low"/>
    <n v="36.599999999999994"/>
    <n v="156.30769230769229"/>
  </r>
  <r>
    <s v="NFX-100976"/>
    <x v="975"/>
    <s v="Movie"/>
    <x v="10"/>
    <n v="2011"/>
    <s v="Spain"/>
    <s v="2020-11-27"/>
    <n v="99"/>
    <s v="PG"/>
    <n v="5.0999999999999996"/>
    <n v="206.6"/>
    <s v="French"/>
    <s v="Quentin Tarantino"/>
    <s v="Ryan Gosling"/>
    <m/>
    <n v="166"/>
    <n v="1072.7"/>
    <s v="Flop"/>
    <s v="Popular"/>
    <s v="Yes"/>
    <s v="High"/>
    <n v="906.7"/>
    <n v="646.20481927710841"/>
  </r>
  <r>
    <s v="NFX-100977"/>
    <x v="976"/>
    <s v="Movie"/>
    <x v="4"/>
    <n v="2016"/>
    <s v="USA"/>
    <s v="2020-04-27"/>
    <n v="165"/>
    <s v="PG"/>
    <n v="9.1"/>
    <n v="60.1"/>
    <s v="Korean"/>
    <s v="Sanjay Leela Bhansali"/>
    <s v="Shah Rukh Khan"/>
    <m/>
    <n v="83"/>
    <n v="141.6"/>
    <s v="Hit"/>
    <s v="Normal"/>
    <s v="Yes"/>
    <s v="Low"/>
    <n v="58.599999999999994"/>
    <n v="170.60240963855421"/>
  </r>
  <r>
    <s v="NFX-100978"/>
    <x v="977"/>
    <s v="Movie"/>
    <x v="6"/>
    <n v="2009"/>
    <s v="Australia"/>
    <s v="2018-10-25"/>
    <n v="150"/>
    <s v="G"/>
    <n v="7.7"/>
    <n v="527.4"/>
    <s v="Korean"/>
    <s v="Park Chan-wook"/>
    <s v="Ryan Gosling"/>
    <m/>
    <n v="110"/>
    <n v="350.5"/>
    <s v="Average"/>
    <s v="Blockbuster"/>
    <s v="Yes"/>
    <s v="High"/>
    <n v="240.5"/>
    <n v="318.63636363636363"/>
  </r>
  <r>
    <s v="NFX-100979"/>
    <x v="978"/>
    <s v="Movie"/>
    <x v="9"/>
    <n v="2002"/>
    <s v="USA"/>
    <s v="2019-10-05"/>
    <n v="155"/>
    <s v="PG-13"/>
    <n v="7.9"/>
    <n v="468.1"/>
    <s v="English"/>
    <s v="Rajkumar Hirani"/>
    <s v="Tom Hardy"/>
    <m/>
    <n v="142"/>
    <n v="334.6"/>
    <s v="Average"/>
    <s v="Blockbuster"/>
    <s v="No"/>
    <s v="High"/>
    <n v="192.60000000000002"/>
    <n v="235.63380281690144"/>
  </r>
  <r>
    <s v="NFX-100980"/>
    <x v="979"/>
    <s v="Movie"/>
    <x v="3"/>
    <n v="2002"/>
    <s v="India"/>
    <s v="2024-04-18"/>
    <n v="116"/>
    <s v="G"/>
    <n v="8.8000000000000007"/>
    <n v="514.79999999999995"/>
    <s v="Japanese"/>
    <s v="Steven Spielberg"/>
    <s v="Deepika Padukone"/>
    <m/>
    <n v="47"/>
    <n v="150.30000000000001"/>
    <s v="Hit"/>
    <s v="Blockbuster"/>
    <s v="Yes"/>
    <s v="Low"/>
    <n v="103.30000000000001"/>
    <n v="319.78723404255322"/>
  </r>
  <r>
    <s v="NFX-100981"/>
    <x v="980"/>
    <s v="TV Show"/>
    <x v="5"/>
    <n v="2001"/>
    <s v="Spain"/>
    <s v="2020-10-08"/>
    <n v="46"/>
    <s v="PG"/>
    <n v="4.7"/>
    <n v="475.2"/>
    <s v="Korean"/>
    <s v="Anurag Kashyap"/>
    <s v="Deepika Padukone"/>
    <n v="5"/>
    <n v="77"/>
    <n v="385.4"/>
    <s v="Flop"/>
    <s v="Blockbuster"/>
    <s v="Yes"/>
    <s v="Low"/>
    <n v="308.39999999999998"/>
    <n v="500.51948051948045"/>
  </r>
  <r>
    <s v="NFX-100982"/>
    <x v="981"/>
    <s v="TV Show"/>
    <x v="6"/>
    <n v="2016"/>
    <s v="Japan"/>
    <s v="2018-06-09"/>
    <n v="36"/>
    <s v="PG-13"/>
    <n v="5.3"/>
    <n v="347.6"/>
    <s v="Japanese"/>
    <s v="James Cameron"/>
    <s v="Ranbir Kapoor"/>
    <n v="8"/>
    <n v="185"/>
    <n v="556.79999999999995"/>
    <s v="Flop"/>
    <s v="Popular"/>
    <s v="No"/>
    <s v="High"/>
    <n v="371.79999999999995"/>
    <n v="300.97297297297297"/>
  </r>
  <r>
    <s v="NFX-100983"/>
    <x v="982"/>
    <s v="TV Show"/>
    <x v="1"/>
    <n v="2014"/>
    <s v="India"/>
    <s v="2022-11-25"/>
    <n v="55"/>
    <s v="PG"/>
    <n v="6.7"/>
    <n v="356.4"/>
    <s v="English"/>
    <s v="Bong Joon-ho"/>
    <s v="Ryan Gosling"/>
    <n v="7"/>
    <n v="38"/>
    <n v="179.5"/>
    <s v="Average"/>
    <s v="Popular"/>
    <s v="Yes"/>
    <s v="Low"/>
    <n v="141.5"/>
    <n v="472.36842105263162"/>
  </r>
  <r>
    <s v="NFX-100984"/>
    <x v="983"/>
    <s v="TV Show"/>
    <x v="3"/>
    <n v="2017"/>
    <s v="Australia"/>
    <s v="2023-07-14"/>
    <n v="48"/>
    <s v="16+"/>
    <n v="7.8"/>
    <n v="248.4"/>
    <s v="Korean"/>
    <s v="Steven Spielberg"/>
    <s v="Robert Downey Jr."/>
    <n v="4"/>
    <n v="118"/>
    <n v="652.29999999999995"/>
    <s v="Average"/>
    <s v="Popular"/>
    <s v="No"/>
    <s v="High"/>
    <n v="534.29999999999995"/>
    <n v="552.79661016949149"/>
  </r>
  <r>
    <s v="NFX-100985"/>
    <x v="984"/>
    <s v="Movie"/>
    <x v="2"/>
    <n v="2000"/>
    <s v="Japan"/>
    <s v="2024-07-22"/>
    <n v="142"/>
    <s v="G"/>
    <n v="5.2"/>
    <n v="255.9"/>
    <s v="Korean"/>
    <s v="Guillermo del Toro"/>
    <s v="Lee Jung-jae"/>
    <m/>
    <n v="125"/>
    <n v="470.6"/>
    <s v="Flop"/>
    <s v="Popular"/>
    <s v="Yes"/>
    <s v="High"/>
    <n v="345.6"/>
    <n v="376.48"/>
  </r>
  <r>
    <s v="NFX-100986"/>
    <x v="985"/>
    <s v="TV Show"/>
    <x v="3"/>
    <n v="2021"/>
    <s v="Japan"/>
    <s v="2018-05-29"/>
    <n v="33"/>
    <s v="16+"/>
    <n v="5.7"/>
    <n v="566.29999999999995"/>
    <s v="Japanese"/>
    <s v="Quentin Tarantino"/>
    <s v="Emma Stone"/>
    <n v="5"/>
    <n v="39"/>
    <n v="230.5"/>
    <s v="Flop"/>
    <s v="Blockbuster"/>
    <s v="No"/>
    <s v="Low"/>
    <n v="191.5"/>
    <n v="591.02564102564111"/>
  </r>
  <r>
    <s v="NFX-100987"/>
    <x v="986"/>
    <s v="Movie"/>
    <x v="0"/>
    <n v="2014"/>
    <s v="USA"/>
    <s v="2018-10-21"/>
    <n v="147"/>
    <s v="PG"/>
    <n v="8.1"/>
    <n v="356.7"/>
    <s v="German"/>
    <s v="Greta Gerwig"/>
    <s v="Deepika Padukone"/>
    <m/>
    <n v="126"/>
    <n v="746.4"/>
    <s v="Hit"/>
    <s v="Popular"/>
    <s v="Yes"/>
    <s v="High"/>
    <n v="620.4"/>
    <n v="592.38095238095229"/>
  </r>
  <r>
    <s v="NFX-100988"/>
    <x v="987"/>
    <s v="TV Show"/>
    <x v="6"/>
    <n v="2007"/>
    <s v="Japan"/>
    <s v="2019-02-06"/>
    <n v="41"/>
    <s v="PG"/>
    <n v="9.3000000000000007"/>
    <n v="266.10000000000002"/>
    <s v="English"/>
    <s v="Anurag Kashyap"/>
    <s v="Emma Stone"/>
    <n v="7"/>
    <n v="70"/>
    <n v="429.6"/>
    <s v="Hit"/>
    <s v="Popular"/>
    <s v="Yes"/>
    <s v="Low"/>
    <n v="359.6"/>
    <n v="613.71428571428578"/>
  </r>
  <r>
    <s v="NFX-100989"/>
    <x v="988"/>
    <s v="Movie"/>
    <x v="8"/>
    <n v="2016"/>
    <s v="Japan"/>
    <s v="2018-11-18"/>
    <n v="114"/>
    <s v="18+"/>
    <n v="6.7"/>
    <n v="9.6"/>
    <s v="Japanese"/>
    <s v="Rajkumar Hirani"/>
    <s v="Lee Jung-jae"/>
    <m/>
    <n v="149"/>
    <n v="943.4"/>
    <s v="Average"/>
    <s v="Normal"/>
    <s v="No"/>
    <s v="High"/>
    <n v="794.4"/>
    <n v="633.15436241610735"/>
  </r>
  <r>
    <s v="NFX-100990"/>
    <x v="989"/>
    <s v="TV Show"/>
    <x v="9"/>
    <n v="2012"/>
    <s v="Spain"/>
    <s v="2024-09-18"/>
    <n v="59"/>
    <s v="G"/>
    <n v="7"/>
    <n v="541.70000000000005"/>
    <s v="French"/>
    <s v="Greta Gerwig"/>
    <s v="Shah Rukh Khan"/>
    <n v="7"/>
    <n v="166"/>
    <n v="788.9"/>
    <s v="Average"/>
    <s v="Blockbuster"/>
    <s v="Yes"/>
    <s v="High"/>
    <n v="622.9"/>
    <n v="475.24096385542168"/>
  </r>
  <r>
    <s v="NFX-100991"/>
    <x v="990"/>
    <s v="TV Show"/>
    <x v="5"/>
    <n v="2018"/>
    <s v="Germany"/>
    <s v="2018-01-25"/>
    <n v="54"/>
    <s v="PG-13"/>
    <n v="4.7"/>
    <n v="477.3"/>
    <s v="Korean"/>
    <s v="Rajkumar Hirani"/>
    <s v="Lee Jung-jae"/>
    <n v="4"/>
    <n v="40"/>
    <n v="200.7"/>
    <s v="Flop"/>
    <s v="Blockbuster"/>
    <s v="No"/>
    <s v="Low"/>
    <n v="160.69999999999999"/>
    <n v="501.75"/>
  </r>
  <r>
    <s v="NFX-100992"/>
    <x v="991"/>
    <s v="Movie"/>
    <x v="2"/>
    <n v="2005"/>
    <s v="India"/>
    <s v="2023-12-21"/>
    <n v="133"/>
    <s v="PG-13"/>
    <n v="7.1"/>
    <n v="422.8"/>
    <s v="English"/>
    <s v="James Cameron"/>
    <s v="Brad Pitt"/>
    <m/>
    <n v="146"/>
    <n v="820.7"/>
    <s v="Average"/>
    <s v="Blockbuster"/>
    <s v="No"/>
    <s v="High"/>
    <n v="674.7"/>
    <n v="562.1232876712329"/>
  </r>
  <r>
    <s v="NFX-100993"/>
    <x v="992"/>
    <s v="TV Show"/>
    <x v="10"/>
    <n v="2004"/>
    <s v="France"/>
    <s v="2022-06-02"/>
    <n v="31"/>
    <s v="G"/>
    <n v="8.1"/>
    <n v="171.6"/>
    <s v="German"/>
    <s v="James Cameron"/>
    <s v="Emma Stone"/>
    <n v="8"/>
    <n v="109"/>
    <n v="351.4"/>
    <s v="Hit"/>
    <s v="Normal"/>
    <s v="Yes"/>
    <s v="High"/>
    <n v="242.39999999999998"/>
    <n v="322.38532110091739"/>
  </r>
  <r>
    <s v="NFX-100994"/>
    <x v="993"/>
    <s v="Movie"/>
    <x v="10"/>
    <n v="2022"/>
    <s v="France"/>
    <s v="2021-10-28"/>
    <n v="177"/>
    <s v="G"/>
    <n v="8.4"/>
    <n v="543.4"/>
    <s v="French"/>
    <s v="Ridley Scott"/>
    <s v="Lee Jung-jae"/>
    <m/>
    <n v="134"/>
    <n v="207"/>
    <s v="Hit"/>
    <s v="Blockbuster"/>
    <s v="Yes"/>
    <s v="High"/>
    <n v="73"/>
    <n v="154.47761194029849"/>
  </r>
  <r>
    <s v="NFX-100995"/>
    <x v="994"/>
    <s v="TV Show"/>
    <x v="1"/>
    <n v="2025"/>
    <s v="Japan"/>
    <s v="2023-12-26"/>
    <n v="46"/>
    <s v="PG-13"/>
    <n v="5.4"/>
    <n v="25.2"/>
    <s v="Korean"/>
    <s v="Quentin Tarantino"/>
    <s v="Brad Pitt"/>
    <n v="8"/>
    <n v="176"/>
    <n v="605.20000000000005"/>
    <s v="Flop"/>
    <s v="Normal"/>
    <s v="No"/>
    <s v="High"/>
    <n v="429.20000000000005"/>
    <n v="343.86363636363637"/>
  </r>
  <r>
    <s v="NFX-100996"/>
    <x v="995"/>
    <s v="TV Show"/>
    <x v="6"/>
    <n v="2000"/>
    <s v="UK"/>
    <s v="2024-06-06"/>
    <n v="32"/>
    <s v="PG"/>
    <n v="7.6"/>
    <n v="386.2"/>
    <s v="English"/>
    <s v="Anurag Kashyap"/>
    <s v="Ryan Gosling"/>
    <n v="2"/>
    <n v="19"/>
    <n v="30.4"/>
    <s v="Average"/>
    <s v="Popular"/>
    <s v="Yes"/>
    <s v="Low"/>
    <n v="11.399999999999999"/>
    <n v="160"/>
  </r>
  <r>
    <s v="NFX-100997"/>
    <x v="996"/>
    <s v="TV Show"/>
    <x v="2"/>
    <n v="2018"/>
    <s v="Canada"/>
    <s v="2023-02-08"/>
    <n v="53"/>
    <s v="16+"/>
    <n v="6.2"/>
    <n v="398.8"/>
    <s v="French"/>
    <s v="Martin Scorsese"/>
    <s v="Chris Evans"/>
    <n v="8"/>
    <n v="43"/>
    <n v="74.900000000000006"/>
    <s v="Average"/>
    <s v="Popular"/>
    <s v="No"/>
    <s v="Low"/>
    <n v="31.900000000000006"/>
    <n v="174.18604651162792"/>
  </r>
  <r>
    <s v="NFX-100998"/>
    <x v="997"/>
    <s v="Movie"/>
    <x v="4"/>
    <n v="2014"/>
    <s v="Japan"/>
    <s v="2021-12-29"/>
    <n v="143"/>
    <s v="PG"/>
    <n v="4.5999999999999996"/>
    <n v="243.1"/>
    <s v="English"/>
    <s v="Martin Scorsese"/>
    <s v="Song Kang-ho"/>
    <m/>
    <n v="137"/>
    <n v="766.9"/>
    <s v="Flop"/>
    <s v="Popular"/>
    <s v="Yes"/>
    <s v="High"/>
    <n v="629.9"/>
    <n v="559.78102189781021"/>
  </r>
  <r>
    <s v="NFX-100999"/>
    <x v="998"/>
    <s v="Movie"/>
    <x v="2"/>
    <n v="2002"/>
    <s v="Australia"/>
    <s v="2020-11-28"/>
    <n v="127"/>
    <s v="16+"/>
    <n v="7.5"/>
    <n v="537.70000000000005"/>
    <s v="Korean"/>
    <s v="Anurag Kashyap"/>
    <s v="Lee Jung-jae"/>
    <m/>
    <n v="151"/>
    <n v="403.3"/>
    <s v="Average"/>
    <s v="Blockbuster"/>
    <s v="No"/>
    <s v="High"/>
    <n v="252.3"/>
    <n v="267.08609271523176"/>
  </r>
  <r>
    <s v="NFX-101000"/>
    <x v="999"/>
    <s v="TV Show"/>
    <x v="0"/>
    <n v="2023"/>
    <s v="South Korea"/>
    <s v="2021-12-22"/>
    <n v="42"/>
    <s v="18+"/>
    <n v="7.1"/>
    <n v="534.29999999999995"/>
    <s v="French"/>
    <s v="Zoya Akhtar"/>
    <s v="Leonardo DiCaprio"/>
    <n v="4"/>
    <n v="107"/>
    <n v="129.4"/>
    <s v="Average"/>
    <s v="Blockbuster"/>
    <s v="No"/>
    <s v="High"/>
    <n v="22.400000000000006"/>
    <n v="120.93457943925235"/>
  </r>
  <r>
    <s v="NFX-101001"/>
    <x v="1000"/>
    <s v="Movie"/>
    <x v="10"/>
    <n v="2006"/>
    <s v="Spain"/>
    <s v="2023-09-17"/>
    <n v="178"/>
    <s v="18+"/>
    <n v="8.5"/>
    <n v="74.599999999999994"/>
    <s v="Hindi"/>
    <s v="Ridley Scott"/>
    <s v="Timothée Chalamet"/>
    <m/>
    <n v="49"/>
    <n v="226.6"/>
    <s v="Hit"/>
    <s v="Normal"/>
    <s v="No"/>
    <s v="Low"/>
    <n v="177.6"/>
    <n v="462.44897959183675"/>
  </r>
  <r>
    <s v="NFX-101002"/>
    <x v="1001"/>
    <s v="TV Show"/>
    <x v="9"/>
    <n v="2011"/>
    <s v="India"/>
    <s v="2022-02-02"/>
    <n v="54"/>
    <s v="PG-13"/>
    <n v="5.8"/>
    <n v="443.9"/>
    <s v="German"/>
    <s v="Christopher Nolan"/>
    <s v="Chris Evans"/>
    <n v="3"/>
    <n v="67"/>
    <n v="98.7"/>
    <s v="Flop"/>
    <s v="Blockbuster"/>
    <s v="No"/>
    <s v="Low"/>
    <n v="31.700000000000003"/>
    <n v="147.31343283582089"/>
  </r>
  <r>
    <s v="NFX-101003"/>
    <x v="1002"/>
    <s v="TV Show"/>
    <x v="2"/>
    <n v="2002"/>
    <s v="India"/>
    <s v="2023-04-01"/>
    <n v="46"/>
    <s v="G"/>
    <n v="5.6"/>
    <n v="15.5"/>
    <s v="German"/>
    <s v="James Cameron"/>
    <s v="Tom Hardy"/>
    <n v="2"/>
    <n v="82"/>
    <n v="333.7"/>
    <s v="Flop"/>
    <s v="Normal"/>
    <s v="Yes"/>
    <s v="Low"/>
    <n v="251.7"/>
    <n v="406.95121951219511"/>
  </r>
  <r>
    <s v="NFX-101004"/>
    <x v="1003"/>
    <s v="TV Show"/>
    <x v="3"/>
    <n v="2018"/>
    <s v="USA"/>
    <s v="2023-07-29"/>
    <n v="37"/>
    <s v="16+"/>
    <n v="6.5"/>
    <n v="345.4"/>
    <s v="English"/>
    <s v="James Cameron"/>
    <s v="Robert Downey Jr."/>
    <n v="5"/>
    <n v="45"/>
    <n v="117.9"/>
    <s v="Average"/>
    <s v="Popular"/>
    <s v="No"/>
    <s v="Low"/>
    <n v="72.900000000000006"/>
    <n v="262"/>
  </r>
  <r>
    <s v="NFX-101005"/>
    <x v="1004"/>
    <s v="TV Show"/>
    <x v="4"/>
    <n v="2005"/>
    <s v="Germany"/>
    <s v="2023-11-08"/>
    <n v="33"/>
    <s v="PG"/>
    <n v="5.8"/>
    <n v="311.5"/>
    <s v="Korean"/>
    <s v="Quentin Tarantino"/>
    <s v="Scarlett Johansson"/>
    <n v="5"/>
    <n v="38"/>
    <n v="141.6"/>
    <s v="Flop"/>
    <s v="Popular"/>
    <s v="Yes"/>
    <s v="Low"/>
    <n v="103.6"/>
    <n v="372.63157894736844"/>
  </r>
  <r>
    <s v="NFX-101006"/>
    <x v="1005"/>
    <s v="TV Show"/>
    <x v="9"/>
    <n v="2006"/>
    <s v="Japan"/>
    <s v="2021-11-06"/>
    <n v="44"/>
    <s v="18+"/>
    <n v="9.3000000000000007"/>
    <n v="67.599999999999994"/>
    <s v="Japanese"/>
    <s v="Guillermo del Toro"/>
    <s v="Brad Pitt"/>
    <n v="6"/>
    <n v="116"/>
    <n v="695.6"/>
    <s v="Hit"/>
    <s v="Normal"/>
    <s v="No"/>
    <s v="High"/>
    <n v="579.6"/>
    <n v="599.65517241379314"/>
  </r>
  <r>
    <s v="NFX-101007"/>
    <x v="1006"/>
    <s v="TV Show"/>
    <x v="3"/>
    <n v="2015"/>
    <s v="Japan"/>
    <s v="2022-09-29"/>
    <n v="36"/>
    <s v="18+"/>
    <n v="9.6"/>
    <n v="271.39999999999998"/>
    <s v="English"/>
    <s v="Zoya Akhtar"/>
    <s v="Ryan Gosling"/>
    <n v="8"/>
    <n v="93"/>
    <n v="374.2"/>
    <s v="Hit"/>
    <s v="Popular"/>
    <s v="No"/>
    <s v="Low"/>
    <n v="281.2"/>
    <n v="402.36559139784947"/>
  </r>
  <r>
    <s v="NFX-101008"/>
    <x v="1007"/>
    <s v="TV Show"/>
    <x v="5"/>
    <n v="2010"/>
    <s v="Japan"/>
    <s v="2018-04-22"/>
    <n v="58"/>
    <s v="PG-13"/>
    <n v="6.1"/>
    <n v="420.7"/>
    <s v="Japanese"/>
    <s v="Greta Gerwig"/>
    <s v="Brad Pitt"/>
    <n v="6"/>
    <n v="19"/>
    <n v="98.6"/>
    <s v="Average"/>
    <s v="Blockbuster"/>
    <s v="No"/>
    <s v="Low"/>
    <n v="79.599999999999994"/>
    <n v="518.9473684210526"/>
  </r>
  <r>
    <s v="NFX-101009"/>
    <x v="1008"/>
    <s v="Movie"/>
    <x v="6"/>
    <n v="2015"/>
    <s v="South Korea"/>
    <s v="2022-07-18"/>
    <n v="164"/>
    <s v="PG-13"/>
    <n v="8.6"/>
    <n v="401.1"/>
    <s v="Japanese"/>
    <s v="Rajkumar Hirani"/>
    <s v="Robert Downey Jr."/>
    <m/>
    <n v="11"/>
    <n v="23.6"/>
    <s v="Hit"/>
    <s v="Blockbuster"/>
    <s v="No"/>
    <s v="Low"/>
    <n v="12.600000000000001"/>
    <n v="214.54545454545456"/>
  </r>
  <r>
    <s v="NFX-101010"/>
    <x v="1009"/>
    <s v="TV Show"/>
    <x v="3"/>
    <n v="2019"/>
    <s v="India"/>
    <s v="2024-09-04"/>
    <n v="59"/>
    <s v="PG"/>
    <n v="5.2"/>
    <n v="112.8"/>
    <s v="German"/>
    <s v="Denis Villeneuve"/>
    <s v="Tom Hardy"/>
    <n v="6"/>
    <n v="141"/>
    <n v="358.8"/>
    <s v="Flop"/>
    <s v="Normal"/>
    <s v="Yes"/>
    <s v="High"/>
    <n v="217.8"/>
    <n v="254.46808510638297"/>
  </r>
  <r>
    <s v="NFX-101011"/>
    <x v="1010"/>
    <s v="TV Show"/>
    <x v="6"/>
    <n v="2018"/>
    <s v="Japan"/>
    <s v="2023-05-30"/>
    <n v="57"/>
    <s v="18+"/>
    <n v="7.5"/>
    <n v="54.8"/>
    <s v="Japanese"/>
    <s v="Steven Spielberg"/>
    <s v="Shah Rukh Khan"/>
    <n v="6"/>
    <n v="181"/>
    <n v="1110.0999999999999"/>
    <s v="Average"/>
    <s v="Normal"/>
    <s v="No"/>
    <s v="High"/>
    <n v="929.09999999999991"/>
    <n v="613.31491712707179"/>
  </r>
  <r>
    <s v="NFX-101012"/>
    <x v="1011"/>
    <s v="TV Show"/>
    <x v="4"/>
    <n v="2009"/>
    <s v="Canada"/>
    <s v="2020-09-16"/>
    <n v="45"/>
    <s v="PG-13"/>
    <n v="9.5"/>
    <n v="178.1"/>
    <s v="Korean"/>
    <s v="James Cameron"/>
    <s v="Shah Rukh Khan"/>
    <n v="3"/>
    <n v="132"/>
    <n v="650.1"/>
    <s v="Hit"/>
    <s v="Normal"/>
    <s v="No"/>
    <s v="High"/>
    <n v="518.1"/>
    <n v="492.5"/>
  </r>
  <r>
    <s v="NFX-101013"/>
    <x v="1012"/>
    <s v="Movie"/>
    <x v="3"/>
    <n v="2014"/>
    <s v="USA"/>
    <s v="2018-01-17"/>
    <n v="156"/>
    <s v="16+"/>
    <n v="7.5"/>
    <n v="83.2"/>
    <s v="Japanese"/>
    <s v="James Cameron"/>
    <s v="Deepika Padukone"/>
    <m/>
    <n v="78"/>
    <n v="429.5"/>
    <s v="Average"/>
    <s v="Normal"/>
    <s v="No"/>
    <s v="Low"/>
    <n v="351.5"/>
    <n v="550.64102564102564"/>
  </r>
  <r>
    <s v="NFX-101014"/>
    <x v="1013"/>
    <s v="Movie"/>
    <x v="6"/>
    <n v="2003"/>
    <s v="South Korea"/>
    <s v="2021-08-30"/>
    <n v="152"/>
    <s v="G"/>
    <n v="9.5"/>
    <n v="165.3"/>
    <s v="Spanish"/>
    <s v="James Cameron"/>
    <s v="Shah Rukh Khan"/>
    <m/>
    <n v="164"/>
    <n v="227.5"/>
    <s v="Hit"/>
    <s v="Normal"/>
    <s v="Yes"/>
    <s v="High"/>
    <n v="63.5"/>
    <n v="138.71951219512195"/>
  </r>
  <r>
    <s v="NFX-101015"/>
    <x v="1014"/>
    <s v="TV Show"/>
    <x v="9"/>
    <n v="2000"/>
    <s v="Canada"/>
    <s v="2020-01-01"/>
    <n v="51"/>
    <s v="16+"/>
    <n v="6.3"/>
    <n v="421"/>
    <s v="French"/>
    <s v="James Cameron"/>
    <s v="Lee Jung-jae"/>
    <n v="6"/>
    <n v="198"/>
    <n v="410.6"/>
    <s v="Average"/>
    <s v="Blockbuster"/>
    <s v="No"/>
    <s v="High"/>
    <n v="212.60000000000002"/>
    <n v="207.37373737373738"/>
  </r>
  <r>
    <s v="NFX-101016"/>
    <x v="1015"/>
    <s v="TV Show"/>
    <x v="7"/>
    <n v="2006"/>
    <s v="Australia"/>
    <s v="2023-12-30"/>
    <n v="42"/>
    <s v="16+"/>
    <n v="7.6"/>
    <n v="319.2"/>
    <s v="English"/>
    <s v="Christopher Nolan"/>
    <s v="Song Kang-ho"/>
    <n v="4"/>
    <n v="110"/>
    <n v="300.10000000000002"/>
    <s v="Average"/>
    <s v="Popular"/>
    <s v="No"/>
    <s v="High"/>
    <n v="190.10000000000002"/>
    <n v="272.81818181818187"/>
  </r>
  <r>
    <s v="NFX-101017"/>
    <x v="1016"/>
    <s v="Movie"/>
    <x v="9"/>
    <n v="2017"/>
    <s v="South Korea"/>
    <s v="2024-10-07"/>
    <n v="141"/>
    <s v="16+"/>
    <n v="6.5"/>
    <n v="451.6"/>
    <s v="Japanese"/>
    <s v="Christopher Nolan"/>
    <s v="Chris Evans"/>
    <m/>
    <n v="103"/>
    <n v="362.2"/>
    <s v="Average"/>
    <s v="Blockbuster"/>
    <s v="No"/>
    <s v="High"/>
    <n v="259.2"/>
    <n v="351.65048543689318"/>
  </r>
  <r>
    <s v="NFX-101018"/>
    <x v="1017"/>
    <s v="Movie"/>
    <x v="1"/>
    <n v="2025"/>
    <s v="Spain"/>
    <s v="2023-07-01"/>
    <n v="144"/>
    <s v="PG-13"/>
    <n v="5.8"/>
    <n v="120.4"/>
    <s v="Hindi"/>
    <s v="Quentin Tarantino"/>
    <s v="Lee Jung-jae"/>
    <m/>
    <n v="83"/>
    <n v="440.4"/>
    <s v="Flop"/>
    <s v="Normal"/>
    <s v="No"/>
    <s v="Low"/>
    <n v="357.4"/>
    <n v="530.60240963855426"/>
  </r>
  <r>
    <s v="NFX-101019"/>
    <x v="1018"/>
    <s v="Movie"/>
    <x v="2"/>
    <n v="2013"/>
    <s v="UK"/>
    <s v="2019-11-25"/>
    <n v="179"/>
    <s v="PG"/>
    <n v="6.7"/>
    <n v="268.7"/>
    <s v="German"/>
    <s v="Bong Joon-ho"/>
    <s v="Deepika Padukone"/>
    <m/>
    <n v="23"/>
    <n v="27.8"/>
    <s v="Average"/>
    <s v="Popular"/>
    <s v="Yes"/>
    <s v="Low"/>
    <n v="4.8000000000000007"/>
    <n v="120.86956521739131"/>
  </r>
  <r>
    <s v="NFX-101020"/>
    <x v="1019"/>
    <s v="TV Show"/>
    <x v="7"/>
    <n v="2011"/>
    <s v="France"/>
    <s v="2024-07-01"/>
    <n v="47"/>
    <s v="18+"/>
    <n v="7.2"/>
    <n v="16.8"/>
    <s v="German"/>
    <s v="Sanjay Leela Bhansali"/>
    <s v="Brad Pitt"/>
    <n v="8"/>
    <n v="139"/>
    <n v="539"/>
    <s v="Average"/>
    <s v="Normal"/>
    <s v="No"/>
    <s v="High"/>
    <n v="400"/>
    <n v="387.76978417266184"/>
  </r>
  <r>
    <s v="NFX-101021"/>
    <x v="1020"/>
    <s v="TV Show"/>
    <x v="2"/>
    <n v="2008"/>
    <s v="Canada"/>
    <s v="2018-07-01"/>
    <n v="51"/>
    <s v="18+"/>
    <n v="8.8000000000000007"/>
    <n v="256.39999999999998"/>
    <s v="Korean"/>
    <s v="Martin Scorsese"/>
    <s v="Ranbir Kapoor"/>
    <n v="1"/>
    <n v="110"/>
    <n v="432.5"/>
    <s v="Hit"/>
    <s v="Popular"/>
    <s v="No"/>
    <s v="High"/>
    <n v="322.5"/>
    <n v="393.18181818181819"/>
  </r>
  <r>
    <s v="NFX-101022"/>
    <x v="1021"/>
    <s v="TV Show"/>
    <x v="8"/>
    <n v="2022"/>
    <s v="Spain"/>
    <s v="2018-12-05"/>
    <n v="53"/>
    <s v="PG"/>
    <n v="8.8000000000000007"/>
    <n v="436.4"/>
    <s v="Spanish"/>
    <s v="Martin Scorsese"/>
    <s v="Deepika Padukone"/>
    <n v="5"/>
    <n v="118"/>
    <n v="398.8"/>
    <s v="Hit"/>
    <s v="Blockbuster"/>
    <s v="Yes"/>
    <s v="High"/>
    <n v="280.8"/>
    <n v="337.96610169491527"/>
  </r>
  <r>
    <s v="NFX-101023"/>
    <x v="1022"/>
    <s v="Movie"/>
    <x v="7"/>
    <n v="2002"/>
    <s v="Japan"/>
    <s v="2023-01-21"/>
    <n v="172"/>
    <s v="PG"/>
    <n v="7.2"/>
    <n v="338.7"/>
    <s v="Korean"/>
    <s v="Zoya Akhtar"/>
    <s v="Song Kang-ho"/>
    <m/>
    <n v="150"/>
    <n v="584.5"/>
    <s v="Average"/>
    <s v="Popular"/>
    <s v="Yes"/>
    <s v="High"/>
    <n v="434.5"/>
    <n v="389.66666666666663"/>
  </r>
  <r>
    <s v="NFX-101024"/>
    <x v="1023"/>
    <s v="TV Show"/>
    <x v="10"/>
    <n v="2009"/>
    <s v="Germany"/>
    <s v="2019-07-10"/>
    <n v="41"/>
    <s v="18+"/>
    <n v="5.7"/>
    <n v="434.3"/>
    <s v="German"/>
    <s v="Rajkumar Hirani"/>
    <s v="Robert Downey Jr."/>
    <n v="5"/>
    <n v="198"/>
    <n v="962.1"/>
    <s v="Flop"/>
    <s v="Blockbuster"/>
    <s v="No"/>
    <s v="High"/>
    <n v="764.1"/>
    <n v="485.90909090909093"/>
  </r>
  <r>
    <s v="NFX-101025"/>
    <x v="1024"/>
    <s v="TV Show"/>
    <x v="7"/>
    <n v="2025"/>
    <s v="USA"/>
    <s v="2022-01-25"/>
    <n v="50"/>
    <s v="PG-13"/>
    <n v="6.7"/>
    <n v="16.7"/>
    <s v="French"/>
    <s v="Anurag Kashyap"/>
    <s v="Deepika Padukone"/>
    <n v="2"/>
    <n v="103"/>
    <n v="332.1"/>
    <s v="Average"/>
    <s v="Normal"/>
    <s v="No"/>
    <s v="High"/>
    <n v="229.10000000000002"/>
    <n v="322.42718446601947"/>
  </r>
  <r>
    <s v="NFX-101026"/>
    <x v="1025"/>
    <s v="TV Show"/>
    <x v="6"/>
    <n v="2020"/>
    <s v="USA"/>
    <s v="2021-07-13"/>
    <n v="43"/>
    <s v="PG"/>
    <n v="5"/>
    <n v="2.2000000000000002"/>
    <s v="English"/>
    <s v="Denis Villeneuve"/>
    <s v="Tom Hardy"/>
    <n v="8"/>
    <n v="49"/>
    <n v="307.8"/>
    <s v="Flop"/>
    <s v="Normal"/>
    <s v="Yes"/>
    <s v="Low"/>
    <n v="258.8"/>
    <n v="628.16326530612253"/>
  </r>
  <r>
    <s v="NFX-101027"/>
    <x v="1026"/>
    <s v="Movie"/>
    <x v="7"/>
    <n v="2003"/>
    <s v="USA"/>
    <s v="2019-01-10"/>
    <n v="143"/>
    <s v="PG"/>
    <n v="6.6"/>
    <n v="242.3"/>
    <s v="German"/>
    <s v="Denis Villeneuve"/>
    <s v="Chris Evans"/>
    <m/>
    <n v="73"/>
    <n v="347.1"/>
    <s v="Average"/>
    <s v="Popular"/>
    <s v="Yes"/>
    <s v="Low"/>
    <n v="274.10000000000002"/>
    <n v="475.47945205479454"/>
  </r>
  <r>
    <s v="NFX-101028"/>
    <x v="1027"/>
    <s v="Movie"/>
    <x v="0"/>
    <n v="2018"/>
    <s v="UK"/>
    <s v="2022-03-14"/>
    <n v="119"/>
    <s v="18+"/>
    <n v="7.8"/>
    <n v="226"/>
    <s v="Hindi"/>
    <s v="Sanjay Leela Bhansali"/>
    <s v="Leonardo DiCaprio"/>
    <m/>
    <n v="125"/>
    <n v="582.20000000000005"/>
    <s v="Average"/>
    <s v="Popular"/>
    <s v="No"/>
    <s v="High"/>
    <n v="457.20000000000005"/>
    <n v="465.76000000000005"/>
  </r>
  <r>
    <s v="NFX-101029"/>
    <x v="1028"/>
    <s v="Movie"/>
    <x v="3"/>
    <n v="2023"/>
    <s v="Australia"/>
    <s v="2022-05-08"/>
    <n v="171"/>
    <s v="16+"/>
    <n v="8.6999999999999993"/>
    <n v="556.70000000000005"/>
    <s v="English"/>
    <s v="Steven Spielberg"/>
    <s v="Song Kang-ho"/>
    <m/>
    <n v="135"/>
    <n v="455.1"/>
    <s v="Hit"/>
    <s v="Blockbuster"/>
    <s v="No"/>
    <s v="High"/>
    <n v="320.10000000000002"/>
    <n v="337.11111111111114"/>
  </r>
  <r>
    <s v="NFX-101030"/>
    <x v="1029"/>
    <s v="Movie"/>
    <x v="2"/>
    <n v="2017"/>
    <s v="France"/>
    <s v="2021-04-11"/>
    <n v="151"/>
    <s v="PG"/>
    <n v="8.1999999999999993"/>
    <n v="317.60000000000002"/>
    <s v="German"/>
    <s v="Anurag Kashyap"/>
    <s v="Tom Hardy"/>
    <m/>
    <n v="36"/>
    <n v="98.7"/>
    <s v="Hit"/>
    <s v="Popular"/>
    <s v="Yes"/>
    <s v="Low"/>
    <n v="62.7"/>
    <n v="274.16666666666669"/>
  </r>
  <r>
    <s v="NFX-101031"/>
    <x v="1030"/>
    <s v="Movie"/>
    <x v="5"/>
    <n v="2017"/>
    <s v="Germany"/>
    <s v="2023-09-25"/>
    <n v="151"/>
    <s v="PG"/>
    <n v="7.5"/>
    <n v="29.3"/>
    <s v="Korean"/>
    <s v="Park Chan-wook"/>
    <s v="Ranbir Kapoor"/>
    <m/>
    <n v="33"/>
    <n v="199"/>
    <s v="Average"/>
    <s v="Normal"/>
    <s v="Yes"/>
    <s v="Low"/>
    <n v="166"/>
    <n v="603.030303030303"/>
  </r>
  <r>
    <s v="NFX-101032"/>
    <x v="1031"/>
    <s v="Movie"/>
    <x v="4"/>
    <n v="2013"/>
    <s v="Australia"/>
    <s v="2018-06-12"/>
    <n v="108"/>
    <s v="PG-13"/>
    <n v="5.8"/>
    <n v="227.9"/>
    <s v="German"/>
    <s v="Denis Villeneuve"/>
    <s v="Ryan Gosling"/>
    <m/>
    <n v="144"/>
    <n v="621.6"/>
    <s v="Flop"/>
    <s v="Popular"/>
    <s v="No"/>
    <s v="High"/>
    <n v="477.6"/>
    <n v="431.66666666666663"/>
  </r>
  <r>
    <s v="NFX-101033"/>
    <x v="1032"/>
    <s v="TV Show"/>
    <x v="6"/>
    <n v="2013"/>
    <s v="Spain"/>
    <s v="2018-06-20"/>
    <n v="52"/>
    <s v="PG-13"/>
    <n v="7.6"/>
    <n v="295.39999999999998"/>
    <s v="Japanese"/>
    <s v="Ridley Scott"/>
    <s v="Timothée Chalamet"/>
    <n v="4"/>
    <n v="125"/>
    <n v="376.9"/>
    <s v="Average"/>
    <s v="Popular"/>
    <s v="No"/>
    <s v="High"/>
    <n v="251.89999999999998"/>
    <n v="301.52"/>
  </r>
  <r>
    <s v="NFX-101034"/>
    <x v="1033"/>
    <s v="TV Show"/>
    <x v="7"/>
    <n v="2021"/>
    <s v="UK"/>
    <s v="2022-11-17"/>
    <n v="55"/>
    <s v="18+"/>
    <n v="5.5"/>
    <n v="236"/>
    <s v="Hindi"/>
    <s v="Rajkumar Hirani"/>
    <s v="Ryan Gosling"/>
    <n v="7"/>
    <n v="61"/>
    <n v="188.5"/>
    <s v="Flop"/>
    <s v="Popular"/>
    <s v="No"/>
    <s v="Low"/>
    <n v="127.5"/>
    <n v="309.01639344262298"/>
  </r>
  <r>
    <s v="NFX-101035"/>
    <x v="1034"/>
    <s v="Movie"/>
    <x v="1"/>
    <n v="2022"/>
    <s v="Germany"/>
    <s v="2023-04-27"/>
    <n v="161"/>
    <s v="G"/>
    <n v="6.2"/>
    <n v="153.69999999999999"/>
    <s v="English"/>
    <s v="Ridley Scott"/>
    <s v="Tom Hardy"/>
    <m/>
    <n v="108"/>
    <n v="312.7"/>
    <s v="Average"/>
    <s v="Normal"/>
    <s v="Yes"/>
    <s v="High"/>
    <n v="204.7"/>
    <n v="289.53703703703701"/>
  </r>
  <r>
    <s v="NFX-101036"/>
    <x v="1035"/>
    <s v="Movie"/>
    <x v="7"/>
    <n v="2008"/>
    <s v="UK"/>
    <s v="2020-08-03"/>
    <n v="114"/>
    <s v="16+"/>
    <n v="8.1"/>
    <n v="5.8"/>
    <s v="French"/>
    <s v="Ridley Scott"/>
    <s v="Timothée Chalamet"/>
    <m/>
    <n v="200"/>
    <n v="1182.4000000000001"/>
    <s v="Hit"/>
    <s v="Normal"/>
    <s v="No"/>
    <s v="High"/>
    <n v="982.40000000000009"/>
    <n v="591.20000000000005"/>
  </r>
  <r>
    <s v="NFX-101037"/>
    <x v="1036"/>
    <s v="TV Show"/>
    <x v="0"/>
    <n v="2019"/>
    <s v="Canada"/>
    <s v="2022-11-24"/>
    <n v="56"/>
    <s v="16+"/>
    <n v="4.7"/>
    <n v="65"/>
    <s v="Korean"/>
    <s v="Ridley Scott"/>
    <s v="Lee Jung-jae"/>
    <n v="1"/>
    <n v="147"/>
    <n v="232.5"/>
    <s v="Flop"/>
    <s v="Normal"/>
    <s v="No"/>
    <s v="High"/>
    <n v="85.5"/>
    <n v="158.16326530612247"/>
  </r>
  <r>
    <s v="NFX-101038"/>
    <x v="1037"/>
    <s v="TV Show"/>
    <x v="2"/>
    <n v="2000"/>
    <s v="Canada"/>
    <s v="2018-12-17"/>
    <n v="47"/>
    <s v="G"/>
    <n v="5.8"/>
    <n v="353.8"/>
    <s v="Japanese"/>
    <s v="Steven Spielberg"/>
    <s v="Emma Stone"/>
    <n v="7"/>
    <n v="79"/>
    <n v="187.9"/>
    <s v="Flop"/>
    <s v="Popular"/>
    <s v="Yes"/>
    <s v="Low"/>
    <n v="108.9"/>
    <n v="237.84810126582281"/>
  </r>
  <r>
    <s v="NFX-101039"/>
    <x v="1038"/>
    <s v="TV Show"/>
    <x v="6"/>
    <n v="2021"/>
    <s v="Japan"/>
    <s v="2021-08-08"/>
    <n v="34"/>
    <s v="G"/>
    <n v="8.1999999999999993"/>
    <n v="423.2"/>
    <s v="Hindi"/>
    <s v="Bong Joon-ho"/>
    <s v="Chris Evans"/>
    <n v="6"/>
    <n v="196"/>
    <n v="794.4"/>
    <s v="Hit"/>
    <s v="Blockbuster"/>
    <s v="Yes"/>
    <s v="High"/>
    <n v="598.4"/>
    <n v="405.30612244897964"/>
  </r>
  <r>
    <s v="NFX-101040"/>
    <x v="1039"/>
    <s v="TV Show"/>
    <x v="9"/>
    <n v="2018"/>
    <s v="Canada"/>
    <s v="2019-12-11"/>
    <n v="35"/>
    <s v="PG"/>
    <n v="8.3000000000000007"/>
    <n v="228.3"/>
    <s v="Korean"/>
    <s v="James Cameron"/>
    <s v="Scarlett Johansson"/>
    <n v="6"/>
    <n v="182"/>
    <n v="1140.5999999999999"/>
    <s v="Hit"/>
    <s v="Popular"/>
    <s v="Yes"/>
    <s v="High"/>
    <n v="958.59999999999991"/>
    <n v="626.7032967032967"/>
  </r>
  <r>
    <s v="NFX-101041"/>
    <x v="1040"/>
    <s v="TV Show"/>
    <x v="4"/>
    <n v="2011"/>
    <s v="South Korea"/>
    <s v="2020-09-14"/>
    <n v="57"/>
    <s v="16+"/>
    <n v="4.7"/>
    <n v="474.3"/>
    <s v="German"/>
    <s v="Zoya Akhtar"/>
    <s v="Song Kang-ho"/>
    <n v="1"/>
    <n v="192"/>
    <n v="231.6"/>
    <s v="Flop"/>
    <s v="Blockbuster"/>
    <s v="No"/>
    <s v="High"/>
    <n v="39.599999999999994"/>
    <n v="120.625"/>
  </r>
  <r>
    <s v="NFX-101042"/>
    <x v="1041"/>
    <s v="Movie"/>
    <x v="2"/>
    <n v="2002"/>
    <s v="USA"/>
    <s v="2023-08-06"/>
    <n v="152"/>
    <s v="18+"/>
    <n v="5.6"/>
    <n v="189.3"/>
    <s v="English"/>
    <s v="Guillermo del Toro"/>
    <s v="Tom Hardy"/>
    <m/>
    <n v="100"/>
    <n v="414.1"/>
    <s v="Flop"/>
    <s v="Normal"/>
    <s v="No"/>
    <s v="High"/>
    <n v="314.10000000000002"/>
    <n v="414.1"/>
  </r>
  <r>
    <s v="NFX-101043"/>
    <x v="1042"/>
    <s v="TV Show"/>
    <x v="2"/>
    <n v="2014"/>
    <s v="India"/>
    <s v="2021-08-28"/>
    <n v="59"/>
    <s v="18+"/>
    <n v="9.1999999999999993"/>
    <n v="335.2"/>
    <s v="English"/>
    <s v="Christopher Nolan"/>
    <s v="Ryan Gosling"/>
    <n v="4"/>
    <n v="10"/>
    <n v="31.8"/>
    <s v="Hit"/>
    <s v="Popular"/>
    <s v="No"/>
    <s v="Low"/>
    <n v="21.8"/>
    <n v="318"/>
  </r>
  <r>
    <s v="NFX-101044"/>
    <x v="1043"/>
    <s v="Movie"/>
    <x v="1"/>
    <n v="2021"/>
    <s v="South Korea"/>
    <s v="2018-02-14"/>
    <n v="152"/>
    <s v="PG-13"/>
    <n v="8.8000000000000007"/>
    <n v="460"/>
    <s v="Spanish"/>
    <s v="Greta Gerwig"/>
    <s v="Song Kang-ho"/>
    <m/>
    <n v="133"/>
    <n v="835.7"/>
    <s v="Hit"/>
    <s v="Blockbuster"/>
    <s v="No"/>
    <s v="High"/>
    <n v="702.7"/>
    <n v="628.34586466165422"/>
  </r>
  <r>
    <s v="NFX-101045"/>
    <x v="1044"/>
    <s v="TV Show"/>
    <x v="10"/>
    <n v="2018"/>
    <s v="Spain"/>
    <s v="2024-03-15"/>
    <n v="42"/>
    <s v="18+"/>
    <n v="9.3000000000000007"/>
    <n v="176.2"/>
    <s v="English"/>
    <s v="Guillermo del Toro"/>
    <s v="Jennifer Lawrence"/>
    <n v="4"/>
    <n v="41"/>
    <n v="56.4"/>
    <s v="Hit"/>
    <s v="Normal"/>
    <s v="No"/>
    <s v="Low"/>
    <n v="15.399999999999999"/>
    <n v="137.5609756097561"/>
  </r>
  <r>
    <s v="NFX-101046"/>
    <x v="1045"/>
    <s v="TV Show"/>
    <x v="1"/>
    <n v="2013"/>
    <s v="Germany"/>
    <s v="2018-05-22"/>
    <n v="53"/>
    <s v="18+"/>
    <n v="6.4"/>
    <n v="190.6"/>
    <s v="Japanese"/>
    <s v="Park Chan-wook"/>
    <s v="Robert Downey Jr."/>
    <n v="8"/>
    <n v="12"/>
    <n v="41.1"/>
    <s v="Average"/>
    <s v="Normal"/>
    <s v="No"/>
    <s v="Low"/>
    <n v="29.1"/>
    <n v="342.5"/>
  </r>
  <r>
    <s v="NFX-101047"/>
    <x v="1046"/>
    <s v="Movie"/>
    <x v="5"/>
    <n v="2015"/>
    <s v="Germany"/>
    <s v="2021-06-27"/>
    <n v="157"/>
    <s v="G"/>
    <n v="4.5999999999999996"/>
    <n v="247.6"/>
    <s v="Hindi"/>
    <s v="Anurag Kashyap"/>
    <s v="Robert Downey Jr."/>
    <m/>
    <n v="182"/>
    <n v="952.2"/>
    <s v="Flop"/>
    <s v="Popular"/>
    <s v="Yes"/>
    <s v="High"/>
    <n v="770.2"/>
    <n v="523.1868131868132"/>
  </r>
  <r>
    <s v="NFX-101048"/>
    <x v="1047"/>
    <s v="Movie"/>
    <x v="7"/>
    <n v="2018"/>
    <s v="South Korea"/>
    <s v="2024-10-10"/>
    <n v="113"/>
    <s v="PG-13"/>
    <n v="8.4"/>
    <n v="587.79999999999995"/>
    <s v="Spanish"/>
    <s v="Bong Joon-ho"/>
    <s v="Timothée Chalamet"/>
    <m/>
    <n v="11"/>
    <n v="52.8"/>
    <s v="Hit"/>
    <s v="Blockbuster"/>
    <s v="No"/>
    <s v="Low"/>
    <n v="41.8"/>
    <n v="480"/>
  </r>
  <r>
    <s v="NFX-101049"/>
    <x v="1048"/>
    <s v="TV Show"/>
    <x v="7"/>
    <n v="2021"/>
    <s v="Japan"/>
    <s v="2024-06-02"/>
    <n v="35"/>
    <s v="16+"/>
    <n v="8.6"/>
    <n v="405.5"/>
    <s v="Hindi"/>
    <s v="Ridley Scott"/>
    <s v="Scarlett Johansson"/>
    <n v="1"/>
    <n v="109"/>
    <n v="156.80000000000001"/>
    <s v="Hit"/>
    <s v="Blockbuster"/>
    <s v="No"/>
    <s v="High"/>
    <n v="47.800000000000011"/>
    <n v="143.85321100917432"/>
  </r>
  <r>
    <s v="NFX-101050"/>
    <x v="1049"/>
    <s v="Movie"/>
    <x v="1"/>
    <n v="2023"/>
    <s v="UK"/>
    <s v="2024-02-20"/>
    <n v="124"/>
    <s v="18+"/>
    <n v="9.5"/>
    <n v="201.7"/>
    <s v="German"/>
    <s v="Christopher Nolan"/>
    <s v="Tom Hardy"/>
    <m/>
    <n v="196"/>
    <n v="725"/>
    <s v="Hit"/>
    <s v="Popular"/>
    <s v="No"/>
    <s v="High"/>
    <n v="529"/>
    <n v="369.89795918367349"/>
  </r>
  <r>
    <s v="NFX-101051"/>
    <x v="1050"/>
    <s v="Movie"/>
    <x v="4"/>
    <n v="2013"/>
    <s v="India"/>
    <s v="2021-12-27"/>
    <n v="81"/>
    <s v="PG-13"/>
    <n v="9.5"/>
    <n v="235.4"/>
    <s v="French"/>
    <s v="Denis Villeneuve"/>
    <s v="Emma Stone"/>
    <m/>
    <n v="94"/>
    <n v="116.6"/>
    <s v="Hit"/>
    <s v="Popular"/>
    <s v="No"/>
    <s v="Low"/>
    <n v="22.599999999999994"/>
    <n v="124.04255319148936"/>
  </r>
  <r>
    <s v="NFX-101052"/>
    <x v="1051"/>
    <s v="Movie"/>
    <x v="1"/>
    <n v="2014"/>
    <s v="South Korea"/>
    <s v="2021-04-04"/>
    <n v="145"/>
    <s v="16+"/>
    <n v="5.8"/>
    <n v="571.79999999999995"/>
    <s v="English"/>
    <s v="Sanjay Leela Bhansali"/>
    <s v="Song Kang-ho"/>
    <m/>
    <n v="61"/>
    <n v="283.60000000000002"/>
    <s v="Flop"/>
    <s v="Blockbuster"/>
    <s v="No"/>
    <s v="Low"/>
    <n v="222.60000000000002"/>
    <n v="464.91803278688531"/>
  </r>
  <r>
    <s v="NFX-101053"/>
    <x v="1052"/>
    <s v="Movie"/>
    <x v="3"/>
    <n v="2010"/>
    <s v="USA"/>
    <s v="2018-10-12"/>
    <n v="163"/>
    <s v="PG"/>
    <n v="6.1"/>
    <n v="449.6"/>
    <s v="French"/>
    <s v="Quentin Tarantino"/>
    <s v="Leonardo DiCaprio"/>
    <m/>
    <n v="114"/>
    <n v="626.79999999999995"/>
    <s v="Average"/>
    <s v="Blockbuster"/>
    <s v="Yes"/>
    <s v="High"/>
    <n v="512.79999999999995"/>
    <n v="549.82456140350871"/>
  </r>
  <r>
    <s v="NFX-101054"/>
    <x v="1053"/>
    <s v="TV Show"/>
    <x v="2"/>
    <n v="2007"/>
    <s v="South Korea"/>
    <s v="2022-03-20"/>
    <n v="49"/>
    <s v="18+"/>
    <n v="7.8"/>
    <n v="311.39999999999998"/>
    <s v="French"/>
    <s v="Quentin Tarantino"/>
    <s v="Song Kang-ho"/>
    <n v="5"/>
    <n v="74"/>
    <n v="163"/>
    <s v="Average"/>
    <s v="Popular"/>
    <s v="No"/>
    <s v="Low"/>
    <n v="89"/>
    <n v="220.27027027027026"/>
  </r>
  <r>
    <s v="NFX-101055"/>
    <x v="1054"/>
    <s v="Movie"/>
    <x v="3"/>
    <n v="2011"/>
    <s v="Spain"/>
    <s v="2021-09-27"/>
    <n v="169"/>
    <s v="G"/>
    <n v="6.5"/>
    <n v="568.6"/>
    <s v="English"/>
    <s v="Anurag Kashyap"/>
    <s v="Chris Evans"/>
    <m/>
    <n v="106"/>
    <n v="149.80000000000001"/>
    <s v="Average"/>
    <s v="Blockbuster"/>
    <s v="Yes"/>
    <s v="High"/>
    <n v="43.800000000000011"/>
    <n v="141.32075471698113"/>
  </r>
  <r>
    <s v="NFX-101056"/>
    <x v="1055"/>
    <s v="Movie"/>
    <x v="1"/>
    <n v="2025"/>
    <s v="France"/>
    <s v="2024-08-26"/>
    <n v="111"/>
    <s v="PG"/>
    <n v="8.8000000000000007"/>
    <n v="486.8"/>
    <s v="French"/>
    <s v="Anurag Kashyap"/>
    <s v="Brad Pitt"/>
    <m/>
    <n v="84"/>
    <n v="156.30000000000001"/>
    <s v="Hit"/>
    <s v="Blockbuster"/>
    <s v="Yes"/>
    <s v="Low"/>
    <n v="72.300000000000011"/>
    <n v="186.07142857142858"/>
  </r>
  <r>
    <s v="NFX-101057"/>
    <x v="1056"/>
    <s v="TV Show"/>
    <x v="6"/>
    <n v="2001"/>
    <s v="USA"/>
    <s v="2020-08-08"/>
    <n v="35"/>
    <s v="PG"/>
    <n v="5.9"/>
    <n v="390"/>
    <s v="Spanish"/>
    <s v="Zoya Akhtar"/>
    <s v="Tom Hardy"/>
    <n v="7"/>
    <n v="145"/>
    <n v="522.9"/>
    <s v="Flop"/>
    <s v="Popular"/>
    <s v="Yes"/>
    <s v="High"/>
    <n v="377.9"/>
    <n v="360.62068965517238"/>
  </r>
  <r>
    <s v="NFX-101058"/>
    <x v="1057"/>
    <s v="TV Show"/>
    <x v="3"/>
    <n v="2010"/>
    <s v="Australia"/>
    <s v="2022-09-07"/>
    <n v="43"/>
    <s v="16+"/>
    <n v="5"/>
    <n v="478.3"/>
    <s v="Japanese"/>
    <s v="Sanjay Leela Bhansali"/>
    <s v="Song Kang-ho"/>
    <n v="1"/>
    <n v="189"/>
    <n v="1197.4000000000001"/>
    <s v="Flop"/>
    <s v="Blockbuster"/>
    <s v="No"/>
    <s v="High"/>
    <n v="1008.4000000000001"/>
    <n v="633.54497354497369"/>
  </r>
  <r>
    <s v="NFX-101059"/>
    <x v="1058"/>
    <s v="Movie"/>
    <x v="6"/>
    <n v="2014"/>
    <s v="South Korea"/>
    <s v="2018-11-14"/>
    <n v="134"/>
    <s v="18+"/>
    <n v="6.8"/>
    <n v="294.2"/>
    <s v="English"/>
    <s v="Sanjay Leela Bhansali"/>
    <s v="Jennifer Lawrence"/>
    <m/>
    <n v="118"/>
    <n v="592.4"/>
    <s v="Average"/>
    <s v="Popular"/>
    <s v="No"/>
    <s v="High"/>
    <n v="474.4"/>
    <n v="502.03389830508473"/>
  </r>
  <r>
    <s v="NFX-101060"/>
    <x v="1059"/>
    <s v="TV Show"/>
    <x v="6"/>
    <n v="2013"/>
    <s v="UK"/>
    <s v="2020-03-28"/>
    <n v="34"/>
    <s v="16+"/>
    <n v="6.5"/>
    <n v="273.89999999999998"/>
    <s v="Hindi"/>
    <s v="Zoya Akhtar"/>
    <s v="Leonardo DiCaprio"/>
    <n v="2"/>
    <n v="153"/>
    <n v="763.2"/>
    <s v="Average"/>
    <s v="Popular"/>
    <s v="No"/>
    <s v="High"/>
    <n v="610.20000000000005"/>
    <n v="498.8235294117647"/>
  </r>
  <r>
    <s v="NFX-101061"/>
    <x v="1060"/>
    <s v="TV Show"/>
    <x v="0"/>
    <n v="2001"/>
    <s v="UK"/>
    <s v="2022-08-12"/>
    <n v="52"/>
    <s v="G"/>
    <n v="7.9"/>
    <n v="545.79999999999995"/>
    <s v="German"/>
    <s v="James Cameron"/>
    <s v="Chris Evans"/>
    <n v="6"/>
    <n v="79"/>
    <n v="225.5"/>
    <s v="Average"/>
    <s v="Blockbuster"/>
    <s v="Yes"/>
    <s v="Low"/>
    <n v="146.5"/>
    <n v="285.44303797468353"/>
  </r>
  <r>
    <s v="NFX-101062"/>
    <x v="1061"/>
    <s v="Movie"/>
    <x v="4"/>
    <n v="2023"/>
    <s v="Australia"/>
    <s v="2018-07-03"/>
    <n v="122"/>
    <s v="PG-13"/>
    <n v="8.6"/>
    <n v="67.099999999999994"/>
    <s v="Hindi"/>
    <s v="Greta Gerwig"/>
    <s v="Deepika Padukone"/>
    <m/>
    <n v="149"/>
    <n v="871.6"/>
    <s v="Hit"/>
    <s v="Normal"/>
    <s v="No"/>
    <s v="High"/>
    <n v="722.6"/>
    <n v="584.96644295302019"/>
  </r>
  <r>
    <s v="NFX-101063"/>
    <x v="1062"/>
    <s v="TV Show"/>
    <x v="2"/>
    <n v="2016"/>
    <s v="South Korea"/>
    <s v="2024-05-26"/>
    <n v="39"/>
    <s v="PG"/>
    <n v="5.2"/>
    <n v="424.7"/>
    <s v="Japanese"/>
    <s v="Zoya Akhtar"/>
    <s v="Leonardo DiCaprio"/>
    <n v="4"/>
    <n v="85"/>
    <n v="395.5"/>
    <s v="Flop"/>
    <s v="Blockbuster"/>
    <s v="Yes"/>
    <s v="Low"/>
    <n v="310.5"/>
    <n v="465.29411764705884"/>
  </r>
  <r>
    <s v="NFX-101064"/>
    <x v="1063"/>
    <s v="Movie"/>
    <x v="10"/>
    <n v="2000"/>
    <s v="Japan"/>
    <s v="2018-02-17"/>
    <n v="106"/>
    <s v="G"/>
    <n v="4.9000000000000004"/>
    <n v="489.9"/>
    <s v="English"/>
    <s v="Sanjay Leela Bhansali"/>
    <s v="Deepika Padukone"/>
    <m/>
    <n v="65"/>
    <n v="193.3"/>
    <s v="Flop"/>
    <s v="Blockbuster"/>
    <s v="Yes"/>
    <s v="Low"/>
    <n v="128.30000000000001"/>
    <n v="297.38461538461542"/>
  </r>
  <r>
    <s v="NFX-101065"/>
    <x v="1064"/>
    <s v="TV Show"/>
    <x v="5"/>
    <n v="2024"/>
    <s v="India"/>
    <s v="2019-11-12"/>
    <n v="55"/>
    <s v="G"/>
    <n v="9.4"/>
    <n v="507.2"/>
    <s v="English"/>
    <s v="Quentin Tarantino"/>
    <s v="Robert Downey Jr."/>
    <n v="4"/>
    <n v="126"/>
    <n v="568.5"/>
    <s v="Hit"/>
    <s v="Blockbuster"/>
    <s v="Yes"/>
    <s v="High"/>
    <n v="442.5"/>
    <n v="451.1904761904762"/>
  </r>
  <r>
    <s v="NFX-101066"/>
    <x v="1065"/>
    <s v="TV Show"/>
    <x v="0"/>
    <n v="2014"/>
    <s v="Canada"/>
    <s v="2024-10-14"/>
    <n v="34"/>
    <s v="PG"/>
    <n v="9.3000000000000007"/>
    <n v="188.5"/>
    <s v="Japanese"/>
    <s v="Sanjay Leela Bhansali"/>
    <s v="Timothée Chalamet"/>
    <n v="2"/>
    <n v="74"/>
    <n v="224.1"/>
    <s v="Hit"/>
    <s v="Normal"/>
    <s v="Yes"/>
    <s v="Low"/>
    <n v="150.1"/>
    <n v="302.83783783783787"/>
  </r>
  <r>
    <s v="NFX-101067"/>
    <x v="1066"/>
    <s v="Movie"/>
    <x v="3"/>
    <n v="2020"/>
    <s v="UK"/>
    <s v="2021-08-25"/>
    <n v="159"/>
    <s v="G"/>
    <n v="9.1"/>
    <n v="414.7"/>
    <s v="Spanish"/>
    <s v="James Cameron"/>
    <s v="Ryan Gosling"/>
    <m/>
    <n v="196"/>
    <n v="670.6"/>
    <s v="Hit"/>
    <s v="Blockbuster"/>
    <s v="Yes"/>
    <s v="High"/>
    <n v="474.6"/>
    <n v="342.14285714285717"/>
  </r>
  <r>
    <s v="NFX-101068"/>
    <x v="1067"/>
    <s v="TV Show"/>
    <x v="6"/>
    <n v="2024"/>
    <s v="Spain"/>
    <s v="2018-02-04"/>
    <n v="42"/>
    <s v="PG"/>
    <n v="7.9"/>
    <n v="575.29999999999995"/>
    <s v="French"/>
    <s v="Park Chan-wook"/>
    <s v="Timothée Chalamet"/>
    <n v="3"/>
    <n v="182"/>
    <n v="413.2"/>
    <s v="Average"/>
    <s v="Blockbuster"/>
    <s v="Yes"/>
    <s v="High"/>
    <n v="231.2"/>
    <n v="227.03296703296704"/>
  </r>
  <r>
    <s v="NFX-101069"/>
    <x v="1068"/>
    <s v="Movie"/>
    <x v="3"/>
    <n v="2010"/>
    <s v="USA"/>
    <s v="2023-02-23"/>
    <n v="142"/>
    <s v="G"/>
    <n v="5.6"/>
    <n v="28.4"/>
    <s v="Spanish"/>
    <s v="Guillermo del Toro"/>
    <s v="Leonardo DiCaprio"/>
    <m/>
    <n v="79"/>
    <n v="132"/>
    <s v="Flop"/>
    <s v="Normal"/>
    <s v="Yes"/>
    <s v="Low"/>
    <n v="53"/>
    <n v="167.08860759493672"/>
  </r>
  <r>
    <s v="NFX-101070"/>
    <x v="1069"/>
    <s v="TV Show"/>
    <x v="9"/>
    <n v="2020"/>
    <s v="Canada"/>
    <s v="2021-02-12"/>
    <n v="51"/>
    <s v="18+"/>
    <n v="7.4"/>
    <n v="569.1"/>
    <s v="Hindi"/>
    <s v="Bong Joon-ho"/>
    <s v="Tom Hardy"/>
    <n v="7"/>
    <n v="72"/>
    <n v="203.7"/>
    <s v="Average"/>
    <s v="Blockbuster"/>
    <s v="No"/>
    <s v="Low"/>
    <n v="131.69999999999999"/>
    <n v="282.91666666666669"/>
  </r>
  <r>
    <s v="NFX-101071"/>
    <x v="1070"/>
    <s v="Movie"/>
    <x v="6"/>
    <n v="2020"/>
    <s v="France"/>
    <s v="2022-08-12"/>
    <n v="158"/>
    <s v="PG-13"/>
    <n v="7"/>
    <n v="418.5"/>
    <s v="English"/>
    <s v="Park Chan-wook"/>
    <s v="Emma Stone"/>
    <m/>
    <n v="101"/>
    <n v="365"/>
    <s v="Average"/>
    <s v="Blockbuster"/>
    <s v="No"/>
    <s v="High"/>
    <n v="264"/>
    <n v="361.38613861386142"/>
  </r>
  <r>
    <s v="NFX-101072"/>
    <x v="1071"/>
    <s v="TV Show"/>
    <x v="0"/>
    <n v="2017"/>
    <s v="France"/>
    <s v="2018-04-20"/>
    <n v="30"/>
    <s v="G"/>
    <n v="6"/>
    <n v="454.7"/>
    <s v="Korean"/>
    <s v="Denis Villeneuve"/>
    <s v="Leonardo DiCaprio"/>
    <n v="1"/>
    <n v="90"/>
    <n v="159.4"/>
    <s v="Average"/>
    <s v="Blockbuster"/>
    <s v="Yes"/>
    <s v="Low"/>
    <n v="69.400000000000006"/>
    <n v="177.11111111111111"/>
  </r>
  <r>
    <s v="NFX-101073"/>
    <x v="1072"/>
    <s v="Movie"/>
    <x v="9"/>
    <n v="2003"/>
    <s v="Spain"/>
    <s v="2024-06-28"/>
    <n v="154"/>
    <s v="PG"/>
    <n v="9.1"/>
    <n v="572.70000000000005"/>
    <s v="Hindi"/>
    <s v="Ridley Scott"/>
    <s v="Robert Downey Jr."/>
    <m/>
    <n v="180"/>
    <n v="329.3"/>
    <s v="Hit"/>
    <s v="Blockbuster"/>
    <s v="Yes"/>
    <s v="High"/>
    <n v="149.30000000000001"/>
    <n v="182.94444444444446"/>
  </r>
  <r>
    <s v="NFX-101074"/>
    <x v="1073"/>
    <s v="Movie"/>
    <x v="7"/>
    <n v="2011"/>
    <s v="India"/>
    <s v="2018-08-14"/>
    <n v="101"/>
    <s v="16+"/>
    <n v="9.5"/>
    <n v="80.2"/>
    <s v="Spanish"/>
    <s v="Rajkumar Hirani"/>
    <s v="Deepika Padukone"/>
    <m/>
    <n v="73"/>
    <n v="348.8"/>
    <s v="Hit"/>
    <s v="Normal"/>
    <s v="No"/>
    <s v="Low"/>
    <n v="275.8"/>
    <n v="477.8082191780822"/>
  </r>
  <r>
    <s v="NFX-101075"/>
    <x v="1074"/>
    <s v="Movie"/>
    <x v="5"/>
    <n v="2006"/>
    <s v="Spain"/>
    <s v="2019-05-25"/>
    <n v="153"/>
    <s v="18+"/>
    <n v="8.8000000000000007"/>
    <n v="563.5"/>
    <s v="Hindi"/>
    <s v="Ridley Scott"/>
    <s v="Timothée Chalamet"/>
    <m/>
    <n v="74"/>
    <n v="287.5"/>
    <s v="Hit"/>
    <s v="Blockbuster"/>
    <s v="No"/>
    <s v="Low"/>
    <n v="213.5"/>
    <n v="388.51351351351349"/>
  </r>
  <r>
    <s v="NFX-101076"/>
    <x v="1075"/>
    <s v="Movie"/>
    <x v="8"/>
    <n v="2017"/>
    <s v="Spain"/>
    <s v="2018-03-05"/>
    <n v="87"/>
    <s v="PG-13"/>
    <n v="7.4"/>
    <n v="370.1"/>
    <s v="English"/>
    <s v="Martin Scorsese"/>
    <s v="Leonardo DiCaprio"/>
    <m/>
    <n v="102"/>
    <n v="370.4"/>
    <s v="Average"/>
    <s v="Popular"/>
    <s v="No"/>
    <s v="High"/>
    <n v="268.39999999999998"/>
    <n v="363.13725490196077"/>
  </r>
  <r>
    <s v="NFX-101077"/>
    <x v="1076"/>
    <s v="TV Show"/>
    <x v="9"/>
    <n v="2004"/>
    <s v="India"/>
    <s v="2019-04-03"/>
    <n v="37"/>
    <s v="G"/>
    <n v="8.3000000000000007"/>
    <n v="134.5"/>
    <s v="German"/>
    <s v="Park Chan-wook"/>
    <s v="Shah Rukh Khan"/>
    <n v="8"/>
    <n v="146"/>
    <n v="763.8"/>
    <s v="Hit"/>
    <s v="Normal"/>
    <s v="Yes"/>
    <s v="High"/>
    <n v="617.79999999999995"/>
    <n v="523.15068493150682"/>
  </r>
  <r>
    <s v="NFX-101078"/>
    <x v="1077"/>
    <s v="Movie"/>
    <x v="8"/>
    <n v="2005"/>
    <s v="Japan"/>
    <s v="2023-01-30"/>
    <n v="86"/>
    <s v="PG"/>
    <n v="7.6"/>
    <n v="163.4"/>
    <s v="Hindi"/>
    <s v="Zoya Akhtar"/>
    <s v="Deepika Padukone"/>
    <m/>
    <n v="68"/>
    <n v="136"/>
    <s v="Average"/>
    <s v="Normal"/>
    <s v="Yes"/>
    <s v="Low"/>
    <n v="68"/>
    <n v="200"/>
  </r>
  <r>
    <s v="NFX-101079"/>
    <x v="1078"/>
    <s v="Movie"/>
    <x v="2"/>
    <n v="2009"/>
    <s v="Japan"/>
    <s v="2020-11-01"/>
    <n v="108"/>
    <s v="18+"/>
    <n v="8"/>
    <n v="189.7"/>
    <s v="Hindi"/>
    <s v="Denis Villeneuve"/>
    <s v="Emma Stone"/>
    <m/>
    <n v="66"/>
    <n v="96"/>
    <s v="Hit"/>
    <s v="Normal"/>
    <s v="No"/>
    <s v="Low"/>
    <n v="30"/>
    <n v="145.45454545454547"/>
  </r>
  <r>
    <s v="NFX-101080"/>
    <x v="1079"/>
    <s v="TV Show"/>
    <x v="1"/>
    <n v="2003"/>
    <s v="France"/>
    <s v="2020-01-15"/>
    <n v="45"/>
    <s v="G"/>
    <n v="7.5"/>
    <n v="336.4"/>
    <s v="Japanese"/>
    <s v="Martin Scorsese"/>
    <s v="Jennifer Lawrence"/>
    <n v="6"/>
    <n v="46"/>
    <n v="170.3"/>
    <s v="Average"/>
    <s v="Popular"/>
    <s v="Yes"/>
    <s v="Low"/>
    <n v="124.30000000000001"/>
    <n v="370.21739130434781"/>
  </r>
  <r>
    <s v="NFX-101081"/>
    <x v="1080"/>
    <s v="Movie"/>
    <x v="7"/>
    <n v="2001"/>
    <s v="India"/>
    <s v="2020-08-02"/>
    <n v="124"/>
    <s v="PG-13"/>
    <n v="7.1"/>
    <n v="426.4"/>
    <s v="Hindi"/>
    <s v="Steven Spielberg"/>
    <s v="Shah Rukh Khan"/>
    <m/>
    <n v="128"/>
    <n v="492.4"/>
    <s v="Average"/>
    <s v="Blockbuster"/>
    <s v="No"/>
    <s v="High"/>
    <n v="364.4"/>
    <n v="384.6875"/>
  </r>
  <r>
    <s v="NFX-101082"/>
    <x v="1081"/>
    <s v="TV Show"/>
    <x v="4"/>
    <n v="2003"/>
    <s v="USA"/>
    <s v="2021-08-12"/>
    <n v="48"/>
    <s v="18+"/>
    <n v="9"/>
    <n v="501.8"/>
    <s v="French"/>
    <s v="Martin Scorsese"/>
    <s v="Deepika Padukone"/>
    <n v="5"/>
    <n v="11"/>
    <n v="14.5"/>
    <s v="Hit"/>
    <s v="Blockbuster"/>
    <s v="No"/>
    <s v="Low"/>
    <n v="3.5"/>
    <n v="131.81818181818181"/>
  </r>
  <r>
    <s v="NFX-101083"/>
    <x v="1082"/>
    <s v="TV Show"/>
    <x v="9"/>
    <n v="2000"/>
    <s v="India"/>
    <s v="2023-01-07"/>
    <n v="47"/>
    <s v="16+"/>
    <n v="6.8"/>
    <n v="505.5"/>
    <s v="English"/>
    <s v="Zoya Akhtar"/>
    <s v="Shah Rukh Khan"/>
    <n v="1"/>
    <n v="24"/>
    <n v="68.7"/>
    <s v="Average"/>
    <s v="Blockbuster"/>
    <s v="No"/>
    <s v="Low"/>
    <n v="44.7"/>
    <n v="286.25"/>
  </r>
  <r>
    <s v="NFX-101084"/>
    <x v="1083"/>
    <s v="TV Show"/>
    <x v="0"/>
    <n v="2013"/>
    <s v="UK"/>
    <s v="2020-04-08"/>
    <n v="35"/>
    <s v="G"/>
    <n v="5"/>
    <n v="79.2"/>
    <s v="English"/>
    <s v="Rajkumar Hirani"/>
    <s v="Jennifer Lawrence"/>
    <n v="6"/>
    <n v="182"/>
    <n v="985.1"/>
    <s v="Flop"/>
    <s v="Normal"/>
    <s v="Yes"/>
    <s v="High"/>
    <n v="803.1"/>
    <n v="541.26373626373629"/>
  </r>
  <r>
    <s v="NFX-101085"/>
    <x v="1084"/>
    <s v="Movie"/>
    <x v="1"/>
    <n v="2003"/>
    <s v="Japan"/>
    <s v="2019-01-12"/>
    <n v="161"/>
    <s v="18+"/>
    <n v="5.8"/>
    <n v="356.8"/>
    <s v="English"/>
    <s v="Steven Spielberg"/>
    <s v="Lee Jung-jae"/>
    <m/>
    <n v="99"/>
    <n v="268.89999999999998"/>
    <s v="Flop"/>
    <s v="Popular"/>
    <s v="No"/>
    <s v="Low"/>
    <n v="169.89999999999998"/>
    <n v="271.61616161616161"/>
  </r>
  <r>
    <s v="NFX-101086"/>
    <x v="1085"/>
    <s v="Movie"/>
    <x v="6"/>
    <n v="2019"/>
    <s v="India"/>
    <s v="2023-05-18"/>
    <n v="133"/>
    <s v="G"/>
    <n v="8.4"/>
    <n v="168.6"/>
    <s v="Japanese"/>
    <s v="Guillermo del Toro"/>
    <s v="Jennifer Lawrence"/>
    <m/>
    <n v="87"/>
    <n v="441.6"/>
    <s v="Hit"/>
    <s v="Normal"/>
    <s v="Yes"/>
    <s v="Low"/>
    <n v="354.6"/>
    <n v="507.58620689655174"/>
  </r>
  <r>
    <s v="NFX-101087"/>
    <x v="1086"/>
    <s v="TV Show"/>
    <x v="10"/>
    <n v="2006"/>
    <s v="Australia"/>
    <s v="2018-02-25"/>
    <n v="56"/>
    <s v="PG"/>
    <n v="8.4"/>
    <n v="29.9"/>
    <s v="Spanish"/>
    <s v="Denis Villeneuve"/>
    <s v="Ryan Gosling"/>
    <n v="8"/>
    <n v="81"/>
    <n v="214.7"/>
    <s v="Hit"/>
    <s v="Normal"/>
    <s v="Yes"/>
    <s v="Low"/>
    <n v="133.69999999999999"/>
    <n v="265.06172839506172"/>
  </r>
  <r>
    <s v="NFX-101088"/>
    <x v="1087"/>
    <s v="Movie"/>
    <x v="2"/>
    <n v="2014"/>
    <s v="USA"/>
    <s v="2022-12-31"/>
    <n v="159"/>
    <s v="PG"/>
    <n v="7.2"/>
    <n v="523.9"/>
    <s v="Japanese"/>
    <s v="Martin Scorsese"/>
    <s v="Song Kang-ho"/>
    <m/>
    <n v="73"/>
    <n v="408.4"/>
    <s v="Average"/>
    <s v="Blockbuster"/>
    <s v="Yes"/>
    <s v="Low"/>
    <n v="335.4"/>
    <n v="559.45205479452045"/>
  </r>
  <r>
    <s v="NFX-101089"/>
    <x v="1088"/>
    <s v="Movie"/>
    <x v="3"/>
    <n v="2019"/>
    <s v="Australia"/>
    <s v="2019-09-10"/>
    <n v="80"/>
    <s v="18+"/>
    <n v="8.9"/>
    <n v="285.2"/>
    <s v="Korean"/>
    <s v="Quentin Tarantino"/>
    <s v="Ranbir Kapoor"/>
    <m/>
    <n v="174"/>
    <n v="258.10000000000002"/>
    <s v="Hit"/>
    <s v="Popular"/>
    <s v="No"/>
    <s v="High"/>
    <n v="84.100000000000023"/>
    <n v="148.33333333333334"/>
  </r>
  <r>
    <s v="NFX-101090"/>
    <x v="1089"/>
    <s v="Movie"/>
    <x v="0"/>
    <n v="2001"/>
    <s v="Canada"/>
    <s v="2021-10-15"/>
    <n v="144"/>
    <s v="18+"/>
    <n v="8.5"/>
    <n v="181.1"/>
    <s v="Spanish"/>
    <s v="Bong Joon-ho"/>
    <s v="Deepika Padukone"/>
    <m/>
    <n v="171"/>
    <n v="219.2"/>
    <s v="Hit"/>
    <s v="Normal"/>
    <s v="No"/>
    <s v="High"/>
    <n v="48.199999999999989"/>
    <n v="128.18713450292395"/>
  </r>
  <r>
    <s v="NFX-101091"/>
    <x v="1090"/>
    <s v="TV Show"/>
    <x v="7"/>
    <n v="2009"/>
    <s v="Germany"/>
    <s v="2024-10-02"/>
    <n v="35"/>
    <s v="16+"/>
    <n v="9.5"/>
    <n v="383.4"/>
    <s v="Korean"/>
    <s v="Zoya Akhtar"/>
    <s v="Tom Hardy"/>
    <n v="6"/>
    <n v="7"/>
    <n v="26.2"/>
    <s v="Hit"/>
    <s v="Popular"/>
    <s v="No"/>
    <s v="Low"/>
    <n v="19.2"/>
    <n v="374.28571428571428"/>
  </r>
  <r>
    <s v="NFX-101092"/>
    <x v="1091"/>
    <s v="TV Show"/>
    <x v="5"/>
    <n v="2005"/>
    <s v="Japan"/>
    <s v="2021-01-06"/>
    <n v="46"/>
    <s v="PG-13"/>
    <n v="6.4"/>
    <n v="38.4"/>
    <s v="German"/>
    <s v="Steven Spielberg"/>
    <s v="Emma Stone"/>
    <n v="3"/>
    <n v="23"/>
    <n v="101.6"/>
    <s v="Average"/>
    <s v="Normal"/>
    <s v="No"/>
    <s v="Low"/>
    <n v="78.599999999999994"/>
    <n v="441.73913043478257"/>
  </r>
  <r>
    <s v="NFX-101093"/>
    <x v="1092"/>
    <s v="TV Show"/>
    <x v="3"/>
    <n v="2017"/>
    <s v="France"/>
    <s v="2021-04-04"/>
    <n v="47"/>
    <s v="18+"/>
    <n v="5.6"/>
    <n v="276.60000000000002"/>
    <s v="French"/>
    <s v="Ridley Scott"/>
    <s v="Ryan Gosling"/>
    <n v="3"/>
    <n v="196"/>
    <n v="279.39999999999998"/>
    <s v="Flop"/>
    <s v="Popular"/>
    <s v="No"/>
    <s v="High"/>
    <n v="83.399999999999977"/>
    <n v="142.55102040816325"/>
  </r>
  <r>
    <s v="NFX-101094"/>
    <x v="1093"/>
    <s v="TV Show"/>
    <x v="7"/>
    <n v="2016"/>
    <s v="USA"/>
    <s v="2022-06-21"/>
    <n v="31"/>
    <s v="18+"/>
    <n v="9.1999999999999993"/>
    <n v="289.89999999999998"/>
    <s v="Spanish"/>
    <s v="Christopher Nolan"/>
    <s v="Timothée Chalamet"/>
    <n v="2"/>
    <n v="198"/>
    <n v="266.5"/>
    <s v="Hit"/>
    <s v="Popular"/>
    <s v="No"/>
    <s v="High"/>
    <n v="68.5"/>
    <n v="134.59595959595961"/>
  </r>
  <r>
    <s v="NFX-101095"/>
    <x v="1094"/>
    <s v="TV Show"/>
    <x v="4"/>
    <n v="2007"/>
    <s v="Germany"/>
    <s v="2024-02-04"/>
    <n v="54"/>
    <s v="16+"/>
    <n v="5.2"/>
    <n v="16.2"/>
    <s v="Spanish"/>
    <s v="Quentin Tarantino"/>
    <s v="Ranbir Kapoor"/>
    <n v="5"/>
    <n v="48"/>
    <n v="203.6"/>
    <s v="Flop"/>
    <s v="Normal"/>
    <s v="No"/>
    <s v="Low"/>
    <n v="155.6"/>
    <n v="424.16666666666663"/>
  </r>
  <r>
    <s v="NFX-101096"/>
    <x v="1095"/>
    <s v="TV Show"/>
    <x v="9"/>
    <n v="2002"/>
    <s v="Spain"/>
    <s v="2022-09-09"/>
    <n v="36"/>
    <s v="PG-13"/>
    <n v="6.4"/>
    <n v="419"/>
    <s v="German"/>
    <s v="Steven Spielberg"/>
    <s v="Emma Stone"/>
    <n v="7"/>
    <n v="8"/>
    <n v="41.7"/>
    <s v="Average"/>
    <s v="Blockbuster"/>
    <s v="No"/>
    <s v="Low"/>
    <n v="33.700000000000003"/>
    <n v="521.25"/>
  </r>
  <r>
    <s v="NFX-101097"/>
    <x v="1096"/>
    <s v="Movie"/>
    <x v="9"/>
    <n v="2021"/>
    <s v="Japan"/>
    <s v="2023-04-11"/>
    <n v="101"/>
    <s v="PG"/>
    <n v="4.9000000000000004"/>
    <n v="184.1"/>
    <s v="Hindi"/>
    <s v="Martin Scorsese"/>
    <s v="Leonardo DiCaprio"/>
    <m/>
    <n v="14"/>
    <n v="71.3"/>
    <s v="Flop"/>
    <s v="Normal"/>
    <s v="Yes"/>
    <s v="Low"/>
    <n v="57.3"/>
    <n v="509.28571428571428"/>
  </r>
  <r>
    <s v="NFX-101098"/>
    <x v="1097"/>
    <s v="TV Show"/>
    <x v="8"/>
    <n v="2019"/>
    <s v="UK"/>
    <s v="2023-12-08"/>
    <n v="55"/>
    <s v="PG-13"/>
    <n v="5.2"/>
    <n v="328.7"/>
    <s v="German"/>
    <s v="Anurag Kashyap"/>
    <s v="Ryan Gosling"/>
    <n v="3"/>
    <n v="109"/>
    <n v="496.3"/>
    <s v="Flop"/>
    <s v="Popular"/>
    <s v="No"/>
    <s v="High"/>
    <n v="387.3"/>
    <n v="455.32110091743118"/>
  </r>
  <r>
    <s v="NFX-101099"/>
    <x v="1098"/>
    <s v="TV Show"/>
    <x v="8"/>
    <n v="2021"/>
    <s v="Germany"/>
    <s v="2018-07-20"/>
    <n v="54"/>
    <s v="16+"/>
    <n v="8.8000000000000007"/>
    <n v="118.6"/>
    <s v="Hindi"/>
    <s v="Park Chan-wook"/>
    <s v="Emma Stone"/>
    <n v="2"/>
    <n v="94"/>
    <n v="244"/>
    <s v="Hit"/>
    <s v="Normal"/>
    <s v="No"/>
    <s v="Low"/>
    <n v="150"/>
    <n v="259.57446808510639"/>
  </r>
  <r>
    <s v="NFX-101100"/>
    <x v="1099"/>
    <s v="Movie"/>
    <x v="10"/>
    <n v="2023"/>
    <s v="Canada"/>
    <s v="2023-04-18"/>
    <n v="146"/>
    <s v="16+"/>
    <n v="9.5"/>
    <n v="4.5"/>
    <s v="French"/>
    <s v="Anurag Kashyap"/>
    <s v="Ranbir Kapoor"/>
    <m/>
    <n v="132"/>
    <n v="672.4"/>
    <s v="Hit"/>
    <s v="Normal"/>
    <s v="No"/>
    <s v="High"/>
    <n v="540.4"/>
    <n v="509.39393939393938"/>
  </r>
  <r>
    <s v="NFX-101101"/>
    <x v="1100"/>
    <s v="TV Show"/>
    <x v="3"/>
    <n v="2021"/>
    <s v="Canada"/>
    <s v="2021-09-03"/>
    <n v="44"/>
    <s v="18+"/>
    <n v="6.9"/>
    <n v="131.19999999999999"/>
    <s v="French"/>
    <s v="Sanjay Leela Bhansali"/>
    <s v="Emma Stone"/>
    <n v="4"/>
    <n v="105"/>
    <n v="318.89999999999998"/>
    <s v="Average"/>
    <s v="Normal"/>
    <s v="No"/>
    <s v="High"/>
    <n v="213.89999999999998"/>
    <n v="303.71428571428567"/>
  </r>
  <r>
    <s v="NFX-101102"/>
    <x v="1101"/>
    <s v="Movie"/>
    <x v="7"/>
    <n v="2015"/>
    <s v="Canada"/>
    <s v="2023-04-17"/>
    <n v="165"/>
    <s v="18+"/>
    <n v="8.1999999999999993"/>
    <n v="526.1"/>
    <s v="Korean"/>
    <s v="Guillermo del Toro"/>
    <s v="Song Kang-ho"/>
    <m/>
    <n v="45"/>
    <n v="163.4"/>
    <s v="Hit"/>
    <s v="Blockbuster"/>
    <s v="No"/>
    <s v="Low"/>
    <n v="118.4"/>
    <n v="363.11111111111114"/>
  </r>
  <r>
    <s v="NFX-101103"/>
    <x v="1102"/>
    <s v="TV Show"/>
    <x v="10"/>
    <n v="2004"/>
    <s v="USA"/>
    <s v="2022-05-26"/>
    <n v="53"/>
    <s v="PG-13"/>
    <n v="4.8"/>
    <n v="175.6"/>
    <s v="German"/>
    <s v="Quentin Tarantino"/>
    <s v="Tom Hardy"/>
    <n v="5"/>
    <n v="47"/>
    <n v="220.6"/>
    <s v="Flop"/>
    <s v="Normal"/>
    <s v="No"/>
    <s v="Low"/>
    <n v="173.6"/>
    <n v="469.36170212765956"/>
  </r>
  <r>
    <s v="NFX-101104"/>
    <x v="1103"/>
    <s v="TV Show"/>
    <x v="2"/>
    <n v="2019"/>
    <s v="Spain"/>
    <s v="2021-03-11"/>
    <n v="53"/>
    <s v="PG-13"/>
    <n v="7.1"/>
    <n v="397.8"/>
    <s v="Korean"/>
    <s v="Rajkumar Hirani"/>
    <s v="Shah Rukh Khan"/>
    <n v="2"/>
    <n v="81"/>
    <n v="514.29999999999995"/>
    <s v="Average"/>
    <s v="Popular"/>
    <s v="No"/>
    <s v="Low"/>
    <n v="433.29999999999995"/>
    <n v="634.93827160493822"/>
  </r>
  <r>
    <s v="NFX-101105"/>
    <x v="1104"/>
    <s v="Movie"/>
    <x v="7"/>
    <n v="2014"/>
    <s v="USA"/>
    <s v="2021-10-29"/>
    <n v="93"/>
    <s v="G"/>
    <n v="8.9"/>
    <n v="421.6"/>
    <s v="English"/>
    <s v="Denis Villeneuve"/>
    <s v="Chris Evans"/>
    <m/>
    <n v="104"/>
    <n v="184.9"/>
    <s v="Hit"/>
    <s v="Blockbuster"/>
    <s v="Yes"/>
    <s v="High"/>
    <n v="80.900000000000006"/>
    <n v="177.78846153846155"/>
  </r>
  <r>
    <s v="NFX-101106"/>
    <x v="1105"/>
    <s v="Movie"/>
    <x v="0"/>
    <n v="2012"/>
    <s v="India"/>
    <s v="2018-07-18"/>
    <n v="112"/>
    <s v="16+"/>
    <n v="8.6999999999999993"/>
    <n v="398"/>
    <s v="English"/>
    <s v="Greta Gerwig"/>
    <s v="Chris Evans"/>
    <m/>
    <n v="194"/>
    <n v="546"/>
    <s v="Hit"/>
    <s v="Popular"/>
    <s v="No"/>
    <s v="High"/>
    <n v="352"/>
    <n v="281.4432989690722"/>
  </r>
  <r>
    <s v="NFX-101107"/>
    <x v="1106"/>
    <s v="TV Show"/>
    <x v="8"/>
    <n v="2007"/>
    <s v="USA"/>
    <s v="2020-10-01"/>
    <n v="52"/>
    <s v="G"/>
    <n v="8.9"/>
    <n v="33.5"/>
    <s v="Hindi"/>
    <s v="Christopher Nolan"/>
    <s v="Leonardo DiCaprio"/>
    <n v="6"/>
    <n v="74"/>
    <n v="261.60000000000002"/>
    <s v="Hit"/>
    <s v="Normal"/>
    <s v="Yes"/>
    <s v="Low"/>
    <n v="187.60000000000002"/>
    <n v="353.51351351351354"/>
  </r>
  <r>
    <s v="NFX-101108"/>
    <x v="1107"/>
    <s v="TV Show"/>
    <x v="1"/>
    <n v="2011"/>
    <s v="France"/>
    <s v="2024-09-22"/>
    <n v="42"/>
    <s v="18+"/>
    <n v="8.9"/>
    <n v="596.5"/>
    <s v="English"/>
    <s v="Quentin Tarantino"/>
    <s v="Ryan Gosling"/>
    <n v="5"/>
    <n v="106"/>
    <n v="295.7"/>
    <s v="Hit"/>
    <s v="Blockbuster"/>
    <s v="No"/>
    <s v="High"/>
    <n v="189.7"/>
    <n v="278.96226415094338"/>
  </r>
  <r>
    <s v="NFX-101109"/>
    <x v="1108"/>
    <s v="Movie"/>
    <x v="6"/>
    <n v="2011"/>
    <s v="Germany"/>
    <s v="2018-06-29"/>
    <n v="89"/>
    <s v="PG"/>
    <n v="6.6"/>
    <n v="445.3"/>
    <s v="German"/>
    <s v="Bong Joon-ho"/>
    <s v="Shah Rukh Khan"/>
    <m/>
    <n v="102"/>
    <n v="493.9"/>
    <s v="Average"/>
    <s v="Blockbuster"/>
    <s v="Yes"/>
    <s v="High"/>
    <n v="391.9"/>
    <n v="484.21568627450978"/>
  </r>
  <r>
    <s v="NFX-101110"/>
    <x v="1109"/>
    <s v="TV Show"/>
    <x v="5"/>
    <n v="2009"/>
    <s v="South Korea"/>
    <s v="2020-08-14"/>
    <n v="49"/>
    <s v="16+"/>
    <n v="8.9"/>
    <n v="582.5"/>
    <s v="English"/>
    <s v="Bong Joon-ho"/>
    <s v="Robert Downey Jr."/>
    <n v="2"/>
    <n v="58"/>
    <n v="205.2"/>
    <s v="Hit"/>
    <s v="Blockbuster"/>
    <s v="No"/>
    <s v="Low"/>
    <n v="147.19999999999999"/>
    <n v="353.79310344827582"/>
  </r>
  <r>
    <s v="NFX-101111"/>
    <x v="1110"/>
    <s v="Movie"/>
    <x v="9"/>
    <n v="2007"/>
    <s v="Germany"/>
    <s v="2021-02-02"/>
    <n v="162"/>
    <s v="G"/>
    <n v="9.1"/>
    <n v="136.5"/>
    <s v="Spanish"/>
    <s v="Greta Gerwig"/>
    <s v="Lee Jung-jae"/>
    <m/>
    <n v="29"/>
    <n v="65.099999999999994"/>
    <s v="Hit"/>
    <s v="Normal"/>
    <s v="Yes"/>
    <s v="Low"/>
    <n v="36.099999999999994"/>
    <n v="224.48275862068962"/>
  </r>
  <r>
    <s v="NFX-101112"/>
    <x v="1111"/>
    <s v="Movie"/>
    <x v="4"/>
    <n v="2007"/>
    <s v="Japan"/>
    <s v="2023-07-10"/>
    <n v="106"/>
    <s v="16+"/>
    <n v="5.9"/>
    <n v="153.30000000000001"/>
    <s v="English"/>
    <s v="Guillermo del Toro"/>
    <s v="Tom Hardy"/>
    <m/>
    <n v="18"/>
    <n v="72.5"/>
    <s v="Flop"/>
    <s v="Normal"/>
    <s v="No"/>
    <s v="Low"/>
    <n v="54.5"/>
    <n v="402.77777777777777"/>
  </r>
  <r>
    <s v="NFX-101113"/>
    <x v="1112"/>
    <s v="TV Show"/>
    <x v="1"/>
    <n v="2008"/>
    <s v="South Korea"/>
    <s v="2020-10-12"/>
    <n v="32"/>
    <s v="16+"/>
    <n v="6.5"/>
    <n v="187.9"/>
    <s v="French"/>
    <s v="James Cameron"/>
    <s v="Ranbir Kapoor"/>
    <n v="4"/>
    <n v="130"/>
    <n v="295.2"/>
    <s v="Average"/>
    <s v="Normal"/>
    <s v="No"/>
    <s v="High"/>
    <n v="165.2"/>
    <n v="227.07692307692309"/>
  </r>
  <r>
    <s v="NFX-101114"/>
    <x v="1113"/>
    <s v="TV Show"/>
    <x v="2"/>
    <n v="2000"/>
    <s v="USA"/>
    <s v="2020-04-20"/>
    <n v="36"/>
    <s v="PG"/>
    <n v="4.8"/>
    <n v="3.4"/>
    <s v="French"/>
    <s v="Martin Scorsese"/>
    <s v="Emma Stone"/>
    <n v="4"/>
    <n v="181"/>
    <n v="986.6"/>
    <s v="Flop"/>
    <s v="Normal"/>
    <s v="Yes"/>
    <s v="High"/>
    <n v="805.6"/>
    <n v="545.08287292817681"/>
  </r>
  <r>
    <s v="NFX-101115"/>
    <x v="1114"/>
    <s v="TV Show"/>
    <x v="5"/>
    <n v="2022"/>
    <s v="Germany"/>
    <s v="2024-03-19"/>
    <n v="48"/>
    <s v="18+"/>
    <n v="4.8"/>
    <n v="299.8"/>
    <s v="French"/>
    <s v="James Cameron"/>
    <s v="Deepika Padukone"/>
    <n v="3"/>
    <n v="181"/>
    <n v="920.1"/>
    <s v="Flop"/>
    <s v="Popular"/>
    <s v="No"/>
    <s v="High"/>
    <n v="739.1"/>
    <n v="508.34254143646416"/>
  </r>
  <r>
    <s v="NFX-101116"/>
    <x v="1115"/>
    <s v="Movie"/>
    <x v="0"/>
    <n v="2005"/>
    <s v="UK"/>
    <s v="2019-09-15"/>
    <n v="107"/>
    <s v="PG-13"/>
    <n v="6.5"/>
    <n v="394.3"/>
    <s v="Spanish"/>
    <s v="Rajkumar Hirani"/>
    <s v="Deepika Padukone"/>
    <m/>
    <n v="141"/>
    <n v="393.8"/>
    <s v="Average"/>
    <s v="Popular"/>
    <s v="No"/>
    <s v="High"/>
    <n v="252.8"/>
    <n v="279.29078014184398"/>
  </r>
  <r>
    <s v="NFX-101117"/>
    <x v="1116"/>
    <s v="Movie"/>
    <x v="7"/>
    <n v="2016"/>
    <s v="Australia"/>
    <s v="2024-10-23"/>
    <n v="179"/>
    <s v="G"/>
    <n v="7.9"/>
    <n v="419.1"/>
    <s v="Japanese"/>
    <s v="Denis Villeneuve"/>
    <s v="Brad Pitt"/>
    <m/>
    <n v="172"/>
    <n v="986.4"/>
    <s v="Average"/>
    <s v="Blockbuster"/>
    <s v="Yes"/>
    <s v="High"/>
    <n v="814.4"/>
    <n v="573.48837209302326"/>
  </r>
  <r>
    <s v="NFX-101118"/>
    <x v="1117"/>
    <s v="TV Show"/>
    <x v="2"/>
    <n v="2015"/>
    <s v="South Korea"/>
    <s v="2023-08-10"/>
    <n v="40"/>
    <s v="16+"/>
    <n v="7.7"/>
    <n v="523.4"/>
    <s v="English"/>
    <s v="Martin Scorsese"/>
    <s v="Deepika Padukone"/>
    <n v="7"/>
    <n v="73"/>
    <n v="111.4"/>
    <s v="Average"/>
    <s v="Blockbuster"/>
    <s v="No"/>
    <s v="Low"/>
    <n v="38.400000000000006"/>
    <n v="152.60273972602741"/>
  </r>
  <r>
    <s v="NFX-101119"/>
    <x v="1118"/>
    <s v="Movie"/>
    <x v="6"/>
    <n v="2021"/>
    <s v="Japan"/>
    <s v="2019-02-06"/>
    <n v="150"/>
    <s v="PG"/>
    <n v="7.6"/>
    <n v="361.5"/>
    <s v="Korean"/>
    <s v="Zoya Akhtar"/>
    <s v="Shah Rukh Khan"/>
    <m/>
    <n v="164"/>
    <n v="307.10000000000002"/>
    <s v="Average"/>
    <s v="Popular"/>
    <s v="Yes"/>
    <s v="High"/>
    <n v="143.10000000000002"/>
    <n v="187.25609756097563"/>
  </r>
  <r>
    <s v="NFX-101120"/>
    <x v="1119"/>
    <s v="Movie"/>
    <x v="9"/>
    <n v="2017"/>
    <s v="Japan"/>
    <s v="2022-02-25"/>
    <n v="114"/>
    <s v="16+"/>
    <n v="6.3"/>
    <n v="383.7"/>
    <s v="Korean"/>
    <s v="Anurag Kashyap"/>
    <s v="Song Kang-ho"/>
    <m/>
    <n v="46"/>
    <n v="286.60000000000002"/>
    <s v="Average"/>
    <s v="Popular"/>
    <s v="No"/>
    <s v="Low"/>
    <n v="240.60000000000002"/>
    <n v="623.04347826086962"/>
  </r>
  <r>
    <s v="NFX-101121"/>
    <x v="1120"/>
    <s v="TV Show"/>
    <x v="0"/>
    <n v="2023"/>
    <s v="Australia"/>
    <s v="2024-09-20"/>
    <n v="39"/>
    <s v="G"/>
    <n v="8.9"/>
    <n v="405.1"/>
    <s v="Korean"/>
    <s v="James Cameron"/>
    <s v="Deepika Padukone"/>
    <n v="1"/>
    <n v="135"/>
    <n v="548"/>
    <s v="Hit"/>
    <s v="Blockbuster"/>
    <s v="Yes"/>
    <s v="High"/>
    <n v="413"/>
    <n v="405.92592592592592"/>
  </r>
  <r>
    <s v="NFX-101122"/>
    <x v="1121"/>
    <s v="Movie"/>
    <x v="4"/>
    <n v="2002"/>
    <s v="France"/>
    <s v="2020-04-03"/>
    <n v="90"/>
    <s v="18+"/>
    <n v="8.8000000000000007"/>
    <n v="506.3"/>
    <s v="German"/>
    <s v="Christopher Nolan"/>
    <s v="Tom Hardy"/>
    <m/>
    <n v="92"/>
    <n v="113.8"/>
    <s v="Hit"/>
    <s v="Blockbuster"/>
    <s v="No"/>
    <s v="Low"/>
    <n v="21.799999999999997"/>
    <n v="123.69565217391305"/>
  </r>
  <r>
    <s v="NFX-101123"/>
    <x v="1122"/>
    <s v="Movie"/>
    <x v="0"/>
    <n v="2017"/>
    <s v="Japan"/>
    <s v="2020-06-24"/>
    <n v="169"/>
    <s v="18+"/>
    <n v="6.9"/>
    <n v="479.9"/>
    <s v="English"/>
    <s v="Denis Villeneuve"/>
    <s v="Leonardo DiCaprio"/>
    <m/>
    <n v="136"/>
    <n v="349.3"/>
    <s v="Average"/>
    <s v="Blockbuster"/>
    <s v="No"/>
    <s v="High"/>
    <n v="213.3"/>
    <n v="256.83823529411762"/>
  </r>
  <r>
    <s v="NFX-101124"/>
    <x v="1123"/>
    <s v="Movie"/>
    <x v="0"/>
    <n v="2015"/>
    <s v="France"/>
    <s v="2022-11-08"/>
    <n v="155"/>
    <s v="16+"/>
    <n v="8.3000000000000007"/>
    <n v="551.20000000000005"/>
    <s v="Japanese"/>
    <s v="Bong Joon-ho"/>
    <s v="Robert Downey Jr."/>
    <m/>
    <n v="105"/>
    <n v="203.8"/>
    <s v="Hit"/>
    <s v="Blockbuster"/>
    <s v="No"/>
    <s v="High"/>
    <n v="98.800000000000011"/>
    <n v="194.0952380952381"/>
  </r>
  <r>
    <s v="NFX-101125"/>
    <x v="1124"/>
    <s v="TV Show"/>
    <x v="7"/>
    <n v="2003"/>
    <s v="South Korea"/>
    <s v="2022-07-08"/>
    <n v="32"/>
    <s v="PG-13"/>
    <n v="4.8"/>
    <n v="395.8"/>
    <s v="Hindi"/>
    <s v="Martin Scorsese"/>
    <s v="Timothée Chalamet"/>
    <n v="2"/>
    <n v="53"/>
    <n v="196.5"/>
    <s v="Flop"/>
    <s v="Popular"/>
    <s v="No"/>
    <s v="Low"/>
    <n v="143.5"/>
    <n v="370.75471698113211"/>
  </r>
  <r>
    <s v="NFX-101126"/>
    <x v="1125"/>
    <s v="TV Show"/>
    <x v="0"/>
    <n v="2007"/>
    <s v="Germany"/>
    <s v="2023-12-18"/>
    <n v="60"/>
    <s v="16+"/>
    <n v="7.9"/>
    <n v="136.19999999999999"/>
    <s v="Spanish"/>
    <s v="Quentin Tarantino"/>
    <s v="Chris Evans"/>
    <n v="2"/>
    <n v="13"/>
    <n v="34.5"/>
    <s v="Average"/>
    <s v="Normal"/>
    <s v="No"/>
    <s v="Low"/>
    <n v="21.5"/>
    <n v="265.38461538461536"/>
  </r>
  <r>
    <s v="NFX-101127"/>
    <x v="1126"/>
    <s v="Movie"/>
    <x v="4"/>
    <n v="2019"/>
    <s v="India"/>
    <s v="2022-04-27"/>
    <n v="97"/>
    <s v="PG"/>
    <n v="5.4"/>
    <n v="56.5"/>
    <s v="Korean"/>
    <s v="James Cameron"/>
    <s v="Jennifer Lawrence"/>
    <m/>
    <n v="44"/>
    <n v="99.3"/>
    <s v="Flop"/>
    <s v="Normal"/>
    <s v="Yes"/>
    <s v="Low"/>
    <n v="55.3"/>
    <n v="225.68181818181819"/>
  </r>
  <r>
    <s v="NFX-101128"/>
    <x v="1127"/>
    <s v="TV Show"/>
    <x v="0"/>
    <n v="2010"/>
    <s v="South Korea"/>
    <s v="2021-11-10"/>
    <n v="44"/>
    <s v="18+"/>
    <n v="4.5999999999999996"/>
    <n v="547.6"/>
    <s v="German"/>
    <s v="Guillermo del Toro"/>
    <s v="Robert Downey Jr."/>
    <n v="4"/>
    <n v="43"/>
    <n v="238.1"/>
    <s v="Flop"/>
    <s v="Blockbuster"/>
    <s v="No"/>
    <s v="Low"/>
    <n v="195.1"/>
    <n v="553.72093023255809"/>
  </r>
  <r>
    <s v="NFX-101129"/>
    <x v="1128"/>
    <s v="TV Show"/>
    <x v="0"/>
    <n v="2017"/>
    <s v="South Korea"/>
    <s v="2018-02-09"/>
    <n v="45"/>
    <s v="18+"/>
    <n v="5.2"/>
    <n v="148.69999999999999"/>
    <s v="Hindi"/>
    <s v="Anurag Kashyap"/>
    <s v="Lee Jung-jae"/>
    <n v="7"/>
    <n v="54"/>
    <n v="325.10000000000002"/>
    <s v="Flop"/>
    <s v="Normal"/>
    <s v="No"/>
    <s v="Low"/>
    <n v="271.10000000000002"/>
    <n v="602.03703703703707"/>
  </r>
  <r>
    <s v="NFX-101130"/>
    <x v="1129"/>
    <s v="TV Show"/>
    <x v="7"/>
    <n v="2000"/>
    <s v="India"/>
    <s v="2022-04-02"/>
    <n v="58"/>
    <s v="PG"/>
    <n v="5.6"/>
    <n v="509"/>
    <s v="French"/>
    <s v="Guillermo del Toro"/>
    <s v="Deepika Padukone"/>
    <n v="7"/>
    <n v="49"/>
    <n v="187.6"/>
    <s v="Flop"/>
    <s v="Blockbuster"/>
    <s v="Yes"/>
    <s v="Low"/>
    <n v="138.6"/>
    <n v="382.85714285714283"/>
  </r>
  <r>
    <s v="NFX-101131"/>
    <x v="1130"/>
    <s v="Movie"/>
    <x v="9"/>
    <n v="2025"/>
    <s v="Japan"/>
    <s v="2018-03-23"/>
    <n v="99"/>
    <s v="PG"/>
    <n v="5.3"/>
    <n v="544.20000000000005"/>
    <s v="German"/>
    <s v="Guillermo del Toro"/>
    <s v="Timothée Chalamet"/>
    <m/>
    <n v="191"/>
    <n v="537.9"/>
    <s v="Flop"/>
    <s v="Blockbuster"/>
    <s v="Yes"/>
    <s v="High"/>
    <n v="346.9"/>
    <n v="281.62303664921467"/>
  </r>
  <r>
    <s v="NFX-101132"/>
    <x v="1131"/>
    <s v="Movie"/>
    <x v="9"/>
    <n v="2007"/>
    <s v="Australia"/>
    <s v="2020-08-10"/>
    <n v="178"/>
    <s v="G"/>
    <n v="6.7"/>
    <n v="386.6"/>
    <s v="Spanish"/>
    <s v="James Cameron"/>
    <s v="Robert Downey Jr."/>
    <m/>
    <n v="143"/>
    <n v="685.5"/>
    <s v="Average"/>
    <s v="Popular"/>
    <s v="Yes"/>
    <s v="High"/>
    <n v="542.5"/>
    <n v="479.37062937062933"/>
  </r>
  <r>
    <s v="NFX-101133"/>
    <x v="1132"/>
    <s v="Movie"/>
    <x v="2"/>
    <n v="2001"/>
    <s v="India"/>
    <s v="2020-02-21"/>
    <n v="97"/>
    <s v="18+"/>
    <n v="9.3000000000000007"/>
    <n v="597.1"/>
    <s v="German"/>
    <s v="Rajkumar Hirani"/>
    <s v="Jennifer Lawrence"/>
    <m/>
    <n v="191"/>
    <n v="1217.2"/>
    <s v="Hit"/>
    <s v="Blockbuster"/>
    <s v="No"/>
    <s v="High"/>
    <n v="1026.2"/>
    <n v="637.27748691099487"/>
  </r>
  <r>
    <s v="NFX-101134"/>
    <x v="1133"/>
    <s v="TV Show"/>
    <x v="4"/>
    <n v="2020"/>
    <s v="Australia"/>
    <s v="2024-07-07"/>
    <n v="50"/>
    <s v="G"/>
    <n v="9"/>
    <n v="519.1"/>
    <s v="French"/>
    <s v="Steven Spielberg"/>
    <s v="Ranbir Kapoor"/>
    <n v="3"/>
    <n v="21"/>
    <n v="82.1"/>
    <s v="Hit"/>
    <s v="Blockbuster"/>
    <s v="Yes"/>
    <s v="Low"/>
    <n v="61.099999999999994"/>
    <n v="390.95238095238096"/>
  </r>
  <r>
    <s v="NFX-101135"/>
    <x v="1134"/>
    <s v="TV Show"/>
    <x v="8"/>
    <n v="2007"/>
    <s v="France"/>
    <s v="2020-04-22"/>
    <n v="33"/>
    <s v="PG"/>
    <n v="7.8"/>
    <n v="97.5"/>
    <s v="Spanish"/>
    <s v="Anurag Kashyap"/>
    <s v="Robert Downey Jr."/>
    <n v="5"/>
    <n v="123"/>
    <n v="359.1"/>
    <s v="Average"/>
    <s v="Normal"/>
    <s v="Yes"/>
    <s v="High"/>
    <n v="236.10000000000002"/>
    <n v="291.95121951219517"/>
  </r>
  <r>
    <s v="NFX-101136"/>
    <x v="1135"/>
    <s v="Movie"/>
    <x v="8"/>
    <n v="2015"/>
    <s v="India"/>
    <s v="2023-11-17"/>
    <n v="90"/>
    <s v="16+"/>
    <n v="5.0999999999999996"/>
    <n v="391.1"/>
    <s v="German"/>
    <s v="Sanjay Leela Bhansali"/>
    <s v="Timothée Chalamet"/>
    <m/>
    <n v="161"/>
    <n v="840.7"/>
    <s v="Flop"/>
    <s v="Popular"/>
    <s v="No"/>
    <s v="High"/>
    <n v="679.7"/>
    <n v="522.17391304347836"/>
  </r>
  <r>
    <s v="NFX-101137"/>
    <x v="1136"/>
    <s v="Movie"/>
    <x v="3"/>
    <n v="2005"/>
    <s v="Japan"/>
    <s v="2020-03-22"/>
    <n v="111"/>
    <s v="16+"/>
    <n v="7.3"/>
    <n v="174.4"/>
    <s v="English"/>
    <s v="Greta Gerwig"/>
    <s v="Deepika Padukone"/>
    <m/>
    <n v="124"/>
    <n v="613"/>
    <s v="Average"/>
    <s v="Normal"/>
    <s v="No"/>
    <s v="High"/>
    <n v="489"/>
    <n v="494.35483870967738"/>
  </r>
  <r>
    <s v="NFX-101138"/>
    <x v="1137"/>
    <s v="TV Show"/>
    <x v="5"/>
    <n v="2023"/>
    <s v="Germany"/>
    <s v="2023-06-30"/>
    <n v="53"/>
    <s v="PG"/>
    <n v="7.4"/>
    <n v="129.19999999999999"/>
    <s v="French"/>
    <s v="Park Chan-wook"/>
    <s v="Ranbir Kapoor"/>
    <n v="3"/>
    <n v="132"/>
    <n v="315.10000000000002"/>
    <s v="Average"/>
    <s v="Normal"/>
    <s v="Yes"/>
    <s v="High"/>
    <n v="183.10000000000002"/>
    <n v="238.71212121212122"/>
  </r>
  <r>
    <s v="NFX-101139"/>
    <x v="1138"/>
    <s v="Movie"/>
    <x v="2"/>
    <n v="2018"/>
    <s v="Canada"/>
    <s v="2022-04-21"/>
    <n v="149"/>
    <s v="18+"/>
    <n v="8.9"/>
    <n v="259.60000000000002"/>
    <s v="French"/>
    <s v="Greta Gerwig"/>
    <s v="Song Kang-ho"/>
    <m/>
    <n v="198"/>
    <n v="243.4"/>
    <s v="Hit"/>
    <s v="Popular"/>
    <s v="No"/>
    <s v="High"/>
    <n v="45.400000000000006"/>
    <n v="122.92929292929293"/>
  </r>
  <r>
    <s v="NFX-101140"/>
    <x v="1139"/>
    <s v="Movie"/>
    <x v="2"/>
    <n v="2017"/>
    <s v="Australia"/>
    <s v="2018-12-22"/>
    <n v="145"/>
    <s v="16+"/>
    <n v="8.1"/>
    <n v="218.9"/>
    <s v="German"/>
    <s v="Martin Scorsese"/>
    <s v="Robert Downey Jr."/>
    <m/>
    <n v="61"/>
    <n v="348.7"/>
    <s v="Hit"/>
    <s v="Popular"/>
    <s v="No"/>
    <s v="Low"/>
    <n v="287.7"/>
    <n v="571.63934426229503"/>
  </r>
  <r>
    <s v="NFX-101141"/>
    <x v="1140"/>
    <s v="TV Show"/>
    <x v="1"/>
    <n v="2003"/>
    <s v="USA"/>
    <s v="2018-02-03"/>
    <n v="55"/>
    <s v="PG-13"/>
    <n v="5.2"/>
    <n v="208.9"/>
    <s v="Korean"/>
    <s v="Ridley Scott"/>
    <s v="Leonardo DiCaprio"/>
    <n v="7"/>
    <n v="66"/>
    <n v="257.3"/>
    <s v="Flop"/>
    <s v="Popular"/>
    <s v="No"/>
    <s v="Low"/>
    <n v="191.3"/>
    <n v="389.84848484848487"/>
  </r>
  <r>
    <s v="NFX-101142"/>
    <x v="1141"/>
    <s v="TV Show"/>
    <x v="9"/>
    <n v="2012"/>
    <s v="France"/>
    <s v="2018-02-22"/>
    <n v="39"/>
    <s v="18+"/>
    <n v="4.8"/>
    <n v="206.6"/>
    <s v="Japanese"/>
    <s v="Christopher Nolan"/>
    <s v="Timothée Chalamet"/>
    <n v="7"/>
    <n v="35"/>
    <n v="190.4"/>
    <s v="Flop"/>
    <s v="Popular"/>
    <s v="No"/>
    <s v="Low"/>
    <n v="155.4"/>
    <n v="544"/>
  </r>
  <r>
    <s v="NFX-101143"/>
    <x v="1142"/>
    <s v="Movie"/>
    <x v="1"/>
    <n v="2018"/>
    <s v="Australia"/>
    <s v="2022-05-30"/>
    <n v="110"/>
    <s v="PG"/>
    <n v="9.4"/>
    <n v="257.5"/>
    <s v="Korean"/>
    <s v="Steven Spielberg"/>
    <s v="Scarlett Johansson"/>
    <m/>
    <n v="27"/>
    <n v="57"/>
    <s v="Hit"/>
    <s v="Popular"/>
    <s v="Yes"/>
    <s v="Low"/>
    <n v="30"/>
    <n v="211.11111111111111"/>
  </r>
  <r>
    <s v="NFX-101144"/>
    <x v="1143"/>
    <s v="TV Show"/>
    <x v="4"/>
    <n v="2008"/>
    <s v="Spain"/>
    <s v="2021-10-14"/>
    <n v="37"/>
    <s v="18+"/>
    <n v="6"/>
    <n v="450.8"/>
    <s v="English"/>
    <s v="Quentin Tarantino"/>
    <s v="Ranbir Kapoor"/>
    <n v="3"/>
    <n v="93"/>
    <n v="374.6"/>
    <s v="Average"/>
    <s v="Blockbuster"/>
    <s v="No"/>
    <s v="Low"/>
    <n v="281.60000000000002"/>
    <n v="402.7956989247312"/>
  </r>
  <r>
    <s v="NFX-101145"/>
    <x v="1144"/>
    <s v="Movie"/>
    <x v="8"/>
    <n v="2012"/>
    <s v="India"/>
    <s v="2021-04-08"/>
    <n v="81"/>
    <s v="PG"/>
    <n v="5.8"/>
    <n v="297.5"/>
    <s v="Korean"/>
    <s v="Quentin Tarantino"/>
    <s v="Chris Evans"/>
    <m/>
    <n v="157"/>
    <n v="829.7"/>
    <s v="Flop"/>
    <s v="Popular"/>
    <s v="Yes"/>
    <s v="High"/>
    <n v="672.7"/>
    <n v="528.47133757961785"/>
  </r>
  <r>
    <s v="NFX-101146"/>
    <x v="1145"/>
    <s v="Movie"/>
    <x v="2"/>
    <n v="2024"/>
    <s v="Japan"/>
    <s v="2022-11-13"/>
    <n v="132"/>
    <s v="16+"/>
    <n v="8"/>
    <n v="475.7"/>
    <s v="Korean"/>
    <s v="Guillermo del Toro"/>
    <s v="Deepika Padukone"/>
    <m/>
    <n v="167"/>
    <n v="483.6"/>
    <s v="Hit"/>
    <s v="Blockbuster"/>
    <s v="No"/>
    <s v="High"/>
    <n v="316.60000000000002"/>
    <n v="289.5808383233533"/>
  </r>
  <r>
    <s v="NFX-101147"/>
    <x v="1146"/>
    <s v="TV Show"/>
    <x v="9"/>
    <n v="2017"/>
    <s v="Japan"/>
    <s v="2020-12-13"/>
    <n v="46"/>
    <s v="16+"/>
    <n v="8.6"/>
    <n v="408.8"/>
    <s v="French"/>
    <s v="Zoya Akhtar"/>
    <s v="Song Kang-ho"/>
    <n v="5"/>
    <n v="34"/>
    <n v="172.5"/>
    <s v="Hit"/>
    <s v="Blockbuster"/>
    <s v="No"/>
    <s v="Low"/>
    <n v="138.5"/>
    <n v="507.35294117647055"/>
  </r>
  <r>
    <s v="NFX-101148"/>
    <x v="1147"/>
    <s v="Movie"/>
    <x v="6"/>
    <n v="2016"/>
    <s v="South Korea"/>
    <s v="2023-03-06"/>
    <n v="155"/>
    <s v="16+"/>
    <n v="7"/>
    <n v="403"/>
    <s v="Korean"/>
    <s v="Sanjay Leela Bhansali"/>
    <s v="Leonardo DiCaprio"/>
    <m/>
    <n v="126"/>
    <n v="538.4"/>
    <s v="Average"/>
    <s v="Blockbuster"/>
    <s v="No"/>
    <s v="High"/>
    <n v="412.4"/>
    <n v="427.30158730158729"/>
  </r>
  <r>
    <s v="NFX-101149"/>
    <x v="1148"/>
    <s v="TV Show"/>
    <x v="1"/>
    <n v="2004"/>
    <s v="USA"/>
    <s v="2024-05-27"/>
    <n v="30"/>
    <s v="PG"/>
    <n v="6.8"/>
    <n v="463.9"/>
    <s v="Japanese"/>
    <s v="Ridley Scott"/>
    <s v="Ranbir Kapoor"/>
    <n v="8"/>
    <n v="73"/>
    <n v="158.5"/>
    <s v="Average"/>
    <s v="Blockbuster"/>
    <s v="Yes"/>
    <s v="Low"/>
    <n v="85.5"/>
    <n v="217.12328767123287"/>
  </r>
  <r>
    <s v="NFX-101150"/>
    <x v="1149"/>
    <s v="Movie"/>
    <x v="5"/>
    <n v="2008"/>
    <s v="Spain"/>
    <s v="2018-04-08"/>
    <n v="112"/>
    <s v="G"/>
    <n v="7.5"/>
    <n v="183.3"/>
    <s v="French"/>
    <s v="Bong Joon-ho"/>
    <s v="Leonardo DiCaprio"/>
    <m/>
    <n v="91"/>
    <n v="430.7"/>
    <s v="Average"/>
    <s v="Normal"/>
    <s v="Yes"/>
    <s v="Low"/>
    <n v="339.7"/>
    <n v="473.2967032967033"/>
  </r>
  <r>
    <s v="NFX-101151"/>
    <x v="1150"/>
    <s v="TV Show"/>
    <x v="10"/>
    <n v="2015"/>
    <s v="Japan"/>
    <s v="2021-01-29"/>
    <n v="59"/>
    <s v="PG-13"/>
    <n v="8.1999999999999993"/>
    <n v="286.60000000000002"/>
    <s v="Hindi"/>
    <s v="Christopher Nolan"/>
    <s v="Scarlett Johansson"/>
    <n v="5"/>
    <n v="52"/>
    <n v="144.4"/>
    <s v="Hit"/>
    <s v="Popular"/>
    <s v="No"/>
    <s v="Low"/>
    <n v="92.4"/>
    <n v="277.69230769230768"/>
  </r>
  <r>
    <s v="NFX-101152"/>
    <x v="1151"/>
    <s v="TV Show"/>
    <x v="8"/>
    <n v="2020"/>
    <s v="India"/>
    <s v="2021-05-15"/>
    <n v="48"/>
    <s v="16+"/>
    <n v="9.5"/>
    <n v="65"/>
    <s v="Spanish"/>
    <s v="Martin Scorsese"/>
    <s v="Timothée Chalamet"/>
    <n v="1"/>
    <n v="55"/>
    <n v="297.3"/>
    <s v="Hit"/>
    <s v="Normal"/>
    <s v="No"/>
    <s v="Low"/>
    <n v="242.3"/>
    <n v="540.5454545454545"/>
  </r>
  <r>
    <s v="NFX-101153"/>
    <x v="1152"/>
    <s v="TV Show"/>
    <x v="4"/>
    <n v="2005"/>
    <s v="South Korea"/>
    <s v="2024-06-15"/>
    <n v="31"/>
    <s v="G"/>
    <n v="6.3"/>
    <n v="18.5"/>
    <s v="French"/>
    <s v="Ridley Scott"/>
    <s v="Ranbir Kapoor"/>
    <n v="6"/>
    <n v="59"/>
    <n v="296.8"/>
    <s v="Average"/>
    <s v="Normal"/>
    <s v="Yes"/>
    <s v="Low"/>
    <n v="237.8"/>
    <n v="503.05084745762719"/>
  </r>
  <r>
    <s v="NFX-101154"/>
    <x v="1153"/>
    <s v="TV Show"/>
    <x v="6"/>
    <n v="2025"/>
    <s v="South Korea"/>
    <s v="2024-02-19"/>
    <n v="31"/>
    <s v="G"/>
    <n v="6.9"/>
    <n v="154.6"/>
    <s v="Spanish"/>
    <s v="Sanjay Leela Bhansali"/>
    <s v="Jennifer Lawrence"/>
    <n v="4"/>
    <n v="169"/>
    <n v="706.2"/>
    <s v="Average"/>
    <s v="Normal"/>
    <s v="Yes"/>
    <s v="High"/>
    <n v="537.20000000000005"/>
    <n v="417.86982248520712"/>
  </r>
  <r>
    <s v="NFX-101155"/>
    <x v="1154"/>
    <s v="TV Show"/>
    <x v="8"/>
    <n v="2019"/>
    <s v="South Korea"/>
    <s v="2022-08-08"/>
    <n v="56"/>
    <s v="18+"/>
    <n v="8.1"/>
    <n v="265.8"/>
    <s v="Korean"/>
    <s v="Steven Spielberg"/>
    <s v="Scarlett Johansson"/>
    <n v="6"/>
    <n v="84"/>
    <n v="117.7"/>
    <s v="Hit"/>
    <s v="Popular"/>
    <s v="No"/>
    <s v="Low"/>
    <n v="33.700000000000003"/>
    <n v="140.11904761904762"/>
  </r>
  <r>
    <s v="NFX-101156"/>
    <x v="1155"/>
    <s v="Movie"/>
    <x v="9"/>
    <n v="2009"/>
    <s v="USA"/>
    <s v="2019-07-21"/>
    <n v="88"/>
    <s v="PG"/>
    <n v="8.3000000000000007"/>
    <n v="342"/>
    <s v="Korean"/>
    <s v="Rajkumar Hirani"/>
    <s v="Ryan Gosling"/>
    <m/>
    <n v="111"/>
    <n v="297.39999999999998"/>
    <s v="Hit"/>
    <s v="Popular"/>
    <s v="Yes"/>
    <s v="High"/>
    <n v="186.39999999999998"/>
    <n v="267.9279279279279"/>
  </r>
  <r>
    <s v="NFX-101157"/>
    <x v="1156"/>
    <s v="TV Show"/>
    <x v="1"/>
    <n v="2025"/>
    <s v="UK"/>
    <s v="2020-11-15"/>
    <n v="47"/>
    <s v="PG-13"/>
    <n v="8.5"/>
    <n v="90"/>
    <s v="Spanish"/>
    <s v="Quentin Tarantino"/>
    <s v="Jennifer Lawrence"/>
    <n v="1"/>
    <n v="59"/>
    <n v="75.400000000000006"/>
    <s v="Hit"/>
    <s v="Normal"/>
    <s v="No"/>
    <s v="Low"/>
    <n v="16.400000000000006"/>
    <n v="127.79661016949153"/>
  </r>
  <r>
    <s v="NFX-101158"/>
    <x v="1157"/>
    <s v="TV Show"/>
    <x v="3"/>
    <n v="2011"/>
    <s v="Japan"/>
    <s v="2022-02-17"/>
    <n v="55"/>
    <s v="PG"/>
    <n v="7.7"/>
    <n v="140.6"/>
    <s v="Korean"/>
    <s v="Rajkumar Hirani"/>
    <s v="Scarlett Johansson"/>
    <n v="3"/>
    <n v="41"/>
    <n v="258"/>
    <s v="Average"/>
    <s v="Normal"/>
    <s v="Yes"/>
    <s v="Low"/>
    <n v="217"/>
    <n v="629.26829268292681"/>
  </r>
  <r>
    <s v="NFX-101159"/>
    <x v="1158"/>
    <s v="TV Show"/>
    <x v="10"/>
    <n v="2004"/>
    <s v="USA"/>
    <s v="2023-07-28"/>
    <n v="57"/>
    <s v="G"/>
    <n v="5.7"/>
    <n v="244.3"/>
    <s v="Japanese"/>
    <s v="Park Chan-wook"/>
    <s v="Shah Rukh Khan"/>
    <n v="6"/>
    <n v="152"/>
    <n v="756.7"/>
    <s v="Flop"/>
    <s v="Popular"/>
    <s v="Yes"/>
    <s v="High"/>
    <n v="604.70000000000005"/>
    <n v="497.8289473684211"/>
  </r>
  <r>
    <s v="NFX-101160"/>
    <x v="1159"/>
    <s v="TV Show"/>
    <x v="1"/>
    <n v="2025"/>
    <s v="UK"/>
    <s v="2023-04-23"/>
    <n v="53"/>
    <s v="G"/>
    <n v="8.8000000000000007"/>
    <n v="555.79999999999995"/>
    <s v="German"/>
    <s v="Bong Joon-ho"/>
    <s v="Brad Pitt"/>
    <n v="6"/>
    <n v="7"/>
    <n v="30.5"/>
    <s v="Hit"/>
    <s v="Blockbuster"/>
    <s v="Yes"/>
    <s v="Low"/>
    <n v="23.5"/>
    <n v="435.71428571428567"/>
  </r>
  <r>
    <s v="NFX-101161"/>
    <x v="1160"/>
    <s v="Movie"/>
    <x v="1"/>
    <n v="2008"/>
    <s v="India"/>
    <s v="2023-05-15"/>
    <n v="92"/>
    <s v="PG"/>
    <n v="8.5"/>
    <n v="12.8"/>
    <s v="French"/>
    <s v="Ridley Scott"/>
    <s v="Robert Downey Jr."/>
    <m/>
    <n v="173"/>
    <n v="374.3"/>
    <s v="Hit"/>
    <s v="Normal"/>
    <s v="Yes"/>
    <s v="High"/>
    <n v="201.3"/>
    <n v="216.35838150289018"/>
  </r>
  <r>
    <s v="NFX-101162"/>
    <x v="1161"/>
    <s v="Movie"/>
    <x v="8"/>
    <n v="2014"/>
    <s v="Japan"/>
    <s v="2020-10-23"/>
    <n v="151"/>
    <s v="18+"/>
    <n v="8.1"/>
    <n v="381.6"/>
    <s v="Spanish"/>
    <s v="Martin Scorsese"/>
    <s v="Jennifer Lawrence"/>
    <m/>
    <n v="26"/>
    <n v="97.7"/>
    <s v="Hit"/>
    <s v="Popular"/>
    <s v="No"/>
    <s v="Low"/>
    <n v="71.7"/>
    <n v="375.76923076923077"/>
  </r>
  <r>
    <s v="NFX-101163"/>
    <x v="1162"/>
    <s v="Movie"/>
    <x v="3"/>
    <n v="2003"/>
    <s v="Spain"/>
    <s v="2018-10-04"/>
    <n v="119"/>
    <s v="PG"/>
    <n v="7.9"/>
    <n v="421.9"/>
    <s v="Hindi"/>
    <s v="Park Chan-wook"/>
    <s v="Scarlett Johansson"/>
    <m/>
    <n v="177"/>
    <n v="1008.9"/>
    <s v="Average"/>
    <s v="Blockbuster"/>
    <s v="Yes"/>
    <s v="High"/>
    <n v="831.9"/>
    <n v="570"/>
  </r>
  <r>
    <s v="NFX-101164"/>
    <x v="1163"/>
    <s v="Movie"/>
    <x v="10"/>
    <n v="2014"/>
    <s v="Spain"/>
    <s v="2022-05-26"/>
    <n v="96"/>
    <s v="18+"/>
    <n v="7.6"/>
    <n v="178.5"/>
    <s v="Spanish"/>
    <s v="Zoya Akhtar"/>
    <s v="Ryan Gosling"/>
    <m/>
    <n v="163"/>
    <n v="227.6"/>
    <s v="Average"/>
    <s v="Normal"/>
    <s v="No"/>
    <s v="High"/>
    <n v="64.599999999999994"/>
    <n v="139.6319018404908"/>
  </r>
  <r>
    <s v="NFX-101165"/>
    <x v="1164"/>
    <s v="TV Show"/>
    <x v="7"/>
    <n v="2011"/>
    <s v="India"/>
    <s v="2022-11-12"/>
    <n v="57"/>
    <s v="18+"/>
    <n v="6.5"/>
    <n v="598.6"/>
    <s v="French"/>
    <s v="Sanjay Leela Bhansali"/>
    <s v="Chris Evans"/>
    <n v="2"/>
    <n v="45"/>
    <n v="119"/>
    <s v="Average"/>
    <s v="Blockbuster"/>
    <s v="No"/>
    <s v="Low"/>
    <n v="74"/>
    <n v="264.44444444444446"/>
  </r>
  <r>
    <s v="NFX-101166"/>
    <x v="1165"/>
    <s v="TV Show"/>
    <x v="9"/>
    <n v="2023"/>
    <s v="Canada"/>
    <s v="2023-07-28"/>
    <n v="60"/>
    <s v="PG"/>
    <n v="5.2"/>
    <n v="107.6"/>
    <s v="French"/>
    <s v="Bong Joon-ho"/>
    <s v="Leonardo DiCaprio"/>
    <n v="4"/>
    <n v="83"/>
    <n v="400.1"/>
    <s v="Flop"/>
    <s v="Normal"/>
    <s v="Yes"/>
    <s v="Low"/>
    <n v="317.10000000000002"/>
    <n v="482.0481927710843"/>
  </r>
  <r>
    <s v="NFX-101167"/>
    <x v="1166"/>
    <s v="Movie"/>
    <x v="0"/>
    <n v="2019"/>
    <s v="UK"/>
    <s v="2024-09-04"/>
    <n v="101"/>
    <s v="PG"/>
    <n v="6.2"/>
    <n v="198.6"/>
    <s v="French"/>
    <s v="Quentin Tarantino"/>
    <s v="Jennifer Lawrence"/>
    <m/>
    <n v="18"/>
    <n v="59.7"/>
    <s v="Average"/>
    <s v="Normal"/>
    <s v="Yes"/>
    <s v="Low"/>
    <n v="41.7"/>
    <n v="331.66666666666669"/>
  </r>
  <r>
    <s v="NFX-101168"/>
    <x v="1167"/>
    <s v="TV Show"/>
    <x v="10"/>
    <n v="2004"/>
    <s v="Japan"/>
    <s v="2024-08-04"/>
    <n v="32"/>
    <s v="16+"/>
    <n v="8"/>
    <n v="14.2"/>
    <s v="Hindi"/>
    <s v="Zoya Akhtar"/>
    <s v="Song Kang-ho"/>
    <n v="1"/>
    <n v="86"/>
    <n v="421.1"/>
    <s v="Hit"/>
    <s v="Normal"/>
    <s v="No"/>
    <s v="Low"/>
    <n v="335.1"/>
    <n v="489.65116279069775"/>
  </r>
  <r>
    <s v="NFX-101169"/>
    <x v="1168"/>
    <s v="TV Show"/>
    <x v="1"/>
    <n v="2002"/>
    <s v="Japan"/>
    <s v="2020-01-05"/>
    <n v="38"/>
    <s v="PG-13"/>
    <n v="4.5"/>
    <n v="100.3"/>
    <s v="French"/>
    <s v="Christopher Nolan"/>
    <s v="Robert Downey Jr."/>
    <n v="6"/>
    <n v="54"/>
    <n v="319.5"/>
    <s v="Flop"/>
    <s v="Normal"/>
    <s v="No"/>
    <s v="Low"/>
    <n v="265.5"/>
    <n v="591.66666666666674"/>
  </r>
  <r>
    <s v="NFX-101170"/>
    <x v="1169"/>
    <s v="Movie"/>
    <x v="1"/>
    <n v="2006"/>
    <s v="France"/>
    <s v="2023-06-24"/>
    <n v="132"/>
    <s v="PG"/>
    <n v="6.3"/>
    <n v="407.3"/>
    <s v="Korean"/>
    <s v="Guillermo del Toro"/>
    <s v="Ryan Gosling"/>
    <m/>
    <n v="177"/>
    <n v="733.5"/>
    <s v="Average"/>
    <s v="Blockbuster"/>
    <s v="Yes"/>
    <s v="High"/>
    <n v="556.5"/>
    <n v="414.40677966101697"/>
  </r>
  <r>
    <s v="NFX-101171"/>
    <x v="1170"/>
    <s v="Movie"/>
    <x v="10"/>
    <n v="2015"/>
    <s v="Australia"/>
    <s v="2023-01-10"/>
    <n v="108"/>
    <s v="PG-13"/>
    <n v="7"/>
    <n v="516.6"/>
    <s v="Hindi"/>
    <s v="Ridley Scott"/>
    <s v="Emma Stone"/>
    <m/>
    <n v="20"/>
    <n v="35.5"/>
    <s v="Average"/>
    <s v="Blockbuster"/>
    <s v="No"/>
    <s v="Low"/>
    <n v="15.5"/>
    <n v="177.5"/>
  </r>
  <r>
    <s v="NFX-101172"/>
    <x v="1171"/>
    <s v="Movie"/>
    <x v="4"/>
    <n v="2022"/>
    <s v="South Korea"/>
    <s v="2024-02-16"/>
    <n v="102"/>
    <s v="PG"/>
    <n v="9.5"/>
    <n v="12.7"/>
    <s v="Japanese"/>
    <s v="Anurag Kashyap"/>
    <s v="Deepika Padukone"/>
    <m/>
    <n v="198"/>
    <n v="694.3"/>
    <s v="Hit"/>
    <s v="Normal"/>
    <s v="Yes"/>
    <s v="High"/>
    <n v="496.29999999999995"/>
    <n v="350.65656565656565"/>
  </r>
  <r>
    <s v="NFX-101173"/>
    <x v="1172"/>
    <s v="Movie"/>
    <x v="0"/>
    <n v="2014"/>
    <s v="South Korea"/>
    <s v="2022-05-27"/>
    <n v="178"/>
    <s v="16+"/>
    <n v="7.2"/>
    <n v="250.2"/>
    <s v="Korean"/>
    <s v="Anurag Kashyap"/>
    <s v="Deepika Padukone"/>
    <m/>
    <n v="196"/>
    <n v="1191.8"/>
    <s v="Average"/>
    <s v="Popular"/>
    <s v="No"/>
    <s v="High"/>
    <n v="995.8"/>
    <n v="608.0612244897959"/>
  </r>
  <r>
    <s v="NFX-101174"/>
    <x v="1173"/>
    <s v="Movie"/>
    <x v="5"/>
    <n v="2013"/>
    <s v="Japan"/>
    <s v="2021-09-25"/>
    <n v="112"/>
    <s v="PG"/>
    <n v="6.2"/>
    <n v="60"/>
    <s v="Spanish"/>
    <s v="Steven Spielberg"/>
    <s v="Tom Hardy"/>
    <m/>
    <n v="22"/>
    <n v="113.7"/>
    <s v="Average"/>
    <s v="Normal"/>
    <s v="Yes"/>
    <s v="Low"/>
    <n v="91.7"/>
    <n v="516.81818181818176"/>
  </r>
  <r>
    <s v="NFX-101175"/>
    <x v="1174"/>
    <s v="Movie"/>
    <x v="9"/>
    <n v="2006"/>
    <s v="USA"/>
    <s v="2020-05-07"/>
    <n v="118"/>
    <s v="16+"/>
    <n v="6.4"/>
    <n v="337.3"/>
    <s v="Hindi"/>
    <s v="Guillermo del Toro"/>
    <s v="Chris Evans"/>
    <m/>
    <n v="148"/>
    <n v="295"/>
    <s v="Average"/>
    <s v="Popular"/>
    <s v="No"/>
    <s v="High"/>
    <n v="147"/>
    <n v="199.32432432432432"/>
  </r>
  <r>
    <s v="NFX-101176"/>
    <x v="1175"/>
    <s v="Movie"/>
    <x v="6"/>
    <n v="2015"/>
    <s v="USA"/>
    <s v="2021-03-12"/>
    <n v="144"/>
    <s v="16+"/>
    <n v="4.8"/>
    <n v="478"/>
    <s v="Hindi"/>
    <s v="Rajkumar Hirani"/>
    <s v="Robert Downey Jr."/>
    <m/>
    <n v="73"/>
    <n v="134.19999999999999"/>
    <s v="Flop"/>
    <s v="Blockbuster"/>
    <s v="No"/>
    <s v="Low"/>
    <n v="61.199999999999989"/>
    <n v="183.83561643835614"/>
  </r>
  <r>
    <s v="NFX-101177"/>
    <x v="1176"/>
    <s v="Movie"/>
    <x v="8"/>
    <n v="2022"/>
    <s v="Germany"/>
    <s v="2022-11-20"/>
    <n v="117"/>
    <s v="PG"/>
    <n v="6"/>
    <n v="539.20000000000005"/>
    <s v="German"/>
    <s v="Anurag Kashyap"/>
    <s v="Leonardo DiCaprio"/>
    <m/>
    <n v="156"/>
    <n v="836.4"/>
    <s v="Average"/>
    <s v="Blockbuster"/>
    <s v="Yes"/>
    <s v="High"/>
    <n v="680.4"/>
    <n v="536.15384615384608"/>
  </r>
  <r>
    <s v="NFX-101178"/>
    <x v="1177"/>
    <s v="TV Show"/>
    <x v="0"/>
    <n v="2021"/>
    <s v="Japan"/>
    <s v="2024-02-23"/>
    <n v="30"/>
    <s v="PG-13"/>
    <n v="8.6"/>
    <n v="418.7"/>
    <s v="Spanish"/>
    <s v="Park Chan-wook"/>
    <s v="Timothée Chalamet"/>
    <n v="8"/>
    <n v="21"/>
    <n v="69.099999999999994"/>
    <s v="Hit"/>
    <s v="Blockbuster"/>
    <s v="No"/>
    <s v="Low"/>
    <n v="48.099999999999994"/>
    <n v="329.04761904761904"/>
  </r>
  <r>
    <s v="NFX-101179"/>
    <x v="1178"/>
    <s v="TV Show"/>
    <x v="1"/>
    <n v="2005"/>
    <s v="South Korea"/>
    <s v="2023-11-17"/>
    <n v="33"/>
    <s v="18+"/>
    <n v="6.9"/>
    <n v="561.6"/>
    <s v="French"/>
    <s v="Rajkumar Hirani"/>
    <s v="Leonardo DiCaprio"/>
    <n v="4"/>
    <n v="15"/>
    <n v="82.4"/>
    <s v="Average"/>
    <s v="Blockbuster"/>
    <s v="No"/>
    <s v="Low"/>
    <n v="67.400000000000006"/>
    <n v="549.33333333333337"/>
  </r>
  <r>
    <s v="NFX-101180"/>
    <x v="1179"/>
    <s v="Movie"/>
    <x v="2"/>
    <n v="2013"/>
    <s v="France"/>
    <s v="2019-10-17"/>
    <n v="173"/>
    <s v="G"/>
    <n v="4.7"/>
    <n v="126.3"/>
    <s v="Hindi"/>
    <s v="Denis Villeneuve"/>
    <s v="Brad Pitt"/>
    <m/>
    <n v="34"/>
    <n v="173.1"/>
    <s v="Flop"/>
    <s v="Normal"/>
    <s v="Yes"/>
    <s v="Low"/>
    <n v="139.1"/>
    <n v="509.11764705882348"/>
  </r>
  <r>
    <s v="NFX-101181"/>
    <x v="1180"/>
    <s v="TV Show"/>
    <x v="6"/>
    <n v="2009"/>
    <s v="Japan"/>
    <s v="2019-03-17"/>
    <n v="54"/>
    <s v="18+"/>
    <n v="9.3000000000000007"/>
    <n v="309.7"/>
    <s v="Japanese"/>
    <s v="Rajkumar Hirani"/>
    <s v="Song Kang-ho"/>
    <n v="4"/>
    <n v="180"/>
    <n v="1090.9000000000001"/>
    <s v="Hit"/>
    <s v="Popular"/>
    <s v="No"/>
    <s v="High"/>
    <n v="910.90000000000009"/>
    <n v="606.05555555555566"/>
  </r>
  <r>
    <s v="NFX-101182"/>
    <x v="1181"/>
    <s v="Movie"/>
    <x v="8"/>
    <n v="2021"/>
    <s v="USA"/>
    <s v="2019-02-09"/>
    <n v="166"/>
    <s v="16+"/>
    <n v="6.3"/>
    <n v="508.5"/>
    <s v="Hindi"/>
    <s v="Greta Gerwig"/>
    <s v="Ranbir Kapoor"/>
    <m/>
    <n v="137"/>
    <n v="372.7"/>
    <s v="Average"/>
    <s v="Blockbuster"/>
    <s v="No"/>
    <s v="High"/>
    <n v="235.7"/>
    <n v="272.04379562043795"/>
  </r>
  <r>
    <s v="NFX-101183"/>
    <x v="1182"/>
    <s v="TV Show"/>
    <x v="1"/>
    <n v="2012"/>
    <s v="South Korea"/>
    <s v="2019-04-29"/>
    <n v="39"/>
    <s v="18+"/>
    <n v="7.1"/>
    <n v="157.9"/>
    <s v="German"/>
    <s v="Steven Spielberg"/>
    <s v="Robert Downey Jr."/>
    <n v="5"/>
    <n v="26"/>
    <n v="86.9"/>
    <s v="Average"/>
    <s v="Normal"/>
    <s v="No"/>
    <s v="Low"/>
    <n v="60.900000000000006"/>
    <n v="334.23076923076923"/>
  </r>
  <r>
    <s v="NFX-101184"/>
    <x v="1183"/>
    <s v="TV Show"/>
    <x v="8"/>
    <n v="2017"/>
    <s v="USA"/>
    <s v="2021-08-11"/>
    <n v="31"/>
    <s v="16+"/>
    <n v="4.7"/>
    <n v="284.60000000000002"/>
    <s v="French"/>
    <s v="Sanjay Leela Bhansali"/>
    <s v="Chris Evans"/>
    <n v="4"/>
    <n v="176"/>
    <n v="574.5"/>
    <s v="Flop"/>
    <s v="Popular"/>
    <s v="No"/>
    <s v="High"/>
    <n v="398.5"/>
    <n v="326.42045454545456"/>
  </r>
  <r>
    <s v="NFX-101185"/>
    <x v="1184"/>
    <s v="TV Show"/>
    <x v="8"/>
    <n v="2025"/>
    <s v="France"/>
    <s v="2023-08-12"/>
    <n v="35"/>
    <s v="PG-13"/>
    <n v="9.1999999999999993"/>
    <n v="43.4"/>
    <s v="French"/>
    <s v="Steven Spielberg"/>
    <s v="Song Kang-ho"/>
    <n v="3"/>
    <n v="194"/>
    <n v="774.3"/>
    <s v="Hit"/>
    <s v="Normal"/>
    <s v="No"/>
    <s v="High"/>
    <n v="580.29999999999995"/>
    <n v="399.12371134020617"/>
  </r>
  <r>
    <s v="NFX-101186"/>
    <x v="1185"/>
    <s v="TV Show"/>
    <x v="1"/>
    <n v="2023"/>
    <s v="Spain"/>
    <s v="2020-06-15"/>
    <n v="45"/>
    <s v="18+"/>
    <n v="5.9"/>
    <n v="546.1"/>
    <s v="Japanese"/>
    <s v="Sanjay Leela Bhansali"/>
    <s v="Lee Jung-jae"/>
    <n v="2"/>
    <n v="184"/>
    <n v="569.20000000000005"/>
    <s v="Flop"/>
    <s v="Blockbuster"/>
    <s v="No"/>
    <s v="High"/>
    <n v="385.20000000000005"/>
    <n v="309.34782608695656"/>
  </r>
  <r>
    <s v="NFX-101187"/>
    <x v="1186"/>
    <s v="TV Show"/>
    <x v="2"/>
    <n v="2005"/>
    <s v="France"/>
    <s v="2020-04-17"/>
    <n v="34"/>
    <s v="16+"/>
    <n v="9.6"/>
    <n v="353.4"/>
    <s v="Japanese"/>
    <s v="Zoya Akhtar"/>
    <s v="Robert Downey Jr."/>
    <n v="3"/>
    <n v="113"/>
    <n v="528.5"/>
    <s v="Hit"/>
    <s v="Popular"/>
    <s v="No"/>
    <s v="High"/>
    <n v="415.5"/>
    <n v="467.69911504424783"/>
  </r>
  <r>
    <s v="NFX-101188"/>
    <x v="1187"/>
    <s v="TV Show"/>
    <x v="5"/>
    <n v="2009"/>
    <s v="Spain"/>
    <s v="2018-10-31"/>
    <n v="45"/>
    <s v="18+"/>
    <n v="9.4"/>
    <n v="157"/>
    <s v="Korean"/>
    <s v="Rajkumar Hirani"/>
    <s v="Deepika Padukone"/>
    <n v="6"/>
    <n v="40"/>
    <n v="198.6"/>
    <s v="Hit"/>
    <s v="Normal"/>
    <s v="No"/>
    <s v="Low"/>
    <n v="158.6"/>
    <n v="496.5"/>
  </r>
  <r>
    <s v="NFX-101189"/>
    <x v="1188"/>
    <s v="TV Show"/>
    <x v="2"/>
    <n v="2025"/>
    <s v="France"/>
    <s v="2022-09-29"/>
    <n v="41"/>
    <s v="18+"/>
    <n v="5.9"/>
    <n v="333.9"/>
    <s v="Hindi"/>
    <s v="Rajkumar Hirani"/>
    <s v="Chris Evans"/>
    <n v="6"/>
    <n v="124"/>
    <n v="477.5"/>
    <s v="Flop"/>
    <s v="Popular"/>
    <s v="No"/>
    <s v="High"/>
    <n v="353.5"/>
    <n v="385.08064516129031"/>
  </r>
  <r>
    <s v="NFX-101190"/>
    <x v="1189"/>
    <s v="TV Show"/>
    <x v="0"/>
    <n v="2020"/>
    <s v="Spain"/>
    <s v="2020-06-23"/>
    <n v="32"/>
    <s v="PG-13"/>
    <n v="5.7"/>
    <n v="173.5"/>
    <s v="German"/>
    <s v="Quentin Tarantino"/>
    <s v="Brad Pitt"/>
    <n v="2"/>
    <n v="200"/>
    <n v="870.5"/>
    <s v="Flop"/>
    <s v="Normal"/>
    <s v="No"/>
    <s v="High"/>
    <n v="670.5"/>
    <n v="435.25"/>
  </r>
  <r>
    <s v="NFX-101191"/>
    <x v="1190"/>
    <s v="Movie"/>
    <x v="1"/>
    <n v="2013"/>
    <s v="Japan"/>
    <s v="2018-07-08"/>
    <n v="113"/>
    <s v="PG"/>
    <n v="4.5999999999999996"/>
    <n v="324.39999999999998"/>
    <s v="French"/>
    <s v="Anurag Kashyap"/>
    <s v="Song Kang-ho"/>
    <m/>
    <n v="11"/>
    <n v="55.3"/>
    <s v="Flop"/>
    <s v="Popular"/>
    <s v="Yes"/>
    <s v="Low"/>
    <n v="44.3"/>
    <n v="502.72727272727275"/>
  </r>
  <r>
    <s v="NFX-101192"/>
    <x v="1191"/>
    <s v="TV Show"/>
    <x v="3"/>
    <n v="2001"/>
    <s v="India"/>
    <s v="2020-04-16"/>
    <n v="59"/>
    <s v="16+"/>
    <n v="8.4"/>
    <n v="65.3"/>
    <s v="German"/>
    <s v="Christopher Nolan"/>
    <s v="Chris Evans"/>
    <n v="7"/>
    <n v="54"/>
    <n v="149.9"/>
    <s v="Hit"/>
    <s v="Normal"/>
    <s v="No"/>
    <s v="Low"/>
    <n v="95.9"/>
    <n v="277.59259259259261"/>
  </r>
  <r>
    <s v="NFX-101193"/>
    <x v="1192"/>
    <s v="Movie"/>
    <x v="5"/>
    <n v="2021"/>
    <s v="Canada"/>
    <s v="2019-05-29"/>
    <n v="86"/>
    <s v="G"/>
    <n v="8.9"/>
    <n v="264.5"/>
    <s v="Hindi"/>
    <s v="Greta Gerwig"/>
    <s v="Lee Jung-jae"/>
    <m/>
    <n v="116"/>
    <n v="657.9"/>
    <s v="Hit"/>
    <s v="Popular"/>
    <s v="Yes"/>
    <s v="High"/>
    <n v="541.9"/>
    <n v="567.15517241379314"/>
  </r>
  <r>
    <s v="NFX-101194"/>
    <x v="1193"/>
    <s v="TV Show"/>
    <x v="5"/>
    <n v="2008"/>
    <s v="India"/>
    <s v="2018-08-27"/>
    <n v="60"/>
    <s v="16+"/>
    <n v="5.3"/>
    <n v="64.5"/>
    <s v="German"/>
    <s v="Denis Villeneuve"/>
    <s v="Shah Rukh Khan"/>
    <n v="4"/>
    <n v="26"/>
    <n v="41.1"/>
    <s v="Flop"/>
    <s v="Normal"/>
    <s v="No"/>
    <s v="Low"/>
    <n v="15.100000000000001"/>
    <n v="158.07692307692309"/>
  </r>
  <r>
    <s v="NFX-101195"/>
    <x v="1194"/>
    <s v="Movie"/>
    <x v="0"/>
    <n v="2022"/>
    <s v="Canada"/>
    <s v="2022-09-24"/>
    <n v="177"/>
    <s v="18+"/>
    <n v="7.5"/>
    <n v="165.7"/>
    <s v="English"/>
    <s v="Ridley Scott"/>
    <s v="Chris Evans"/>
    <m/>
    <n v="98"/>
    <n v="386.8"/>
    <s v="Average"/>
    <s v="Normal"/>
    <s v="No"/>
    <s v="Low"/>
    <n v="288.8"/>
    <n v="394.69387755102042"/>
  </r>
  <r>
    <s v="NFX-101196"/>
    <x v="1195"/>
    <s v="TV Show"/>
    <x v="8"/>
    <n v="2001"/>
    <s v="South Korea"/>
    <s v="2022-11-08"/>
    <n v="34"/>
    <s v="16+"/>
    <n v="6.5"/>
    <n v="346.7"/>
    <s v="Japanese"/>
    <s v="Quentin Tarantino"/>
    <s v="Brad Pitt"/>
    <n v="1"/>
    <n v="44"/>
    <n v="212.9"/>
    <s v="Average"/>
    <s v="Popular"/>
    <s v="No"/>
    <s v="Low"/>
    <n v="168.9"/>
    <n v="483.86363636363637"/>
  </r>
  <r>
    <s v="NFX-101197"/>
    <x v="1196"/>
    <s v="TV Show"/>
    <x v="3"/>
    <n v="2017"/>
    <s v="South Korea"/>
    <s v="2023-10-02"/>
    <n v="33"/>
    <s v="16+"/>
    <n v="9.4"/>
    <n v="584.6"/>
    <s v="German"/>
    <s v="Park Chan-wook"/>
    <s v="Leonardo DiCaprio"/>
    <n v="1"/>
    <n v="179"/>
    <n v="772.1"/>
    <s v="Hit"/>
    <s v="Blockbuster"/>
    <s v="No"/>
    <s v="High"/>
    <n v="593.1"/>
    <n v="431.34078212290507"/>
  </r>
  <r>
    <s v="NFX-101198"/>
    <x v="1197"/>
    <s v="Movie"/>
    <x v="2"/>
    <n v="2014"/>
    <s v="Germany"/>
    <s v="2021-09-14"/>
    <n v="116"/>
    <s v="PG-13"/>
    <n v="8.1"/>
    <n v="483.8"/>
    <s v="English"/>
    <s v="Bong Joon-ho"/>
    <s v="Shah Rukh Khan"/>
    <m/>
    <n v="76"/>
    <n v="151.6"/>
    <s v="Hit"/>
    <s v="Blockbuster"/>
    <s v="No"/>
    <s v="Low"/>
    <n v="75.599999999999994"/>
    <n v="199.4736842105263"/>
  </r>
  <r>
    <s v="NFX-101199"/>
    <x v="1198"/>
    <s v="TV Show"/>
    <x v="7"/>
    <n v="2011"/>
    <s v="Japan"/>
    <s v="2020-08-16"/>
    <n v="46"/>
    <s v="16+"/>
    <n v="6.9"/>
    <n v="170.1"/>
    <s v="Spanish"/>
    <s v="Bong Joon-ho"/>
    <s v="Chris Evans"/>
    <n v="3"/>
    <n v="17"/>
    <n v="39.9"/>
    <s v="Average"/>
    <s v="Normal"/>
    <s v="No"/>
    <s v="Low"/>
    <n v="22.9"/>
    <n v="234.70588235294119"/>
  </r>
  <r>
    <s v="NFX-101200"/>
    <x v="1199"/>
    <s v="Movie"/>
    <x v="2"/>
    <n v="2023"/>
    <s v="USA"/>
    <s v="2019-09-03"/>
    <n v="106"/>
    <s v="G"/>
    <n v="5.3"/>
    <n v="529.29999999999995"/>
    <s v="Spanish"/>
    <s v="Denis Villeneuve"/>
    <s v="Song Kang-ho"/>
    <m/>
    <n v="64"/>
    <n v="345.8"/>
    <s v="Flop"/>
    <s v="Blockbuster"/>
    <s v="Yes"/>
    <s v="Low"/>
    <n v="281.8"/>
    <n v="540.3125"/>
  </r>
  <r>
    <s v="NFX-101201"/>
    <x v="1200"/>
    <s v="TV Show"/>
    <x v="8"/>
    <n v="2013"/>
    <s v="Australia"/>
    <s v="2023-04-24"/>
    <n v="32"/>
    <s v="G"/>
    <n v="7.1"/>
    <n v="73.400000000000006"/>
    <s v="Japanese"/>
    <s v="Bong Joon-ho"/>
    <s v="Brad Pitt"/>
    <n v="8"/>
    <n v="149"/>
    <n v="189.8"/>
    <s v="Average"/>
    <s v="Normal"/>
    <s v="Yes"/>
    <s v="High"/>
    <n v="40.800000000000011"/>
    <n v="127.38255033557049"/>
  </r>
  <r>
    <s v="NFX-101202"/>
    <x v="1201"/>
    <s v="TV Show"/>
    <x v="0"/>
    <n v="2024"/>
    <s v="Canada"/>
    <s v="2021-05-03"/>
    <n v="39"/>
    <s v="PG-13"/>
    <n v="7.8"/>
    <n v="397.4"/>
    <s v="French"/>
    <s v="Park Chan-wook"/>
    <s v="Timothée Chalamet"/>
    <n v="7"/>
    <n v="54"/>
    <n v="181.2"/>
    <s v="Average"/>
    <s v="Popular"/>
    <s v="No"/>
    <s v="Low"/>
    <n v="127.19999999999999"/>
    <n v="335.55555555555554"/>
  </r>
  <r>
    <s v="NFX-101203"/>
    <x v="1202"/>
    <s v="TV Show"/>
    <x v="3"/>
    <n v="2022"/>
    <s v="Australia"/>
    <s v="2019-02-13"/>
    <n v="48"/>
    <s v="16+"/>
    <n v="4.5999999999999996"/>
    <n v="164.3"/>
    <s v="Japanese"/>
    <s v="Zoya Akhtar"/>
    <s v="Brad Pitt"/>
    <n v="1"/>
    <n v="184"/>
    <n v="1135.8"/>
    <s v="Flop"/>
    <s v="Normal"/>
    <s v="No"/>
    <s v="High"/>
    <n v="951.8"/>
    <n v="617.28260869565213"/>
  </r>
  <r>
    <s v="NFX-101204"/>
    <x v="1203"/>
    <s v="Movie"/>
    <x v="7"/>
    <n v="2012"/>
    <s v="South Korea"/>
    <s v="2020-01-24"/>
    <n v="149"/>
    <s v="18+"/>
    <n v="8.9"/>
    <n v="469.4"/>
    <s v="French"/>
    <s v="Greta Gerwig"/>
    <s v="Timothée Chalamet"/>
    <m/>
    <n v="9"/>
    <n v="50.9"/>
    <s v="Hit"/>
    <s v="Blockbuster"/>
    <s v="No"/>
    <s v="Low"/>
    <n v="41.9"/>
    <n v="565.55555555555554"/>
  </r>
  <r>
    <s v="NFX-101205"/>
    <x v="1204"/>
    <s v="Movie"/>
    <x v="8"/>
    <n v="2003"/>
    <s v="Australia"/>
    <s v="2021-06-03"/>
    <n v="88"/>
    <s v="16+"/>
    <n v="6.5"/>
    <n v="455.4"/>
    <s v="Spanish"/>
    <s v="Anurag Kashyap"/>
    <s v="Ranbir Kapoor"/>
    <m/>
    <n v="46"/>
    <n v="95"/>
    <s v="Average"/>
    <s v="Blockbuster"/>
    <s v="No"/>
    <s v="Low"/>
    <n v="49"/>
    <n v="206.52173913043475"/>
  </r>
  <r>
    <s v="NFX-101206"/>
    <x v="1205"/>
    <s v="Movie"/>
    <x v="4"/>
    <n v="2002"/>
    <s v="France"/>
    <s v="2020-01-11"/>
    <n v="143"/>
    <s v="PG-13"/>
    <n v="4.9000000000000004"/>
    <n v="119.4"/>
    <s v="English"/>
    <s v="Greta Gerwig"/>
    <s v="Robert Downey Jr."/>
    <m/>
    <n v="136"/>
    <n v="522.1"/>
    <s v="Flop"/>
    <s v="Normal"/>
    <s v="No"/>
    <s v="High"/>
    <n v="386.1"/>
    <n v="383.89705882352945"/>
  </r>
  <r>
    <s v="NFX-101207"/>
    <x v="1206"/>
    <s v="Movie"/>
    <x v="3"/>
    <n v="2000"/>
    <s v="UK"/>
    <s v="2018-06-08"/>
    <n v="126"/>
    <s v="PG"/>
    <n v="8.3000000000000007"/>
    <n v="380.8"/>
    <s v="Korean"/>
    <s v="Greta Gerwig"/>
    <s v="Brad Pitt"/>
    <m/>
    <n v="161"/>
    <n v="856.8"/>
    <s v="Hit"/>
    <s v="Popular"/>
    <s v="Yes"/>
    <s v="High"/>
    <n v="695.8"/>
    <n v="532.17391304347825"/>
  </r>
  <r>
    <s v="NFX-101208"/>
    <x v="1207"/>
    <s v="Movie"/>
    <x v="9"/>
    <n v="2023"/>
    <s v="USA"/>
    <s v="2023-01-12"/>
    <n v="124"/>
    <s v="G"/>
    <n v="7.5"/>
    <n v="592.79999999999995"/>
    <s v="Korean"/>
    <s v="Sanjay Leela Bhansali"/>
    <s v="Robert Downey Jr."/>
    <m/>
    <n v="185"/>
    <n v="715.4"/>
    <s v="Average"/>
    <s v="Blockbuster"/>
    <s v="Yes"/>
    <s v="High"/>
    <n v="530.4"/>
    <n v="386.70270270270271"/>
  </r>
  <r>
    <s v="NFX-101209"/>
    <x v="1208"/>
    <s v="TV Show"/>
    <x v="1"/>
    <n v="2019"/>
    <s v="France"/>
    <s v="2020-08-21"/>
    <n v="31"/>
    <s v="16+"/>
    <n v="4.8"/>
    <n v="323.39999999999998"/>
    <s v="Hindi"/>
    <s v="Anurag Kashyap"/>
    <s v="Scarlett Johansson"/>
    <n v="2"/>
    <n v="61"/>
    <n v="371.5"/>
    <s v="Flop"/>
    <s v="Popular"/>
    <s v="No"/>
    <s v="Low"/>
    <n v="310.5"/>
    <n v="609.01639344262298"/>
  </r>
  <r>
    <s v="NFX-101210"/>
    <x v="1209"/>
    <s v="TV Show"/>
    <x v="9"/>
    <n v="2017"/>
    <s v="Germany"/>
    <s v="2020-08-09"/>
    <n v="44"/>
    <s v="PG-13"/>
    <n v="5.2"/>
    <n v="550.70000000000005"/>
    <s v="Japanese"/>
    <s v="Anurag Kashyap"/>
    <s v="Ranbir Kapoor"/>
    <n v="3"/>
    <n v="189"/>
    <n v="582.5"/>
    <s v="Flop"/>
    <s v="Blockbuster"/>
    <s v="No"/>
    <s v="High"/>
    <n v="393.5"/>
    <n v="308.20105820105817"/>
  </r>
  <r>
    <s v="NFX-101211"/>
    <x v="1210"/>
    <s v="TV Show"/>
    <x v="4"/>
    <n v="2022"/>
    <s v="Japan"/>
    <s v="2022-06-11"/>
    <n v="36"/>
    <s v="G"/>
    <n v="5.9"/>
    <n v="244.1"/>
    <s v="English"/>
    <s v="Greta Gerwig"/>
    <s v="Scarlett Johansson"/>
    <n v="5"/>
    <n v="13"/>
    <n v="48.5"/>
    <s v="Flop"/>
    <s v="Popular"/>
    <s v="Yes"/>
    <s v="Low"/>
    <n v="35.5"/>
    <n v="373.07692307692309"/>
  </r>
  <r>
    <s v="NFX-101212"/>
    <x v="1211"/>
    <s v="Movie"/>
    <x v="3"/>
    <n v="2009"/>
    <s v="UK"/>
    <s v="2023-02-21"/>
    <n v="88"/>
    <s v="PG-13"/>
    <n v="4.9000000000000004"/>
    <n v="423.8"/>
    <s v="Hindi"/>
    <s v="Ridley Scott"/>
    <s v="Tom Hardy"/>
    <m/>
    <n v="111"/>
    <n v="495.8"/>
    <s v="Flop"/>
    <s v="Blockbuster"/>
    <s v="No"/>
    <s v="High"/>
    <n v="384.8"/>
    <n v="446.66666666666669"/>
  </r>
  <r>
    <s v="NFX-101213"/>
    <x v="1212"/>
    <s v="Movie"/>
    <x v="8"/>
    <n v="2005"/>
    <s v="UK"/>
    <s v="2022-07-25"/>
    <n v="89"/>
    <s v="G"/>
    <n v="6.9"/>
    <n v="273.60000000000002"/>
    <s v="English"/>
    <s v="Christopher Nolan"/>
    <s v="Song Kang-ho"/>
    <m/>
    <n v="59"/>
    <n v="214.3"/>
    <s v="Average"/>
    <s v="Popular"/>
    <s v="Yes"/>
    <s v="Low"/>
    <n v="155.30000000000001"/>
    <n v="363.22033898305091"/>
  </r>
  <r>
    <s v="NFX-101214"/>
    <x v="1213"/>
    <s v="TV Show"/>
    <x v="1"/>
    <n v="2019"/>
    <s v="Germany"/>
    <s v="2021-10-19"/>
    <n v="58"/>
    <s v="18+"/>
    <n v="4.9000000000000004"/>
    <n v="431.4"/>
    <s v="Hindi"/>
    <s v="Bong Joon-ho"/>
    <s v="Robert Downey Jr."/>
    <n v="8"/>
    <n v="46"/>
    <n v="182.2"/>
    <s v="Flop"/>
    <s v="Blockbuster"/>
    <s v="No"/>
    <s v="Low"/>
    <n v="136.19999999999999"/>
    <n v="396.08695652173907"/>
  </r>
  <r>
    <s v="NFX-101215"/>
    <x v="1214"/>
    <s v="Movie"/>
    <x v="7"/>
    <n v="2013"/>
    <s v="South Korea"/>
    <s v="2018-03-30"/>
    <n v="130"/>
    <s v="18+"/>
    <n v="6.7"/>
    <n v="423"/>
    <s v="German"/>
    <s v="Guillermo del Toro"/>
    <s v="Timothée Chalamet"/>
    <m/>
    <n v="198"/>
    <n v="461.3"/>
    <s v="Average"/>
    <s v="Blockbuster"/>
    <s v="No"/>
    <s v="High"/>
    <n v="263.3"/>
    <n v="232.97979797979798"/>
  </r>
  <r>
    <s v="NFX-101216"/>
    <x v="1215"/>
    <s v="TV Show"/>
    <x v="1"/>
    <n v="2016"/>
    <s v="France"/>
    <s v="2023-10-12"/>
    <n v="51"/>
    <s v="G"/>
    <n v="5.2"/>
    <n v="584.20000000000005"/>
    <s v="Korean"/>
    <s v="Martin Scorsese"/>
    <s v="Shah Rukh Khan"/>
    <n v="4"/>
    <n v="44"/>
    <n v="183"/>
    <s v="Flop"/>
    <s v="Blockbuster"/>
    <s v="Yes"/>
    <s v="Low"/>
    <n v="139"/>
    <n v="415.90909090909093"/>
  </r>
  <r>
    <s v="NFX-101217"/>
    <x v="1216"/>
    <s v="TV Show"/>
    <x v="4"/>
    <n v="2019"/>
    <s v="South Korea"/>
    <s v="2022-06-16"/>
    <n v="53"/>
    <s v="16+"/>
    <n v="8.1"/>
    <n v="285.2"/>
    <s v="Japanese"/>
    <s v="Steven Spielberg"/>
    <s v="Deepika Padukone"/>
    <n v="3"/>
    <n v="22"/>
    <n v="100.3"/>
    <s v="Hit"/>
    <s v="Popular"/>
    <s v="No"/>
    <s v="Low"/>
    <n v="78.3"/>
    <n v="455.90909090909088"/>
  </r>
  <r>
    <s v="NFX-101218"/>
    <x v="1217"/>
    <s v="Movie"/>
    <x v="0"/>
    <n v="2017"/>
    <s v="Japan"/>
    <s v="2020-03-01"/>
    <n v="162"/>
    <s v="G"/>
    <n v="8.5"/>
    <n v="375.8"/>
    <s v="German"/>
    <s v="Steven Spielberg"/>
    <s v="Song Kang-ho"/>
    <m/>
    <n v="79"/>
    <n v="405"/>
    <s v="Hit"/>
    <s v="Popular"/>
    <s v="Yes"/>
    <s v="Low"/>
    <n v="326"/>
    <n v="512.65822784810121"/>
  </r>
  <r>
    <s v="NFX-101219"/>
    <x v="1218"/>
    <s v="TV Show"/>
    <x v="5"/>
    <n v="2006"/>
    <s v="Germany"/>
    <s v="2023-12-29"/>
    <n v="43"/>
    <s v="G"/>
    <n v="4.9000000000000004"/>
    <n v="199.2"/>
    <s v="Japanese"/>
    <s v="Park Chan-wook"/>
    <s v="Brad Pitt"/>
    <n v="6"/>
    <n v="9"/>
    <n v="20.399999999999999"/>
    <s v="Flop"/>
    <s v="Normal"/>
    <s v="Yes"/>
    <s v="Low"/>
    <n v="11.399999999999999"/>
    <n v="226.66666666666666"/>
  </r>
  <r>
    <s v="NFX-101220"/>
    <x v="1219"/>
    <s v="TV Show"/>
    <x v="7"/>
    <n v="2003"/>
    <s v="Germany"/>
    <s v="2020-12-22"/>
    <n v="44"/>
    <s v="18+"/>
    <n v="5.2"/>
    <n v="107.8"/>
    <s v="German"/>
    <s v="Anurag Kashyap"/>
    <s v="Chris Evans"/>
    <n v="3"/>
    <n v="197"/>
    <n v="832.1"/>
    <s v="Flop"/>
    <s v="Normal"/>
    <s v="No"/>
    <s v="High"/>
    <n v="635.1"/>
    <n v="422.38578680203045"/>
  </r>
  <r>
    <s v="NFX-101221"/>
    <x v="1220"/>
    <s v="Movie"/>
    <x v="1"/>
    <n v="2014"/>
    <s v="UK"/>
    <s v="2021-08-07"/>
    <n v="166"/>
    <s v="18+"/>
    <n v="6.8"/>
    <n v="9.5"/>
    <s v="Spanish"/>
    <s v="Guillermo del Toro"/>
    <s v="Robert Downey Jr."/>
    <m/>
    <n v="157"/>
    <n v="276.8"/>
    <s v="Average"/>
    <s v="Normal"/>
    <s v="No"/>
    <s v="High"/>
    <n v="119.80000000000001"/>
    <n v="176.30573248407643"/>
  </r>
  <r>
    <s v="NFX-101222"/>
    <x v="1221"/>
    <s v="TV Show"/>
    <x v="4"/>
    <n v="2005"/>
    <s v="Australia"/>
    <s v="2024-01-26"/>
    <n v="30"/>
    <s v="PG-13"/>
    <n v="5"/>
    <n v="577.1"/>
    <s v="Hindi"/>
    <s v="Zoya Akhtar"/>
    <s v="Robert Downey Jr."/>
    <n v="4"/>
    <n v="70"/>
    <n v="420"/>
    <s v="Flop"/>
    <s v="Blockbuster"/>
    <s v="No"/>
    <s v="Low"/>
    <n v="350"/>
    <n v="600"/>
  </r>
  <r>
    <s v="NFX-101223"/>
    <x v="1222"/>
    <s v="Movie"/>
    <x v="9"/>
    <n v="2012"/>
    <s v="Australia"/>
    <s v="2021-11-07"/>
    <n v="145"/>
    <s v="18+"/>
    <n v="5.6"/>
    <n v="468.4"/>
    <s v="French"/>
    <s v="Anurag Kashyap"/>
    <s v="Deepika Padukone"/>
    <m/>
    <n v="66"/>
    <n v="118.2"/>
    <s v="Flop"/>
    <s v="Blockbuster"/>
    <s v="No"/>
    <s v="Low"/>
    <n v="52.2"/>
    <n v="179.09090909090909"/>
  </r>
  <r>
    <s v="NFX-101224"/>
    <x v="1223"/>
    <s v="TV Show"/>
    <x v="5"/>
    <n v="2008"/>
    <s v="Canada"/>
    <s v="2022-12-11"/>
    <n v="54"/>
    <s v="16+"/>
    <n v="5.0999999999999996"/>
    <n v="431.6"/>
    <s v="Japanese"/>
    <s v="Quentin Tarantino"/>
    <s v="Ryan Gosling"/>
    <n v="1"/>
    <n v="66"/>
    <n v="159.6"/>
    <s v="Flop"/>
    <s v="Blockbuster"/>
    <s v="No"/>
    <s v="Low"/>
    <n v="93.6"/>
    <n v="241.81818181818181"/>
  </r>
  <r>
    <s v="NFX-101225"/>
    <x v="1224"/>
    <s v="TV Show"/>
    <x v="4"/>
    <n v="2007"/>
    <s v="India"/>
    <s v="2018-05-25"/>
    <n v="56"/>
    <s v="G"/>
    <n v="8"/>
    <n v="367.8"/>
    <s v="Korean"/>
    <s v="Bong Joon-ho"/>
    <s v="Robert Downey Jr."/>
    <n v="8"/>
    <n v="28"/>
    <n v="38.1"/>
    <s v="Hit"/>
    <s v="Popular"/>
    <s v="Yes"/>
    <s v="Low"/>
    <n v="10.100000000000001"/>
    <n v="136.07142857142858"/>
  </r>
  <r>
    <s v="NFX-101226"/>
    <x v="1225"/>
    <s v="Movie"/>
    <x v="4"/>
    <n v="2009"/>
    <s v="UK"/>
    <s v="2022-07-13"/>
    <n v="136"/>
    <s v="18+"/>
    <n v="5.0999999999999996"/>
    <n v="288.5"/>
    <s v="French"/>
    <s v="Christopher Nolan"/>
    <s v="Scarlett Johansson"/>
    <m/>
    <n v="22"/>
    <n v="74.8"/>
    <s v="Flop"/>
    <s v="Popular"/>
    <s v="No"/>
    <s v="Low"/>
    <n v="52.8"/>
    <n v="340"/>
  </r>
  <r>
    <s v="NFX-101227"/>
    <x v="1226"/>
    <s v="Movie"/>
    <x v="8"/>
    <n v="2001"/>
    <s v="USA"/>
    <s v="2022-07-05"/>
    <n v="96"/>
    <s v="PG-13"/>
    <n v="8.1999999999999993"/>
    <n v="390.3"/>
    <s v="German"/>
    <s v="Martin Scorsese"/>
    <s v="Emma Stone"/>
    <m/>
    <n v="81"/>
    <n v="360.7"/>
    <s v="Hit"/>
    <s v="Popular"/>
    <s v="No"/>
    <s v="Low"/>
    <n v="279.7"/>
    <n v="445.30864197530866"/>
  </r>
  <r>
    <s v="NFX-101228"/>
    <x v="1227"/>
    <s v="TV Show"/>
    <x v="4"/>
    <n v="2009"/>
    <s v="Canada"/>
    <s v="2018-02-06"/>
    <n v="42"/>
    <s v="16+"/>
    <n v="9.1"/>
    <n v="105.9"/>
    <s v="Japanese"/>
    <s v="Steven Spielberg"/>
    <s v="Robert Downey Jr."/>
    <n v="4"/>
    <n v="158"/>
    <n v="552.4"/>
    <s v="Hit"/>
    <s v="Normal"/>
    <s v="No"/>
    <s v="High"/>
    <n v="394.4"/>
    <n v="349.62025316455697"/>
  </r>
  <r>
    <s v="NFX-101229"/>
    <x v="1228"/>
    <s v="Movie"/>
    <x v="3"/>
    <n v="2024"/>
    <s v="Japan"/>
    <s v="2024-08-12"/>
    <n v="151"/>
    <s v="PG"/>
    <n v="5.6"/>
    <n v="392.9"/>
    <s v="German"/>
    <s v="Greta Gerwig"/>
    <s v="Shah Rukh Khan"/>
    <m/>
    <n v="64"/>
    <n v="330.6"/>
    <s v="Flop"/>
    <s v="Popular"/>
    <s v="Yes"/>
    <s v="Low"/>
    <n v="266.60000000000002"/>
    <n v="516.5625"/>
  </r>
  <r>
    <s v="NFX-101230"/>
    <x v="1229"/>
    <s v="Movie"/>
    <x v="2"/>
    <n v="2004"/>
    <s v="India"/>
    <s v="2020-09-12"/>
    <n v="168"/>
    <s v="16+"/>
    <n v="8.9"/>
    <n v="257.3"/>
    <s v="Korean"/>
    <s v="James Cameron"/>
    <s v="Timothée Chalamet"/>
    <m/>
    <n v="179"/>
    <n v="1064.3"/>
    <s v="Hit"/>
    <s v="Popular"/>
    <s v="No"/>
    <s v="High"/>
    <n v="885.3"/>
    <n v="594.58100558659214"/>
  </r>
  <r>
    <s v="NFX-101231"/>
    <x v="1230"/>
    <s v="Movie"/>
    <x v="3"/>
    <n v="2005"/>
    <s v="USA"/>
    <s v="2018-02-12"/>
    <n v="169"/>
    <s v="PG"/>
    <n v="4.5999999999999996"/>
    <n v="441.7"/>
    <s v="Spanish"/>
    <s v="Denis Villeneuve"/>
    <s v="Chris Evans"/>
    <m/>
    <n v="181"/>
    <n v="285.89999999999998"/>
    <s v="Flop"/>
    <s v="Blockbuster"/>
    <s v="Yes"/>
    <s v="High"/>
    <n v="104.89999999999998"/>
    <n v="157.95580110497235"/>
  </r>
  <r>
    <s v="NFX-101232"/>
    <x v="1231"/>
    <s v="Movie"/>
    <x v="2"/>
    <n v="2002"/>
    <s v="India"/>
    <s v="2021-09-10"/>
    <n v="87"/>
    <s v="18+"/>
    <n v="5.4"/>
    <n v="122.3"/>
    <s v="Hindi"/>
    <s v="Anurag Kashyap"/>
    <s v="Song Kang-ho"/>
    <m/>
    <n v="186"/>
    <n v="906.3"/>
    <s v="Flop"/>
    <s v="Normal"/>
    <s v="No"/>
    <s v="High"/>
    <n v="720.3"/>
    <n v="487.25806451612897"/>
  </r>
  <r>
    <s v="NFX-101233"/>
    <x v="1232"/>
    <s v="TV Show"/>
    <x v="10"/>
    <n v="2013"/>
    <s v="South Korea"/>
    <s v="2018-09-19"/>
    <n v="54"/>
    <s v="PG"/>
    <n v="6.6"/>
    <n v="466.6"/>
    <s v="French"/>
    <s v="Christopher Nolan"/>
    <s v="Tom Hardy"/>
    <n v="7"/>
    <n v="101"/>
    <n v="359.7"/>
    <s v="Average"/>
    <s v="Blockbuster"/>
    <s v="Yes"/>
    <s v="High"/>
    <n v="258.7"/>
    <n v="356.13861386138615"/>
  </r>
  <r>
    <s v="NFX-101234"/>
    <x v="1233"/>
    <s v="TV Show"/>
    <x v="4"/>
    <n v="2003"/>
    <s v="UK"/>
    <s v="2022-09-08"/>
    <n v="56"/>
    <s v="16+"/>
    <n v="5.0999999999999996"/>
    <n v="95.2"/>
    <s v="Korean"/>
    <s v="Ridley Scott"/>
    <s v="Song Kang-ho"/>
    <n v="8"/>
    <n v="144"/>
    <n v="667.8"/>
    <s v="Flop"/>
    <s v="Normal"/>
    <s v="No"/>
    <s v="High"/>
    <n v="523.79999999999995"/>
    <n v="463.74999999999994"/>
  </r>
  <r>
    <s v="NFX-101235"/>
    <x v="1234"/>
    <s v="TV Show"/>
    <x v="6"/>
    <n v="2012"/>
    <s v="Japan"/>
    <s v="2020-02-15"/>
    <n v="44"/>
    <s v="G"/>
    <n v="7"/>
    <n v="492"/>
    <s v="German"/>
    <s v="Zoya Akhtar"/>
    <s v="Brad Pitt"/>
    <n v="7"/>
    <n v="179"/>
    <n v="1051.5999999999999"/>
    <s v="Average"/>
    <s v="Blockbuster"/>
    <s v="Yes"/>
    <s v="High"/>
    <n v="872.59999999999991"/>
    <n v="587.48603351955296"/>
  </r>
  <r>
    <s v="NFX-101236"/>
    <x v="1235"/>
    <s v="Movie"/>
    <x v="4"/>
    <n v="2010"/>
    <s v="South Korea"/>
    <s v="2020-03-04"/>
    <n v="141"/>
    <s v="G"/>
    <n v="4.9000000000000004"/>
    <n v="43.6"/>
    <s v="Hindi"/>
    <s v="Guillermo del Toro"/>
    <s v="Tom Hardy"/>
    <m/>
    <n v="143"/>
    <n v="463.6"/>
    <s v="Flop"/>
    <s v="Normal"/>
    <s v="Yes"/>
    <s v="High"/>
    <n v="320.60000000000002"/>
    <n v="324.19580419580421"/>
  </r>
  <r>
    <s v="NFX-101237"/>
    <x v="1236"/>
    <s v="Movie"/>
    <x v="10"/>
    <n v="2021"/>
    <s v="France"/>
    <s v="2023-05-16"/>
    <n v="158"/>
    <s v="18+"/>
    <n v="5.3"/>
    <n v="212.3"/>
    <s v="Japanese"/>
    <s v="Zoya Akhtar"/>
    <s v="Lee Jung-jae"/>
    <m/>
    <n v="45"/>
    <n v="104.9"/>
    <s v="Flop"/>
    <s v="Popular"/>
    <s v="No"/>
    <s v="Low"/>
    <n v="59.900000000000006"/>
    <n v="233.11111111111114"/>
  </r>
  <r>
    <s v="NFX-101238"/>
    <x v="1237"/>
    <s v="TV Show"/>
    <x v="3"/>
    <n v="2022"/>
    <s v="Canada"/>
    <s v="2020-06-02"/>
    <n v="59"/>
    <s v="16+"/>
    <n v="9.4"/>
    <n v="76.7"/>
    <s v="French"/>
    <s v="Greta Gerwig"/>
    <s v="Chris Evans"/>
    <n v="5"/>
    <n v="54"/>
    <n v="300.39999999999998"/>
    <s v="Hit"/>
    <s v="Normal"/>
    <s v="No"/>
    <s v="Low"/>
    <n v="246.39999999999998"/>
    <n v="556.29629629629619"/>
  </r>
  <r>
    <s v="NFX-101239"/>
    <x v="1238"/>
    <s v="Movie"/>
    <x v="1"/>
    <n v="2020"/>
    <s v="South Korea"/>
    <s v="2024-10-31"/>
    <n v="139"/>
    <s v="PG-13"/>
    <n v="9.3000000000000007"/>
    <n v="190.4"/>
    <s v="Japanese"/>
    <s v="Greta Gerwig"/>
    <s v="Leonardo DiCaprio"/>
    <m/>
    <n v="97"/>
    <n v="159.4"/>
    <s v="Hit"/>
    <s v="Normal"/>
    <s v="No"/>
    <s v="Low"/>
    <n v="62.400000000000006"/>
    <n v="164.32989690721652"/>
  </r>
  <r>
    <s v="NFX-101240"/>
    <x v="1239"/>
    <s v="Movie"/>
    <x v="8"/>
    <n v="2016"/>
    <s v="Canada"/>
    <s v="2024-07-19"/>
    <n v="140"/>
    <s v="PG"/>
    <n v="5.5"/>
    <n v="362.2"/>
    <s v="French"/>
    <s v="Guillermo del Toro"/>
    <s v="Robert Downey Jr."/>
    <m/>
    <n v="115"/>
    <n v="586.9"/>
    <s v="Flop"/>
    <s v="Popular"/>
    <s v="Yes"/>
    <s v="High"/>
    <n v="471.9"/>
    <n v="510.3478260869565"/>
  </r>
  <r>
    <s v="NFX-101241"/>
    <x v="1240"/>
    <s v="Movie"/>
    <x v="6"/>
    <n v="2010"/>
    <s v="France"/>
    <s v="2024-10-02"/>
    <n v="145"/>
    <s v="G"/>
    <n v="5.0999999999999996"/>
    <n v="125.5"/>
    <s v="English"/>
    <s v="Ridley Scott"/>
    <s v="Deepika Padukone"/>
    <m/>
    <n v="103"/>
    <n v="667.9"/>
    <s v="Flop"/>
    <s v="Normal"/>
    <s v="Yes"/>
    <s v="High"/>
    <n v="564.9"/>
    <n v="648.44660194174764"/>
  </r>
  <r>
    <s v="NFX-101242"/>
    <x v="1241"/>
    <s v="TV Show"/>
    <x v="0"/>
    <n v="2005"/>
    <s v="UK"/>
    <s v="2018-04-04"/>
    <n v="47"/>
    <s v="16+"/>
    <n v="6.8"/>
    <n v="433.2"/>
    <s v="German"/>
    <s v="Greta Gerwig"/>
    <s v="Brad Pitt"/>
    <n v="7"/>
    <n v="116"/>
    <n v="674.8"/>
    <s v="Average"/>
    <s v="Blockbuster"/>
    <s v="No"/>
    <s v="High"/>
    <n v="558.79999999999995"/>
    <n v="581.72413793103442"/>
  </r>
  <r>
    <s v="NFX-101243"/>
    <x v="1242"/>
    <s v="TV Show"/>
    <x v="5"/>
    <n v="2019"/>
    <s v="France"/>
    <s v="2024-09-15"/>
    <n v="43"/>
    <s v="G"/>
    <n v="7.4"/>
    <n v="220.5"/>
    <s v="Spanish"/>
    <s v="Guillermo del Toro"/>
    <s v="Ryan Gosling"/>
    <n v="7"/>
    <n v="98"/>
    <n v="600.4"/>
    <s v="Average"/>
    <s v="Popular"/>
    <s v="Yes"/>
    <s v="Low"/>
    <n v="502.4"/>
    <n v="612.65306122448976"/>
  </r>
  <r>
    <s v="NFX-101244"/>
    <x v="1243"/>
    <s v="Movie"/>
    <x v="10"/>
    <n v="2025"/>
    <s v="South Korea"/>
    <s v="2023-01-17"/>
    <n v="161"/>
    <s v="16+"/>
    <n v="7.5"/>
    <n v="198.2"/>
    <s v="German"/>
    <s v="Park Chan-wook"/>
    <s v="Brad Pitt"/>
    <m/>
    <n v="196"/>
    <n v="1238.5"/>
    <s v="Average"/>
    <s v="Normal"/>
    <s v="No"/>
    <s v="High"/>
    <n v="1042.5"/>
    <n v="631.88775510204084"/>
  </r>
  <r>
    <s v="NFX-101245"/>
    <x v="1244"/>
    <s v="TV Show"/>
    <x v="8"/>
    <n v="2012"/>
    <s v="Australia"/>
    <s v="2023-03-11"/>
    <n v="51"/>
    <s v="16+"/>
    <n v="4.5999999999999996"/>
    <n v="136.5"/>
    <s v="French"/>
    <s v="Rajkumar Hirani"/>
    <s v="Brad Pitt"/>
    <n v="6"/>
    <n v="47"/>
    <n v="99.9"/>
    <s v="Flop"/>
    <s v="Normal"/>
    <s v="No"/>
    <s v="Low"/>
    <n v="52.900000000000006"/>
    <n v="212.55319148936169"/>
  </r>
  <r>
    <s v="NFX-101246"/>
    <x v="1245"/>
    <s v="TV Show"/>
    <x v="7"/>
    <n v="2019"/>
    <s v="Canada"/>
    <s v="2021-07-14"/>
    <n v="37"/>
    <s v="G"/>
    <n v="5.3"/>
    <n v="294.5"/>
    <s v="French"/>
    <s v="Sanjay Leela Bhansali"/>
    <s v="Brad Pitt"/>
    <n v="6"/>
    <n v="55"/>
    <n v="322.3"/>
    <s v="Flop"/>
    <s v="Popular"/>
    <s v="Yes"/>
    <s v="Low"/>
    <n v="267.3"/>
    <n v="586"/>
  </r>
  <r>
    <s v="NFX-101247"/>
    <x v="1246"/>
    <s v="TV Show"/>
    <x v="2"/>
    <n v="2004"/>
    <s v="UK"/>
    <s v="2023-12-10"/>
    <n v="46"/>
    <s v="PG"/>
    <n v="5.7"/>
    <n v="286.5"/>
    <s v="Spanish"/>
    <s v="Anurag Kashyap"/>
    <s v="Chris Evans"/>
    <n v="4"/>
    <n v="13"/>
    <n v="27.5"/>
    <s v="Flop"/>
    <s v="Popular"/>
    <s v="Yes"/>
    <s v="Low"/>
    <n v="14.5"/>
    <n v="211.53846153846155"/>
  </r>
  <r>
    <s v="NFX-101248"/>
    <x v="1247"/>
    <s v="TV Show"/>
    <x v="1"/>
    <n v="2003"/>
    <s v="Germany"/>
    <s v="2018-08-25"/>
    <n v="48"/>
    <s v="18+"/>
    <n v="5.6"/>
    <n v="598.70000000000005"/>
    <s v="Japanese"/>
    <s v="Zoya Akhtar"/>
    <s v="Leonardo DiCaprio"/>
    <n v="1"/>
    <n v="75"/>
    <n v="449"/>
    <s v="Flop"/>
    <s v="Blockbuster"/>
    <s v="No"/>
    <s v="Low"/>
    <n v="374"/>
    <n v="598.66666666666663"/>
  </r>
  <r>
    <s v="NFX-101249"/>
    <x v="1248"/>
    <s v="TV Show"/>
    <x v="9"/>
    <n v="2012"/>
    <s v="South Korea"/>
    <s v="2021-04-22"/>
    <n v="56"/>
    <s v="PG"/>
    <n v="8.1999999999999993"/>
    <n v="511.3"/>
    <s v="German"/>
    <s v="Bong Joon-ho"/>
    <s v="Timothée Chalamet"/>
    <n v="2"/>
    <n v="200"/>
    <n v="423.9"/>
    <s v="Hit"/>
    <s v="Blockbuster"/>
    <s v="Yes"/>
    <s v="High"/>
    <n v="223.89999999999998"/>
    <n v="211.95"/>
  </r>
  <r>
    <s v="NFX-101250"/>
    <x v="1249"/>
    <s v="TV Show"/>
    <x v="4"/>
    <n v="2011"/>
    <s v="Germany"/>
    <s v="2022-06-21"/>
    <n v="58"/>
    <s v="16+"/>
    <n v="8.8000000000000007"/>
    <n v="121.8"/>
    <s v="Korean"/>
    <s v="Denis Villeneuve"/>
    <s v="Brad Pitt"/>
    <n v="4"/>
    <n v="6"/>
    <n v="32"/>
    <s v="Hit"/>
    <s v="Normal"/>
    <s v="No"/>
    <s v="Low"/>
    <n v="26"/>
    <n v="533.33333333333326"/>
  </r>
  <r>
    <s v="NFX-101251"/>
    <x v="1250"/>
    <s v="TV Show"/>
    <x v="3"/>
    <n v="2008"/>
    <s v="Australia"/>
    <s v="2021-02-20"/>
    <n v="32"/>
    <s v="PG"/>
    <n v="8.4"/>
    <n v="15.3"/>
    <s v="English"/>
    <s v="Anurag Kashyap"/>
    <s v="Timothée Chalamet"/>
    <n v="5"/>
    <n v="7"/>
    <n v="26.2"/>
    <s v="Hit"/>
    <s v="Normal"/>
    <s v="Yes"/>
    <s v="Low"/>
    <n v="19.2"/>
    <n v="374.28571428571428"/>
  </r>
  <r>
    <s v="NFX-101252"/>
    <x v="1251"/>
    <s v="TV Show"/>
    <x v="2"/>
    <n v="2007"/>
    <s v="Australia"/>
    <s v="2020-05-04"/>
    <n v="36"/>
    <s v="PG-13"/>
    <n v="5.9"/>
    <n v="419.1"/>
    <s v="English"/>
    <s v="Martin Scorsese"/>
    <s v="Tom Hardy"/>
    <n v="8"/>
    <n v="152"/>
    <n v="446.1"/>
    <s v="Flop"/>
    <s v="Blockbuster"/>
    <s v="No"/>
    <s v="High"/>
    <n v="294.10000000000002"/>
    <n v="293.48684210526318"/>
  </r>
  <r>
    <s v="NFX-101253"/>
    <x v="1252"/>
    <s v="TV Show"/>
    <x v="0"/>
    <n v="2014"/>
    <s v="France"/>
    <s v="2020-10-03"/>
    <n v="36"/>
    <s v="PG"/>
    <n v="7.3"/>
    <n v="143.1"/>
    <s v="Hindi"/>
    <s v="Anurag Kashyap"/>
    <s v="Leonardo DiCaprio"/>
    <n v="3"/>
    <n v="191"/>
    <n v="718.1"/>
    <s v="Average"/>
    <s v="Normal"/>
    <s v="Yes"/>
    <s v="High"/>
    <n v="527.1"/>
    <n v="375.96858638743458"/>
  </r>
  <r>
    <s v="NFX-101254"/>
    <x v="1253"/>
    <s v="Movie"/>
    <x v="4"/>
    <n v="2024"/>
    <s v="South Korea"/>
    <s v="2024-11-04"/>
    <n v="123"/>
    <s v="18+"/>
    <n v="5"/>
    <n v="323.60000000000002"/>
    <s v="English"/>
    <s v="Anurag Kashyap"/>
    <s v="Song Kang-ho"/>
    <m/>
    <n v="91"/>
    <n v="228.5"/>
    <s v="Flop"/>
    <s v="Popular"/>
    <s v="No"/>
    <s v="Low"/>
    <n v="137.5"/>
    <n v="251.09890109890108"/>
  </r>
  <r>
    <s v="NFX-101255"/>
    <x v="1254"/>
    <s v="Movie"/>
    <x v="2"/>
    <n v="2017"/>
    <s v="Japan"/>
    <s v="2018-11-09"/>
    <n v="141"/>
    <s v="18+"/>
    <n v="8.9"/>
    <n v="119.7"/>
    <s v="Japanese"/>
    <s v="Park Chan-wook"/>
    <s v="Brad Pitt"/>
    <m/>
    <n v="75"/>
    <n v="130.6"/>
    <s v="Hit"/>
    <s v="Normal"/>
    <s v="No"/>
    <s v="Low"/>
    <n v="55.599999999999994"/>
    <n v="174.13333333333333"/>
  </r>
  <r>
    <s v="NFX-101256"/>
    <x v="1255"/>
    <s v="Movie"/>
    <x v="2"/>
    <n v="2009"/>
    <s v="South Korea"/>
    <s v="2024-08-20"/>
    <n v="104"/>
    <s v="18+"/>
    <n v="8.1"/>
    <n v="514"/>
    <s v="French"/>
    <s v="Christopher Nolan"/>
    <s v="Tom Hardy"/>
    <m/>
    <n v="115"/>
    <n v="653.9"/>
    <s v="Hit"/>
    <s v="Blockbuster"/>
    <s v="No"/>
    <s v="High"/>
    <n v="538.9"/>
    <n v="568.60869565217388"/>
  </r>
  <r>
    <s v="NFX-101257"/>
    <x v="1256"/>
    <s v="Movie"/>
    <x v="5"/>
    <n v="2017"/>
    <s v="USA"/>
    <s v="2021-07-31"/>
    <n v="154"/>
    <s v="G"/>
    <n v="8.5"/>
    <n v="281.2"/>
    <s v="French"/>
    <s v="Park Chan-wook"/>
    <s v="Robert Downey Jr."/>
    <m/>
    <n v="73"/>
    <n v="428.4"/>
    <s v="Hit"/>
    <s v="Popular"/>
    <s v="Yes"/>
    <s v="Low"/>
    <n v="355.4"/>
    <n v="586.84931506849307"/>
  </r>
  <r>
    <s v="NFX-101258"/>
    <x v="1257"/>
    <s v="Movie"/>
    <x v="10"/>
    <n v="2024"/>
    <s v="Canada"/>
    <s v="2023-09-30"/>
    <n v="92"/>
    <s v="18+"/>
    <n v="6.7"/>
    <n v="291.7"/>
    <s v="French"/>
    <s v="Ridley Scott"/>
    <s v="Brad Pitt"/>
    <m/>
    <n v="148"/>
    <n v="689.8"/>
    <s v="Average"/>
    <s v="Popular"/>
    <s v="No"/>
    <s v="High"/>
    <n v="541.79999999999995"/>
    <n v="466.08108108108104"/>
  </r>
  <r>
    <s v="NFX-101259"/>
    <x v="1258"/>
    <s v="Movie"/>
    <x v="3"/>
    <n v="2015"/>
    <s v="South Korea"/>
    <s v="2018-02-11"/>
    <n v="119"/>
    <s v="16+"/>
    <n v="8.8000000000000007"/>
    <n v="517"/>
    <s v="Japanese"/>
    <s v="Martin Scorsese"/>
    <s v="Robert Downey Jr."/>
    <m/>
    <n v="71"/>
    <n v="212"/>
    <s v="Hit"/>
    <s v="Blockbuster"/>
    <s v="No"/>
    <s v="Low"/>
    <n v="141"/>
    <n v="298.59154929577466"/>
  </r>
  <r>
    <s v="NFX-101260"/>
    <x v="1259"/>
    <s v="Movie"/>
    <x v="8"/>
    <n v="2012"/>
    <s v="Japan"/>
    <s v="2019-03-28"/>
    <n v="146"/>
    <s v="18+"/>
    <n v="6.2"/>
    <n v="98"/>
    <s v="Hindi"/>
    <s v="Steven Spielberg"/>
    <s v="Lee Jung-jae"/>
    <m/>
    <n v="20"/>
    <n v="96.1"/>
    <s v="Average"/>
    <s v="Normal"/>
    <s v="No"/>
    <s v="Low"/>
    <n v="76.099999999999994"/>
    <n v="480.5"/>
  </r>
  <r>
    <s v="NFX-101261"/>
    <x v="1260"/>
    <s v="Movie"/>
    <x v="2"/>
    <n v="2009"/>
    <s v="Germany"/>
    <s v="2023-02-08"/>
    <n v="157"/>
    <s v="PG"/>
    <n v="4.5999999999999996"/>
    <n v="274"/>
    <s v="Spanish"/>
    <s v="Anurag Kashyap"/>
    <s v="Timothée Chalamet"/>
    <m/>
    <n v="174"/>
    <n v="611.6"/>
    <s v="Flop"/>
    <s v="Popular"/>
    <s v="Yes"/>
    <s v="High"/>
    <n v="437.6"/>
    <n v="351.4942528735632"/>
  </r>
  <r>
    <s v="NFX-101262"/>
    <x v="1261"/>
    <s v="TV Show"/>
    <x v="2"/>
    <n v="2016"/>
    <s v="UK"/>
    <s v="2019-05-25"/>
    <n v="57"/>
    <s v="16+"/>
    <n v="7.9"/>
    <n v="149.69999999999999"/>
    <s v="Spanish"/>
    <s v="Steven Spielberg"/>
    <s v="Brad Pitt"/>
    <n v="7"/>
    <n v="51"/>
    <n v="210.9"/>
    <s v="Average"/>
    <s v="Normal"/>
    <s v="No"/>
    <s v="Low"/>
    <n v="159.9"/>
    <n v="413.52941176470591"/>
  </r>
  <r>
    <s v="NFX-101263"/>
    <x v="1262"/>
    <s v="TV Show"/>
    <x v="7"/>
    <n v="2024"/>
    <s v="Germany"/>
    <s v="2019-09-18"/>
    <n v="33"/>
    <s v="16+"/>
    <n v="9.1"/>
    <n v="537.6"/>
    <s v="English"/>
    <s v="James Cameron"/>
    <s v="Timothée Chalamet"/>
    <n v="3"/>
    <n v="107"/>
    <n v="209.8"/>
    <s v="Hit"/>
    <s v="Blockbuster"/>
    <s v="No"/>
    <s v="High"/>
    <n v="102.80000000000001"/>
    <n v="196.07476635514021"/>
  </r>
  <r>
    <s v="NFX-101264"/>
    <x v="1263"/>
    <s v="Movie"/>
    <x v="9"/>
    <n v="2006"/>
    <s v="USA"/>
    <s v="2019-04-23"/>
    <n v="155"/>
    <s v="16+"/>
    <n v="9"/>
    <n v="407.3"/>
    <s v="Korean"/>
    <s v="Quentin Tarantino"/>
    <s v="Emma Stone"/>
    <m/>
    <n v="86"/>
    <n v="151.9"/>
    <s v="Hit"/>
    <s v="Blockbuster"/>
    <s v="No"/>
    <s v="Low"/>
    <n v="65.900000000000006"/>
    <n v="176.62790697674419"/>
  </r>
  <r>
    <s v="NFX-101265"/>
    <x v="1264"/>
    <s v="TV Show"/>
    <x v="9"/>
    <n v="2000"/>
    <s v="Spain"/>
    <s v="2020-02-21"/>
    <n v="42"/>
    <s v="18+"/>
    <n v="6"/>
    <n v="397.6"/>
    <s v="Hindi"/>
    <s v="Bong Joon-ho"/>
    <s v="Shah Rukh Khan"/>
    <n v="6"/>
    <n v="22"/>
    <n v="127.6"/>
    <s v="Average"/>
    <s v="Popular"/>
    <s v="No"/>
    <s v="Low"/>
    <n v="105.6"/>
    <n v="580"/>
  </r>
  <r>
    <s v="NFX-101266"/>
    <x v="1265"/>
    <s v="TV Show"/>
    <x v="3"/>
    <n v="2000"/>
    <s v="India"/>
    <s v="2018-12-06"/>
    <n v="60"/>
    <s v="16+"/>
    <n v="5.2"/>
    <n v="405.2"/>
    <s v="English"/>
    <s v="Park Chan-wook"/>
    <s v="Emma Stone"/>
    <n v="5"/>
    <n v="25"/>
    <n v="46"/>
    <s v="Flop"/>
    <s v="Blockbuster"/>
    <s v="No"/>
    <s v="Low"/>
    <n v="21"/>
    <n v="184"/>
  </r>
  <r>
    <s v="NFX-101267"/>
    <x v="1266"/>
    <s v="TV Show"/>
    <x v="9"/>
    <n v="2000"/>
    <s v="Germany"/>
    <s v="2018-11-09"/>
    <n v="32"/>
    <s v="16+"/>
    <n v="7"/>
    <n v="598.4"/>
    <s v="English"/>
    <s v="Zoya Akhtar"/>
    <s v="Robert Downey Jr."/>
    <n v="7"/>
    <n v="135"/>
    <n v="170.9"/>
    <s v="Average"/>
    <s v="Blockbuster"/>
    <s v="No"/>
    <s v="High"/>
    <n v="35.900000000000006"/>
    <n v="126.5925925925926"/>
  </r>
  <r>
    <s v="NFX-101268"/>
    <x v="1267"/>
    <s v="Movie"/>
    <x v="7"/>
    <n v="2021"/>
    <s v="South Korea"/>
    <s v="2022-08-26"/>
    <n v="136"/>
    <s v="PG-13"/>
    <n v="5.3"/>
    <n v="570.4"/>
    <s v="Japanese"/>
    <s v="Greta Gerwig"/>
    <s v="Brad Pitt"/>
    <m/>
    <n v="34"/>
    <n v="186.8"/>
    <s v="Flop"/>
    <s v="Blockbuster"/>
    <s v="No"/>
    <s v="Low"/>
    <n v="152.80000000000001"/>
    <n v="549.41176470588232"/>
  </r>
  <r>
    <s v="NFX-101269"/>
    <x v="1268"/>
    <s v="Movie"/>
    <x v="4"/>
    <n v="2022"/>
    <s v="India"/>
    <s v="2021-02-16"/>
    <n v="154"/>
    <s v="16+"/>
    <n v="9"/>
    <n v="28.6"/>
    <s v="German"/>
    <s v="Denis Villeneuve"/>
    <s v="Brad Pitt"/>
    <m/>
    <n v="142"/>
    <n v="430.1"/>
    <s v="Hit"/>
    <s v="Normal"/>
    <s v="No"/>
    <s v="High"/>
    <n v="288.10000000000002"/>
    <n v="302.88732394366195"/>
  </r>
  <r>
    <s v="NFX-101270"/>
    <x v="1269"/>
    <s v="TV Show"/>
    <x v="9"/>
    <n v="2016"/>
    <s v="UK"/>
    <s v="2020-02-07"/>
    <n v="35"/>
    <s v="PG"/>
    <n v="7.5"/>
    <n v="590.6"/>
    <s v="Japanese"/>
    <s v="Sanjay Leela Bhansali"/>
    <s v="Brad Pitt"/>
    <n v="1"/>
    <n v="120"/>
    <n v="417.4"/>
    <s v="Average"/>
    <s v="Blockbuster"/>
    <s v="Yes"/>
    <s v="High"/>
    <n v="297.39999999999998"/>
    <n v="347.83333333333331"/>
  </r>
  <r>
    <s v="NFX-101271"/>
    <x v="1270"/>
    <s v="TV Show"/>
    <x v="6"/>
    <n v="2011"/>
    <s v="India"/>
    <s v="2022-10-03"/>
    <n v="40"/>
    <s v="16+"/>
    <n v="5.3"/>
    <n v="149.1"/>
    <s v="French"/>
    <s v="Greta Gerwig"/>
    <s v="Robert Downey Jr."/>
    <n v="3"/>
    <n v="154"/>
    <n v="583.9"/>
    <s v="Flop"/>
    <s v="Normal"/>
    <s v="No"/>
    <s v="High"/>
    <n v="429.9"/>
    <n v="379.15584415584414"/>
  </r>
  <r>
    <s v="NFX-101272"/>
    <x v="1271"/>
    <s v="TV Show"/>
    <x v="7"/>
    <n v="2010"/>
    <s v="Japan"/>
    <s v="2019-04-25"/>
    <n v="35"/>
    <s v="G"/>
    <n v="9.3000000000000007"/>
    <n v="98.2"/>
    <s v="Spanish"/>
    <s v="Denis Villeneuve"/>
    <s v="Robert Downey Jr."/>
    <n v="7"/>
    <n v="88"/>
    <n v="539.70000000000005"/>
    <s v="Hit"/>
    <s v="Normal"/>
    <s v="Yes"/>
    <s v="Low"/>
    <n v="451.70000000000005"/>
    <n v="613.29545454545462"/>
  </r>
  <r>
    <s v="NFX-101273"/>
    <x v="1272"/>
    <s v="TV Show"/>
    <x v="7"/>
    <n v="2024"/>
    <s v="Canada"/>
    <s v="2022-02-23"/>
    <n v="52"/>
    <s v="PG-13"/>
    <n v="5.7"/>
    <n v="535.20000000000005"/>
    <s v="German"/>
    <s v="Zoya Akhtar"/>
    <s v="Ranbir Kapoor"/>
    <n v="2"/>
    <n v="54"/>
    <n v="273.5"/>
    <s v="Flop"/>
    <s v="Blockbuster"/>
    <s v="No"/>
    <s v="Low"/>
    <n v="219.5"/>
    <n v="506.48148148148147"/>
  </r>
  <r>
    <s v="NFX-101274"/>
    <x v="1273"/>
    <s v="TV Show"/>
    <x v="6"/>
    <n v="2005"/>
    <s v="South Korea"/>
    <s v="2021-11-12"/>
    <n v="40"/>
    <s v="16+"/>
    <n v="8.4"/>
    <n v="400.1"/>
    <s v="Hindi"/>
    <s v="Rajkumar Hirani"/>
    <s v="Jennifer Lawrence"/>
    <n v="8"/>
    <n v="131"/>
    <n v="159.30000000000001"/>
    <s v="Hit"/>
    <s v="Blockbuster"/>
    <s v="No"/>
    <s v="High"/>
    <n v="28.300000000000011"/>
    <n v="121.6030534351145"/>
  </r>
  <r>
    <s v="NFX-101275"/>
    <x v="1274"/>
    <s v="Movie"/>
    <x v="8"/>
    <n v="2021"/>
    <s v="Germany"/>
    <s v="2019-02-14"/>
    <n v="124"/>
    <s v="G"/>
    <n v="7.9"/>
    <n v="474.5"/>
    <s v="Korean"/>
    <s v="Steven Spielberg"/>
    <s v="Tom Hardy"/>
    <m/>
    <n v="184"/>
    <n v="1095.3"/>
    <s v="Average"/>
    <s v="Blockbuster"/>
    <s v="Yes"/>
    <s v="High"/>
    <n v="911.3"/>
    <n v="595.27173913043475"/>
  </r>
  <r>
    <s v="NFX-101276"/>
    <x v="1275"/>
    <s v="Movie"/>
    <x v="3"/>
    <n v="2012"/>
    <s v="Canada"/>
    <s v="2018-08-05"/>
    <n v="95"/>
    <s v="PG-13"/>
    <n v="7.6"/>
    <n v="121.9"/>
    <s v="French"/>
    <s v="Ridley Scott"/>
    <s v="Scarlett Johansson"/>
    <m/>
    <n v="109"/>
    <n v="619"/>
    <s v="Average"/>
    <s v="Normal"/>
    <s v="No"/>
    <s v="High"/>
    <n v="510"/>
    <n v="567.88990825688074"/>
  </r>
  <r>
    <s v="NFX-101277"/>
    <x v="1276"/>
    <s v="TV Show"/>
    <x v="2"/>
    <n v="2023"/>
    <s v="UK"/>
    <s v="2024-10-16"/>
    <n v="48"/>
    <s v="16+"/>
    <n v="8.4"/>
    <n v="305.89999999999998"/>
    <s v="German"/>
    <s v="Denis Villeneuve"/>
    <s v="Ryan Gosling"/>
    <n v="3"/>
    <n v="9"/>
    <n v="43.5"/>
    <s v="Hit"/>
    <s v="Popular"/>
    <s v="No"/>
    <s v="Low"/>
    <n v="34.5"/>
    <n v="483.33333333333331"/>
  </r>
  <r>
    <s v="NFX-101278"/>
    <x v="1277"/>
    <s v="TV Show"/>
    <x v="1"/>
    <n v="2015"/>
    <s v="Australia"/>
    <s v="2023-10-19"/>
    <n v="30"/>
    <s v="18+"/>
    <n v="6.2"/>
    <n v="577.70000000000005"/>
    <s v="German"/>
    <s v="Sanjay Leela Bhansali"/>
    <s v="Leonardo DiCaprio"/>
    <n v="2"/>
    <n v="71"/>
    <n v="229.3"/>
    <s v="Average"/>
    <s v="Blockbuster"/>
    <s v="No"/>
    <s v="Low"/>
    <n v="158.30000000000001"/>
    <n v="322.95774647887328"/>
  </r>
  <r>
    <s v="NFX-101279"/>
    <x v="1278"/>
    <s v="TV Show"/>
    <x v="7"/>
    <n v="2014"/>
    <s v="UK"/>
    <s v="2021-06-25"/>
    <n v="53"/>
    <s v="PG-13"/>
    <n v="9.3000000000000007"/>
    <n v="456.3"/>
    <s v="Spanish"/>
    <s v="Denis Villeneuve"/>
    <s v="Ryan Gosling"/>
    <n v="4"/>
    <n v="26"/>
    <n v="140.9"/>
    <s v="Hit"/>
    <s v="Blockbuster"/>
    <s v="No"/>
    <s v="Low"/>
    <n v="114.9"/>
    <n v="541.92307692307691"/>
  </r>
  <r>
    <s v="NFX-101280"/>
    <x v="1279"/>
    <s v="Movie"/>
    <x v="1"/>
    <n v="2010"/>
    <s v="Canada"/>
    <s v="2023-09-27"/>
    <n v="167"/>
    <s v="PG"/>
    <n v="8.8000000000000007"/>
    <n v="588.1"/>
    <s v="English"/>
    <s v="Quentin Tarantino"/>
    <s v="Brad Pitt"/>
    <m/>
    <n v="134"/>
    <n v="652.6"/>
    <s v="Hit"/>
    <s v="Blockbuster"/>
    <s v="Yes"/>
    <s v="High"/>
    <n v="518.6"/>
    <n v="487.0149253731343"/>
  </r>
  <r>
    <s v="NFX-101281"/>
    <x v="1280"/>
    <s v="Movie"/>
    <x v="1"/>
    <n v="2013"/>
    <s v="Australia"/>
    <s v="2019-03-21"/>
    <n v="173"/>
    <s v="PG"/>
    <n v="8.4"/>
    <n v="216.9"/>
    <s v="Japanese"/>
    <s v="Bong Joon-ho"/>
    <s v="Tom Hardy"/>
    <m/>
    <n v="85"/>
    <n v="490.4"/>
    <s v="Hit"/>
    <s v="Popular"/>
    <s v="Yes"/>
    <s v="Low"/>
    <n v="405.4"/>
    <n v="576.94117647058829"/>
  </r>
  <r>
    <s v="NFX-101282"/>
    <x v="1281"/>
    <s v="TV Show"/>
    <x v="10"/>
    <n v="2005"/>
    <s v="India"/>
    <s v="2023-03-08"/>
    <n v="44"/>
    <s v="PG-13"/>
    <n v="7.7"/>
    <n v="238.7"/>
    <s v="Hindi"/>
    <s v="Steven Spielberg"/>
    <s v="Tom Hardy"/>
    <n v="6"/>
    <n v="200"/>
    <n v="828.9"/>
    <s v="Average"/>
    <s v="Popular"/>
    <s v="No"/>
    <s v="High"/>
    <n v="628.9"/>
    <n v="414.45"/>
  </r>
  <r>
    <s v="NFX-101283"/>
    <x v="1282"/>
    <s v="TV Show"/>
    <x v="1"/>
    <n v="2001"/>
    <s v="South Korea"/>
    <s v="2019-12-25"/>
    <n v="30"/>
    <s v="18+"/>
    <n v="6.7"/>
    <n v="399.9"/>
    <s v="English"/>
    <s v="Christopher Nolan"/>
    <s v="Robert Downey Jr."/>
    <n v="2"/>
    <n v="165"/>
    <n v="407.7"/>
    <s v="Average"/>
    <s v="Popular"/>
    <s v="No"/>
    <s v="High"/>
    <n v="242.7"/>
    <n v="247.09090909090907"/>
  </r>
  <r>
    <s v="NFX-101284"/>
    <x v="1283"/>
    <s v="Movie"/>
    <x v="5"/>
    <n v="2002"/>
    <s v="Spain"/>
    <s v="2019-07-17"/>
    <n v="115"/>
    <s v="PG-13"/>
    <n v="7.5"/>
    <n v="510.5"/>
    <s v="German"/>
    <s v="Ridley Scott"/>
    <s v="Shah Rukh Khan"/>
    <m/>
    <n v="153"/>
    <n v="332"/>
    <s v="Average"/>
    <s v="Blockbuster"/>
    <s v="No"/>
    <s v="High"/>
    <n v="179"/>
    <n v="216.99346405228758"/>
  </r>
  <r>
    <s v="NFX-101285"/>
    <x v="1284"/>
    <s v="Movie"/>
    <x v="9"/>
    <n v="2013"/>
    <s v="Canada"/>
    <s v="2018-04-12"/>
    <n v="151"/>
    <s v="16+"/>
    <n v="7.7"/>
    <n v="170.8"/>
    <s v="Japanese"/>
    <s v="Zoya Akhtar"/>
    <s v="Timothée Chalamet"/>
    <m/>
    <n v="148"/>
    <n v="943.7"/>
    <s v="Average"/>
    <s v="Normal"/>
    <s v="No"/>
    <s v="High"/>
    <n v="795.7"/>
    <n v="637.6351351351351"/>
  </r>
  <r>
    <s v="NFX-101286"/>
    <x v="1285"/>
    <s v="Movie"/>
    <x v="4"/>
    <n v="2019"/>
    <s v="India"/>
    <s v="2021-08-09"/>
    <n v="110"/>
    <s v="G"/>
    <n v="7.6"/>
    <n v="456.8"/>
    <s v="Japanese"/>
    <s v="Zoya Akhtar"/>
    <s v="Scarlett Johansson"/>
    <m/>
    <n v="82"/>
    <n v="172.1"/>
    <s v="Average"/>
    <s v="Blockbuster"/>
    <s v="Yes"/>
    <s v="Low"/>
    <n v="90.1"/>
    <n v="209.8780487804878"/>
  </r>
  <r>
    <s v="NFX-101287"/>
    <x v="1286"/>
    <s v="TV Show"/>
    <x v="4"/>
    <n v="2013"/>
    <s v="India"/>
    <s v="2022-06-13"/>
    <n v="56"/>
    <s v="PG"/>
    <n v="6.1"/>
    <n v="281"/>
    <s v="Spanish"/>
    <s v="Quentin Tarantino"/>
    <s v="Timothée Chalamet"/>
    <n v="6"/>
    <n v="196"/>
    <n v="1167"/>
    <s v="Average"/>
    <s v="Popular"/>
    <s v="Yes"/>
    <s v="High"/>
    <n v="971"/>
    <n v="595.40816326530614"/>
  </r>
  <r>
    <s v="NFX-101288"/>
    <x v="1287"/>
    <s v="TV Show"/>
    <x v="6"/>
    <n v="2014"/>
    <s v="South Korea"/>
    <s v="2023-02-11"/>
    <n v="37"/>
    <s v="PG-13"/>
    <n v="6.5"/>
    <n v="556.79999999999995"/>
    <s v="English"/>
    <s v="Anurag Kashyap"/>
    <s v="Chris Evans"/>
    <n v="1"/>
    <n v="105"/>
    <n v="171.2"/>
    <s v="Average"/>
    <s v="Blockbuster"/>
    <s v="No"/>
    <s v="High"/>
    <n v="66.199999999999989"/>
    <n v="163.04761904761904"/>
  </r>
  <r>
    <s v="NFX-101289"/>
    <x v="1288"/>
    <s v="Movie"/>
    <x v="1"/>
    <n v="2010"/>
    <s v="Canada"/>
    <s v="2022-09-16"/>
    <n v="126"/>
    <s v="18+"/>
    <n v="8.1999999999999993"/>
    <n v="92.3"/>
    <s v="English"/>
    <s v="Greta Gerwig"/>
    <s v="Shah Rukh Khan"/>
    <m/>
    <n v="158"/>
    <n v="568.70000000000005"/>
    <s v="Hit"/>
    <s v="Normal"/>
    <s v="No"/>
    <s v="High"/>
    <n v="410.70000000000005"/>
    <n v="359.9367088607595"/>
  </r>
  <r>
    <s v="NFX-101290"/>
    <x v="1289"/>
    <s v="Movie"/>
    <x v="4"/>
    <n v="2016"/>
    <s v="USA"/>
    <s v="2020-08-12"/>
    <n v="176"/>
    <s v="PG-13"/>
    <n v="4.5999999999999996"/>
    <n v="208.6"/>
    <s v="Japanese"/>
    <s v="Bong Joon-ho"/>
    <s v="Jennifer Lawrence"/>
    <m/>
    <n v="10"/>
    <n v="39.5"/>
    <s v="Flop"/>
    <s v="Popular"/>
    <s v="No"/>
    <s v="Low"/>
    <n v="29.5"/>
    <n v="395"/>
  </r>
  <r>
    <s v="NFX-101291"/>
    <x v="1290"/>
    <s v="TV Show"/>
    <x v="5"/>
    <n v="2025"/>
    <s v="UK"/>
    <s v="2022-07-17"/>
    <n v="38"/>
    <s v="16+"/>
    <n v="7.1"/>
    <n v="285.5"/>
    <s v="Korean"/>
    <s v="Zoya Akhtar"/>
    <s v="Timothée Chalamet"/>
    <n v="5"/>
    <n v="16"/>
    <n v="25.4"/>
    <s v="Average"/>
    <s v="Popular"/>
    <s v="No"/>
    <s v="Low"/>
    <n v="9.3999999999999986"/>
    <n v="158.75"/>
  </r>
  <r>
    <s v="NFX-101292"/>
    <x v="1291"/>
    <s v="TV Show"/>
    <x v="8"/>
    <n v="2010"/>
    <s v="Germany"/>
    <s v="2022-09-17"/>
    <n v="52"/>
    <s v="PG-13"/>
    <n v="4.8"/>
    <n v="474.6"/>
    <s v="English"/>
    <s v="Christopher Nolan"/>
    <s v="Shah Rukh Khan"/>
    <n v="3"/>
    <n v="44"/>
    <n v="67.3"/>
    <s v="Flop"/>
    <s v="Blockbuster"/>
    <s v="No"/>
    <s v="Low"/>
    <n v="23.299999999999997"/>
    <n v="152.95454545454547"/>
  </r>
  <r>
    <s v="NFX-101293"/>
    <x v="1292"/>
    <s v="TV Show"/>
    <x v="8"/>
    <n v="2018"/>
    <s v="USA"/>
    <s v="2022-01-19"/>
    <n v="50"/>
    <s v="PG-13"/>
    <n v="6.6"/>
    <n v="341.2"/>
    <s v="Spanish"/>
    <s v="James Cameron"/>
    <s v="Leonardo DiCaprio"/>
    <n v="5"/>
    <n v="199"/>
    <n v="747.8"/>
    <s v="Average"/>
    <s v="Popular"/>
    <s v="No"/>
    <s v="High"/>
    <n v="548.79999999999995"/>
    <n v="375.77889447236174"/>
  </r>
  <r>
    <s v="NFX-101294"/>
    <x v="1293"/>
    <s v="Movie"/>
    <x v="5"/>
    <n v="2004"/>
    <s v="USA"/>
    <s v="2023-03-07"/>
    <n v="137"/>
    <s v="G"/>
    <n v="8.5"/>
    <n v="420.1"/>
    <s v="Spanish"/>
    <s v="Ridley Scott"/>
    <s v="Jennifer Lawrence"/>
    <m/>
    <n v="95"/>
    <n v="215.1"/>
    <s v="Hit"/>
    <s v="Blockbuster"/>
    <s v="Yes"/>
    <s v="Low"/>
    <n v="120.1"/>
    <n v="226.42105263157896"/>
  </r>
  <r>
    <s v="NFX-101295"/>
    <x v="1294"/>
    <s v="TV Show"/>
    <x v="5"/>
    <n v="2024"/>
    <s v="Canada"/>
    <s v="2020-11-05"/>
    <n v="34"/>
    <s v="PG-13"/>
    <n v="7.1"/>
    <n v="318"/>
    <s v="Korean"/>
    <s v="Sanjay Leela Bhansali"/>
    <s v="Robert Downey Jr."/>
    <n v="6"/>
    <n v="163"/>
    <n v="668.4"/>
    <s v="Average"/>
    <s v="Popular"/>
    <s v="No"/>
    <s v="High"/>
    <n v="505.4"/>
    <n v="410.06134969325149"/>
  </r>
  <r>
    <s v="NFX-101296"/>
    <x v="1295"/>
    <s v="TV Show"/>
    <x v="4"/>
    <n v="2001"/>
    <s v="France"/>
    <s v="2020-02-25"/>
    <n v="36"/>
    <s v="G"/>
    <n v="5.3"/>
    <n v="394"/>
    <s v="Spanish"/>
    <s v="Park Chan-wook"/>
    <s v="Tom Hardy"/>
    <n v="2"/>
    <n v="14"/>
    <n v="46.3"/>
    <s v="Flop"/>
    <s v="Popular"/>
    <s v="Yes"/>
    <s v="Low"/>
    <n v="32.299999999999997"/>
    <n v="330.71428571428567"/>
  </r>
  <r>
    <s v="NFX-101297"/>
    <x v="1296"/>
    <s v="TV Show"/>
    <x v="0"/>
    <n v="2025"/>
    <s v="Japan"/>
    <s v="2020-04-24"/>
    <n v="32"/>
    <s v="PG"/>
    <n v="6.1"/>
    <n v="418.3"/>
    <s v="French"/>
    <s v="Park Chan-wook"/>
    <s v="Tom Hardy"/>
    <n v="1"/>
    <n v="69"/>
    <n v="169.5"/>
    <s v="Average"/>
    <s v="Blockbuster"/>
    <s v="Yes"/>
    <s v="Low"/>
    <n v="100.5"/>
    <n v="245.65217391304347"/>
  </r>
  <r>
    <s v="NFX-101298"/>
    <x v="1297"/>
    <s v="TV Show"/>
    <x v="7"/>
    <n v="2022"/>
    <s v="India"/>
    <s v="2020-08-07"/>
    <n v="40"/>
    <s v="18+"/>
    <n v="6.9"/>
    <n v="576.29999999999995"/>
    <s v="Spanish"/>
    <s v="Greta Gerwig"/>
    <s v="Robert Downey Jr."/>
    <n v="3"/>
    <n v="35"/>
    <n v="177.7"/>
    <s v="Average"/>
    <s v="Blockbuster"/>
    <s v="No"/>
    <s v="Low"/>
    <n v="142.69999999999999"/>
    <n v="507.71428571428567"/>
  </r>
  <r>
    <s v="NFX-101299"/>
    <x v="1298"/>
    <s v="TV Show"/>
    <x v="3"/>
    <n v="2008"/>
    <s v="France"/>
    <s v="2022-03-28"/>
    <n v="40"/>
    <s v="PG-13"/>
    <n v="5.2"/>
    <n v="190.4"/>
    <s v="Japanese"/>
    <s v="James Cameron"/>
    <s v="Jennifer Lawrence"/>
    <n v="2"/>
    <n v="118"/>
    <n v="647.4"/>
    <s v="Flop"/>
    <s v="Normal"/>
    <s v="No"/>
    <s v="High"/>
    <n v="529.4"/>
    <n v="548.64406779661022"/>
  </r>
  <r>
    <s v="NFX-101300"/>
    <x v="1299"/>
    <s v="TV Show"/>
    <x v="6"/>
    <n v="2006"/>
    <s v="Japan"/>
    <s v="2022-09-26"/>
    <n v="58"/>
    <s v="G"/>
    <n v="9"/>
    <n v="266.39999999999998"/>
    <s v="German"/>
    <s v="Anurag Kashyap"/>
    <s v="Timothée Chalamet"/>
    <n v="5"/>
    <n v="147"/>
    <n v="247.4"/>
    <s v="Hit"/>
    <s v="Popular"/>
    <s v="Yes"/>
    <s v="High"/>
    <n v="100.4"/>
    <n v="168.29931972789117"/>
  </r>
  <r>
    <s v="NFX-101301"/>
    <x v="1300"/>
    <s v="TV Show"/>
    <x v="8"/>
    <n v="2014"/>
    <s v="UK"/>
    <s v="2024-01-17"/>
    <n v="52"/>
    <s v="16+"/>
    <n v="8.1"/>
    <n v="583.29999999999995"/>
    <s v="French"/>
    <s v="Guillermo del Toro"/>
    <s v="Lee Jung-jae"/>
    <n v="7"/>
    <n v="159"/>
    <n v="812.3"/>
    <s v="Hit"/>
    <s v="Blockbuster"/>
    <s v="No"/>
    <s v="High"/>
    <n v="653.29999999999995"/>
    <n v="510.88050314465409"/>
  </r>
  <r>
    <s v="NFX-101302"/>
    <x v="1301"/>
    <s v="Movie"/>
    <x v="5"/>
    <n v="2000"/>
    <s v="Canada"/>
    <s v="2019-08-30"/>
    <n v="148"/>
    <s v="G"/>
    <n v="4.5999999999999996"/>
    <n v="370.7"/>
    <s v="English"/>
    <s v="Anurag Kashyap"/>
    <s v="Leonardo DiCaprio"/>
    <m/>
    <n v="28"/>
    <n v="148.80000000000001"/>
    <s v="Flop"/>
    <s v="Popular"/>
    <s v="Yes"/>
    <s v="Low"/>
    <n v="120.80000000000001"/>
    <n v="531.42857142857144"/>
  </r>
  <r>
    <s v="NFX-101303"/>
    <x v="1302"/>
    <s v="TV Show"/>
    <x v="5"/>
    <n v="2004"/>
    <s v="India"/>
    <s v="2021-11-16"/>
    <n v="39"/>
    <s v="16+"/>
    <n v="9.1999999999999993"/>
    <n v="498"/>
    <s v="Hindi"/>
    <s v="James Cameron"/>
    <s v="Scarlett Johansson"/>
    <n v="3"/>
    <n v="26"/>
    <n v="67.3"/>
    <s v="Hit"/>
    <s v="Blockbuster"/>
    <s v="No"/>
    <s v="Low"/>
    <n v="41.3"/>
    <n v="258.84615384615381"/>
  </r>
  <r>
    <s v="NFX-101304"/>
    <x v="1303"/>
    <s v="TV Show"/>
    <x v="10"/>
    <n v="2009"/>
    <s v="Australia"/>
    <s v="2021-05-24"/>
    <n v="34"/>
    <s v="18+"/>
    <n v="6.8"/>
    <n v="334"/>
    <s v="Japanese"/>
    <s v="Bong Joon-ho"/>
    <s v="Robert Downey Jr."/>
    <n v="1"/>
    <n v="157"/>
    <n v="422.1"/>
    <s v="Average"/>
    <s v="Popular"/>
    <s v="No"/>
    <s v="High"/>
    <n v="265.10000000000002"/>
    <n v="268.85350318471336"/>
  </r>
  <r>
    <s v="NFX-101305"/>
    <x v="1304"/>
    <s v="TV Show"/>
    <x v="1"/>
    <n v="2020"/>
    <s v="India"/>
    <s v="2024-08-28"/>
    <n v="44"/>
    <s v="18+"/>
    <n v="8.6"/>
    <n v="103.3"/>
    <s v="Spanish"/>
    <s v="Denis Villeneuve"/>
    <s v="Timothée Chalamet"/>
    <n v="4"/>
    <n v="67"/>
    <n v="408.7"/>
    <s v="Hit"/>
    <s v="Normal"/>
    <s v="No"/>
    <s v="Low"/>
    <n v="341.7"/>
    <n v="610"/>
  </r>
  <r>
    <s v="NFX-101306"/>
    <x v="1305"/>
    <s v="TV Show"/>
    <x v="4"/>
    <n v="2014"/>
    <s v="Germany"/>
    <s v="2019-01-03"/>
    <n v="34"/>
    <s v="16+"/>
    <n v="6"/>
    <n v="175.3"/>
    <s v="English"/>
    <s v="Quentin Tarantino"/>
    <s v="Shah Rukh Khan"/>
    <n v="1"/>
    <n v="60"/>
    <n v="79.8"/>
    <s v="Average"/>
    <s v="Normal"/>
    <s v="No"/>
    <s v="Low"/>
    <n v="19.799999999999997"/>
    <n v="132.99999999999997"/>
  </r>
  <r>
    <s v="NFX-101307"/>
    <x v="1306"/>
    <s v="Movie"/>
    <x v="0"/>
    <n v="2003"/>
    <s v="USA"/>
    <s v="2019-08-12"/>
    <n v="145"/>
    <s v="18+"/>
    <n v="5.0999999999999996"/>
    <n v="564.79999999999995"/>
    <s v="Korean"/>
    <s v="Denis Villeneuve"/>
    <s v="Ryan Gosling"/>
    <m/>
    <n v="88"/>
    <n v="352.5"/>
    <s v="Flop"/>
    <s v="Blockbuster"/>
    <s v="No"/>
    <s v="Low"/>
    <n v="264.5"/>
    <n v="400.56818181818181"/>
  </r>
  <r>
    <s v="NFX-101308"/>
    <x v="1307"/>
    <s v="TV Show"/>
    <x v="8"/>
    <n v="2005"/>
    <s v="France"/>
    <s v="2020-04-17"/>
    <n v="45"/>
    <s v="PG-13"/>
    <n v="7.3"/>
    <n v="565.6"/>
    <s v="Spanish"/>
    <s v="Zoya Akhtar"/>
    <s v="Jennifer Lawrence"/>
    <n v="3"/>
    <n v="140"/>
    <n v="720.9"/>
    <s v="Average"/>
    <s v="Blockbuster"/>
    <s v="No"/>
    <s v="High"/>
    <n v="580.9"/>
    <n v="514.92857142857144"/>
  </r>
  <r>
    <s v="NFX-101309"/>
    <x v="1308"/>
    <s v="Movie"/>
    <x v="6"/>
    <n v="2016"/>
    <s v="Japan"/>
    <s v="2019-03-19"/>
    <n v="150"/>
    <s v="G"/>
    <n v="7.7"/>
    <n v="551.1"/>
    <s v="French"/>
    <s v="Sanjay Leela Bhansali"/>
    <s v="Emma Stone"/>
    <m/>
    <n v="41"/>
    <n v="194"/>
    <s v="Average"/>
    <s v="Blockbuster"/>
    <s v="Yes"/>
    <s v="Low"/>
    <n v="153"/>
    <n v="473.17073170731703"/>
  </r>
  <r>
    <s v="NFX-101310"/>
    <x v="1309"/>
    <s v="TV Show"/>
    <x v="5"/>
    <n v="2011"/>
    <s v="Germany"/>
    <s v="2022-09-23"/>
    <n v="47"/>
    <s v="PG-13"/>
    <n v="9.4"/>
    <n v="380.7"/>
    <s v="English"/>
    <s v="Park Chan-wook"/>
    <s v="Chris Evans"/>
    <n v="1"/>
    <n v="60"/>
    <n v="326"/>
    <s v="Hit"/>
    <s v="Popular"/>
    <s v="No"/>
    <s v="Low"/>
    <n v="266"/>
    <n v="543.33333333333337"/>
  </r>
  <r>
    <s v="NFX-101311"/>
    <x v="1310"/>
    <s v="Movie"/>
    <x v="1"/>
    <n v="2014"/>
    <s v="Australia"/>
    <s v="2021-05-19"/>
    <n v="148"/>
    <s v="16+"/>
    <n v="8.5"/>
    <n v="585.4"/>
    <s v="Hindi"/>
    <s v="Sanjay Leela Bhansali"/>
    <s v="Shah Rukh Khan"/>
    <m/>
    <n v="8"/>
    <n v="10.5"/>
    <s v="Hit"/>
    <s v="Blockbuster"/>
    <s v="No"/>
    <s v="Low"/>
    <n v="2.5"/>
    <n v="131.25"/>
  </r>
  <r>
    <s v="NFX-101312"/>
    <x v="1311"/>
    <s v="Movie"/>
    <x v="5"/>
    <n v="2008"/>
    <s v="Canada"/>
    <s v="2019-02-03"/>
    <n v="80"/>
    <s v="16+"/>
    <n v="8.1999999999999993"/>
    <n v="367.1"/>
    <s v="Korean"/>
    <s v="Steven Spielberg"/>
    <s v="Lee Jung-jae"/>
    <m/>
    <n v="106"/>
    <n v="658.8"/>
    <s v="Hit"/>
    <s v="Popular"/>
    <s v="No"/>
    <s v="High"/>
    <n v="552.79999999999995"/>
    <n v="621.5094339622641"/>
  </r>
  <r>
    <s v="NFX-101313"/>
    <x v="1312"/>
    <s v="TV Show"/>
    <x v="4"/>
    <n v="2009"/>
    <s v="Australia"/>
    <s v="2019-09-09"/>
    <n v="51"/>
    <s v="16+"/>
    <n v="7.1"/>
    <n v="207.4"/>
    <s v="Hindi"/>
    <s v="Greta Gerwig"/>
    <s v="Song Kang-ho"/>
    <n v="6"/>
    <n v="150"/>
    <n v="889.5"/>
    <s v="Average"/>
    <s v="Popular"/>
    <s v="No"/>
    <s v="High"/>
    <n v="739.5"/>
    <n v="593"/>
  </r>
  <r>
    <s v="NFX-101314"/>
    <x v="1313"/>
    <s v="TV Show"/>
    <x v="5"/>
    <n v="2008"/>
    <s v="Japan"/>
    <s v="2018-10-09"/>
    <n v="35"/>
    <s v="G"/>
    <n v="8.6"/>
    <n v="57.9"/>
    <s v="Korean"/>
    <s v="Zoya Akhtar"/>
    <s v="Scarlett Johansson"/>
    <n v="1"/>
    <n v="174"/>
    <n v="925.9"/>
    <s v="Hit"/>
    <s v="Normal"/>
    <s v="Yes"/>
    <s v="High"/>
    <n v="751.9"/>
    <n v="532.12643678160919"/>
  </r>
  <r>
    <s v="NFX-101315"/>
    <x v="1314"/>
    <s v="TV Show"/>
    <x v="3"/>
    <n v="2016"/>
    <s v="USA"/>
    <s v="2022-03-26"/>
    <n v="60"/>
    <s v="G"/>
    <n v="9.6"/>
    <n v="494.6"/>
    <s v="Hindi"/>
    <s v="Rajkumar Hirani"/>
    <s v="Lee Jung-jae"/>
    <n v="6"/>
    <n v="184"/>
    <n v="865"/>
    <s v="Hit"/>
    <s v="Blockbuster"/>
    <s v="Yes"/>
    <s v="High"/>
    <n v="681"/>
    <n v="470.10869565217394"/>
  </r>
  <r>
    <s v="NFX-101316"/>
    <x v="1315"/>
    <s v="Movie"/>
    <x v="8"/>
    <n v="2023"/>
    <s v="India"/>
    <s v="2019-05-25"/>
    <n v="119"/>
    <s v="18+"/>
    <n v="8.5"/>
    <n v="409.4"/>
    <s v="Japanese"/>
    <s v="Ridley Scott"/>
    <s v="Lee Jung-jae"/>
    <m/>
    <n v="128"/>
    <n v="173"/>
    <s v="Hit"/>
    <s v="Blockbuster"/>
    <s v="No"/>
    <s v="High"/>
    <n v="45"/>
    <n v="135.15625"/>
  </r>
  <r>
    <s v="NFX-101317"/>
    <x v="1316"/>
    <s v="Movie"/>
    <x v="9"/>
    <n v="2025"/>
    <s v="South Korea"/>
    <s v="2020-11-18"/>
    <n v="130"/>
    <s v="16+"/>
    <n v="5.7"/>
    <n v="99.6"/>
    <s v="English"/>
    <s v="Steven Spielberg"/>
    <s v="Leonardo DiCaprio"/>
    <m/>
    <n v="185"/>
    <n v="452.5"/>
    <s v="Flop"/>
    <s v="Normal"/>
    <s v="No"/>
    <s v="High"/>
    <n v="267.5"/>
    <n v="244.59459459459461"/>
  </r>
  <r>
    <s v="NFX-101318"/>
    <x v="1317"/>
    <s v="Movie"/>
    <x v="7"/>
    <n v="2005"/>
    <s v="Germany"/>
    <s v="2018-06-18"/>
    <n v="152"/>
    <s v="G"/>
    <n v="5.9"/>
    <n v="226.4"/>
    <s v="German"/>
    <s v="Rajkumar Hirani"/>
    <s v="Jennifer Lawrence"/>
    <m/>
    <n v="61"/>
    <n v="98.2"/>
    <s v="Flop"/>
    <s v="Popular"/>
    <s v="Yes"/>
    <s v="Low"/>
    <n v="37.200000000000003"/>
    <n v="160.98360655737704"/>
  </r>
  <r>
    <s v="NFX-101319"/>
    <x v="1318"/>
    <s v="TV Show"/>
    <x v="1"/>
    <n v="2020"/>
    <s v="Germany"/>
    <s v="2022-04-17"/>
    <n v="36"/>
    <s v="PG"/>
    <n v="5.8"/>
    <n v="500.8"/>
    <s v="Korean"/>
    <s v="Sanjay Leela Bhansali"/>
    <s v="Deepika Padukone"/>
    <n v="6"/>
    <n v="191"/>
    <n v="342.3"/>
    <s v="Flop"/>
    <s v="Blockbuster"/>
    <s v="Yes"/>
    <s v="High"/>
    <n v="151.30000000000001"/>
    <n v="179.21465968586386"/>
  </r>
  <r>
    <s v="NFX-101320"/>
    <x v="1319"/>
    <s v="Movie"/>
    <x v="7"/>
    <n v="2001"/>
    <s v="India"/>
    <s v="2020-01-31"/>
    <n v="169"/>
    <s v="18+"/>
    <n v="8.1999999999999993"/>
    <n v="205.9"/>
    <s v="French"/>
    <s v="Zoya Akhtar"/>
    <s v="Brad Pitt"/>
    <m/>
    <n v="181"/>
    <n v="477.1"/>
    <s v="Hit"/>
    <s v="Popular"/>
    <s v="No"/>
    <s v="High"/>
    <n v="296.10000000000002"/>
    <n v="263.59116022099448"/>
  </r>
  <r>
    <s v="NFX-101321"/>
    <x v="1320"/>
    <s v="TV Show"/>
    <x v="4"/>
    <n v="2021"/>
    <s v="USA"/>
    <s v="2019-01-23"/>
    <n v="58"/>
    <s v="PG"/>
    <n v="5.9"/>
    <n v="346.6"/>
    <s v="Spanish"/>
    <s v="Sanjay Leela Bhansali"/>
    <s v="Song Kang-ho"/>
    <n v="8"/>
    <n v="85"/>
    <n v="198.1"/>
    <s v="Flop"/>
    <s v="Popular"/>
    <s v="Yes"/>
    <s v="Low"/>
    <n v="113.1"/>
    <n v="233.05882352941177"/>
  </r>
  <r>
    <s v="NFX-101322"/>
    <x v="1321"/>
    <s v="Movie"/>
    <x v="3"/>
    <n v="2023"/>
    <s v="France"/>
    <s v="2023-03-23"/>
    <n v="160"/>
    <s v="PG-13"/>
    <n v="7.4"/>
    <n v="401.8"/>
    <s v="Hindi"/>
    <s v="Anurag Kashyap"/>
    <s v="Shah Rukh Khan"/>
    <m/>
    <n v="119"/>
    <n v="278.60000000000002"/>
    <s v="Average"/>
    <s v="Blockbuster"/>
    <s v="No"/>
    <s v="High"/>
    <n v="159.60000000000002"/>
    <n v="234.11764705882354"/>
  </r>
  <r>
    <s v="NFX-101323"/>
    <x v="1322"/>
    <s v="Movie"/>
    <x v="9"/>
    <n v="2006"/>
    <s v="Germany"/>
    <s v="2022-05-28"/>
    <n v="141"/>
    <s v="18+"/>
    <n v="8.6999999999999993"/>
    <n v="529.4"/>
    <s v="Korean"/>
    <s v="Greta Gerwig"/>
    <s v="Leonardo DiCaprio"/>
    <m/>
    <n v="87"/>
    <n v="153.30000000000001"/>
    <s v="Hit"/>
    <s v="Blockbuster"/>
    <s v="No"/>
    <s v="Low"/>
    <n v="66.300000000000011"/>
    <n v="176.20689655172416"/>
  </r>
  <r>
    <s v="NFX-101324"/>
    <x v="1323"/>
    <s v="Movie"/>
    <x v="8"/>
    <n v="2010"/>
    <s v="France"/>
    <s v="2021-10-21"/>
    <n v="156"/>
    <s v="PG"/>
    <n v="5.0999999999999996"/>
    <n v="77.7"/>
    <s v="French"/>
    <s v="Christopher Nolan"/>
    <s v="Emma Stone"/>
    <m/>
    <n v="89"/>
    <n v="427.2"/>
    <s v="Flop"/>
    <s v="Normal"/>
    <s v="Yes"/>
    <s v="Low"/>
    <n v="338.2"/>
    <n v="480"/>
  </r>
  <r>
    <s v="NFX-101325"/>
    <x v="1324"/>
    <s v="TV Show"/>
    <x v="4"/>
    <n v="2003"/>
    <s v="Germany"/>
    <s v="2018-08-11"/>
    <n v="51"/>
    <s v="PG"/>
    <n v="7.5"/>
    <n v="381.1"/>
    <s v="Hindi"/>
    <s v="Zoya Akhtar"/>
    <s v="Timothée Chalamet"/>
    <n v="5"/>
    <n v="176"/>
    <n v="873.6"/>
    <s v="Average"/>
    <s v="Popular"/>
    <s v="Yes"/>
    <s v="High"/>
    <n v="697.6"/>
    <n v="496.36363636363637"/>
  </r>
  <r>
    <s v="NFX-101326"/>
    <x v="1325"/>
    <s v="TV Show"/>
    <x v="9"/>
    <n v="2012"/>
    <s v="France"/>
    <s v="2022-08-02"/>
    <n v="45"/>
    <s v="G"/>
    <n v="5.3"/>
    <n v="218.4"/>
    <s v="Japanese"/>
    <s v="Steven Spielberg"/>
    <s v="Leonardo DiCaprio"/>
    <n v="1"/>
    <n v="145"/>
    <n v="690.2"/>
    <s v="Flop"/>
    <s v="Popular"/>
    <s v="Yes"/>
    <s v="High"/>
    <n v="545.20000000000005"/>
    <n v="476.00000000000006"/>
  </r>
  <r>
    <s v="NFX-101327"/>
    <x v="1326"/>
    <s v="Movie"/>
    <x v="8"/>
    <n v="2019"/>
    <s v="Japan"/>
    <s v="2022-11-25"/>
    <n v="99"/>
    <s v="18+"/>
    <n v="7"/>
    <n v="281.3"/>
    <s v="German"/>
    <s v="Bong Joon-ho"/>
    <s v="Robert Downey Jr."/>
    <m/>
    <n v="25"/>
    <n v="103.6"/>
    <s v="Average"/>
    <s v="Popular"/>
    <s v="No"/>
    <s v="Low"/>
    <n v="78.599999999999994"/>
    <n v="414.40000000000003"/>
  </r>
  <r>
    <s v="NFX-101328"/>
    <x v="1327"/>
    <s v="TV Show"/>
    <x v="2"/>
    <n v="2024"/>
    <s v="South Korea"/>
    <s v="2018-03-01"/>
    <n v="44"/>
    <s v="18+"/>
    <n v="9.5"/>
    <n v="142.9"/>
    <s v="Spanish"/>
    <s v="Park Chan-wook"/>
    <s v="Tom Hardy"/>
    <n v="8"/>
    <n v="150"/>
    <n v="369.6"/>
    <s v="Hit"/>
    <s v="Normal"/>
    <s v="No"/>
    <s v="High"/>
    <n v="219.60000000000002"/>
    <n v="246.4"/>
  </r>
  <r>
    <s v="NFX-101329"/>
    <x v="1328"/>
    <s v="Movie"/>
    <x v="8"/>
    <n v="2002"/>
    <s v="France"/>
    <s v="2024-10-07"/>
    <n v="145"/>
    <s v="PG"/>
    <n v="8.8000000000000007"/>
    <n v="395.3"/>
    <s v="Japanese"/>
    <s v="Bong Joon-ho"/>
    <s v="Shah Rukh Khan"/>
    <m/>
    <n v="164"/>
    <n v="252.5"/>
    <s v="Hit"/>
    <s v="Popular"/>
    <s v="Yes"/>
    <s v="High"/>
    <n v="88.5"/>
    <n v="153.96341463414635"/>
  </r>
  <r>
    <s v="NFX-101330"/>
    <x v="1329"/>
    <s v="TV Show"/>
    <x v="9"/>
    <n v="2020"/>
    <s v="UK"/>
    <s v="2023-01-25"/>
    <n v="54"/>
    <s v="G"/>
    <n v="7.8"/>
    <n v="113"/>
    <s v="French"/>
    <s v="Christopher Nolan"/>
    <s v="Emma Stone"/>
    <n v="2"/>
    <n v="126"/>
    <n v="342.4"/>
    <s v="Average"/>
    <s v="Normal"/>
    <s v="Yes"/>
    <s v="High"/>
    <n v="216.39999999999998"/>
    <n v="271.74603174603169"/>
  </r>
  <r>
    <s v="NFX-101331"/>
    <x v="1330"/>
    <s v="TV Show"/>
    <x v="10"/>
    <n v="2018"/>
    <s v="Spain"/>
    <s v="2021-04-10"/>
    <n v="31"/>
    <s v="G"/>
    <n v="5.9"/>
    <n v="387.5"/>
    <s v="English"/>
    <s v="Martin Scorsese"/>
    <s v="Jennifer Lawrence"/>
    <n v="2"/>
    <n v="49"/>
    <n v="210.2"/>
    <s v="Flop"/>
    <s v="Popular"/>
    <s v="Yes"/>
    <s v="Low"/>
    <n v="161.19999999999999"/>
    <n v="428.97959183673464"/>
  </r>
  <r>
    <s v="NFX-101332"/>
    <x v="1331"/>
    <s v="Movie"/>
    <x v="7"/>
    <n v="2016"/>
    <s v="France"/>
    <s v="2021-01-26"/>
    <n v="87"/>
    <s v="18+"/>
    <n v="5.9"/>
    <n v="339.8"/>
    <s v="Spanish"/>
    <s v="Zoya Akhtar"/>
    <s v="Leonardo DiCaprio"/>
    <m/>
    <n v="144"/>
    <n v="684.1"/>
    <s v="Flop"/>
    <s v="Popular"/>
    <s v="No"/>
    <s v="High"/>
    <n v="540.1"/>
    <n v="475.06944444444451"/>
  </r>
  <r>
    <s v="NFX-101333"/>
    <x v="1332"/>
    <s v="TV Show"/>
    <x v="4"/>
    <n v="2023"/>
    <s v="UK"/>
    <s v="2022-10-03"/>
    <n v="35"/>
    <s v="18+"/>
    <n v="8.8000000000000007"/>
    <n v="9.8000000000000007"/>
    <s v="English"/>
    <s v="Guillermo del Toro"/>
    <s v="Brad Pitt"/>
    <n v="1"/>
    <n v="102"/>
    <n v="160.1"/>
    <s v="Hit"/>
    <s v="Normal"/>
    <s v="No"/>
    <s v="High"/>
    <n v="58.099999999999994"/>
    <n v="156.9607843137255"/>
  </r>
  <r>
    <s v="NFX-101334"/>
    <x v="1333"/>
    <s v="TV Show"/>
    <x v="6"/>
    <n v="2006"/>
    <s v="Japan"/>
    <s v="2022-07-25"/>
    <n v="32"/>
    <s v="G"/>
    <n v="5.0999999999999996"/>
    <n v="334.7"/>
    <s v="French"/>
    <s v="Bong Joon-ho"/>
    <s v="Ranbir Kapoor"/>
    <n v="2"/>
    <n v="172"/>
    <n v="1049.0999999999999"/>
    <s v="Flop"/>
    <s v="Popular"/>
    <s v="Yes"/>
    <s v="High"/>
    <n v="877.09999999999991"/>
    <n v="609.94186046511618"/>
  </r>
  <r>
    <s v="NFX-101335"/>
    <x v="1334"/>
    <s v="TV Show"/>
    <x v="5"/>
    <n v="2004"/>
    <s v="UK"/>
    <s v="2022-02-18"/>
    <n v="31"/>
    <s v="PG"/>
    <n v="6.2"/>
    <n v="211.1"/>
    <s v="Hindi"/>
    <s v="Quentin Tarantino"/>
    <s v="Emma Stone"/>
    <n v="8"/>
    <n v="165"/>
    <n v="701.2"/>
    <s v="Average"/>
    <s v="Popular"/>
    <s v="Yes"/>
    <s v="High"/>
    <n v="536.20000000000005"/>
    <n v="424.969696969697"/>
  </r>
  <r>
    <s v="NFX-101336"/>
    <x v="1335"/>
    <s v="TV Show"/>
    <x v="5"/>
    <n v="2024"/>
    <s v="USA"/>
    <s v="2019-01-20"/>
    <n v="33"/>
    <s v="18+"/>
    <n v="7.8"/>
    <n v="353.3"/>
    <s v="English"/>
    <s v="Quentin Tarantino"/>
    <s v="Tom Hardy"/>
    <n v="3"/>
    <n v="123"/>
    <n v="585"/>
    <s v="Average"/>
    <s v="Popular"/>
    <s v="No"/>
    <s v="High"/>
    <n v="462"/>
    <n v="475.60975609756093"/>
  </r>
  <r>
    <s v="NFX-101337"/>
    <x v="1336"/>
    <s v="Movie"/>
    <x v="4"/>
    <n v="2006"/>
    <s v="USA"/>
    <s v="2021-12-17"/>
    <n v="100"/>
    <s v="PG-13"/>
    <n v="5.5"/>
    <n v="218.3"/>
    <s v="French"/>
    <s v="Park Chan-wook"/>
    <s v="Scarlett Johansson"/>
    <m/>
    <n v="196"/>
    <n v="694.8"/>
    <s v="Flop"/>
    <s v="Popular"/>
    <s v="No"/>
    <s v="High"/>
    <n v="498.79999999999995"/>
    <n v="354.48979591836729"/>
  </r>
  <r>
    <s v="NFX-101338"/>
    <x v="1337"/>
    <s v="TV Show"/>
    <x v="9"/>
    <n v="2002"/>
    <s v="Japan"/>
    <s v="2019-05-17"/>
    <n v="30"/>
    <s v="PG"/>
    <n v="4.9000000000000004"/>
    <n v="275.8"/>
    <s v="English"/>
    <s v="Denis Villeneuve"/>
    <s v="Song Kang-ho"/>
    <n v="1"/>
    <n v="66"/>
    <n v="111.4"/>
    <s v="Flop"/>
    <s v="Popular"/>
    <s v="Yes"/>
    <s v="Low"/>
    <n v="45.400000000000006"/>
    <n v="168.78787878787881"/>
  </r>
  <r>
    <s v="NFX-101339"/>
    <x v="1338"/>
    <s v="Movie"/>
    <x v="9"/>
    <n v="2023"/>
    <s v="USA"/>
    <s v="2021-11-01"/>
    <n v="130"/>
    <s v="PG"/>
    <n v="6.1"/>
    <n v="65.599999999999994"/>
    <s v="Hindi"/>
    <s v="James Cameron"/>
    <s v="Ranbir Kapoor"/>
    <m/>
    <n v="108"/>
    <n v="448.8"/>
    <s v="Average"/>
    <s v="Normal"/>
    <s v="Yes"/>
    <s v="High"/>
    <n v="340.8"/>
    <n v="415.5555555555556"/>
  </r>
  <r>
    <s v="NFX-101340"/>
    <x v="1339"/>
    <s v="TV Show"/>
    <x v="3"/>
    <n v="2019"/>
    <s v="India"/>
    <s v="2019-03-09"/>
    <n v="50"/>
    <s v="18+"/>
    <n v="5.7"/>
    <n v="253.2"/>
    <s v="German"/>
    <s v="Park Chan-wook"/>
    <s v="Emma Stone"/>
    <n v="4"/>
    <n v="128"/>
    <n v="213.8"/>
    <s v="Flop"/>
    <s v="Popular"/>
    <s v="No"/>
    <s v="High"/>
    <n v="85.800000000000011"/>
    <n v="167.03125"/>
  </r>
  <r>
    <s v="NFX-101341"/>
    <x v="1340"/>
    <s v="Movie"/>
    <x v="0"/>
    <n v="2022"/>
    <s v="Australia"/>
    <s v="2022-06-27"/>
    <n v="158"/>
    <s v="18+"/>
    <n v="8.6999999999999993"/>
    <n v="318.60000000000002"/>
    <s v="Korean"/>
    <s v="Denis Villeneuve"/>
    <s v="Timothée Chalamet"/>
    <m/>
    <n v="168"/>
    <n v="405.9"/>
    <s v="Hit"/>
    <s v="Popular"/>
    <s v="No"/>
    <s v="High"/>
    <n v="237.89999999999998"/>
    <n v="241.60714285714286"/>
  </r>
  <r>
    <s v="NFX-101342"/>
    <x v="1341"/>
    <s v="TV Show"/>
    <x v="7"/>
    <n v="2007"/>
    <s v="Canada"/>
    <s v="2022-08-03"/>
    <n v="55"/>
    <s v="16+"/>
    <n v="5.7"/>
    <n v="18.7"/>
    <s v="Japanese"/>
    <s v="Bong Joon-ho"/>
    <s v="Shah Rukh Khan"/>
    <n v="7"/>
    <n v="134"/>
    <n v="823.4"/>
    <s v="Flop"/>
    <s v="Normal"/>
    <s v="No"/>
    <s v="High"/>
    <n v="689.4"/>
    <n v="614.47761194029852"/>
  </r>
  <r>
    <s v="NFX-101343"/>
    <x v="1342"/>
    <s v="TV Show"/>
    <x v="5"/>
    <n v="2009"/>
    <s v="USA"/>
    <s v="2023-06-08"/>
    <n v="60"/>
    <s v="PG-13"/>
    <n v="9.6"/>
    <n v="134.9"/>
    <s v="Japanese"/>
    <s v="Denis Villeneuve"/>
    <s v="Leonardo DiCaprio"/>
    <n v="3"/>
    <n v="60"/>
    <n v="115.8"/>
    <s v="Hit"/>
    <s v="Normal"/>
    <s v="No"/>
    <s v="Low"/>
    <n v="55.8"/>
    <n v="193"/>
  </r>
  <r>
    <s v="NFX-101344"/>
    <x v="1343"/>
    <s v="TV Show"/>
    <x v="4"/>
    <n v="2001"/>
    <s v="France"/>
    <s v="2021-07-25"/>
    <n v="53"/>
    <s v="16+"/>
    <n v="5.2"/>
    <n v="367"/>
    <s v="Korean"/>
    <s v="Anurag Kashyap"/>
    <s v="Chris Evans"/>
    <n v="7"/>
    <n v="139"/>
    <n v="754.3"/>
    <s v="Flop"/>
    <s v="Popular"/>
    <s v="No"/>
    <s v="High"/>
    <n v="615.29999999999995"/>
    <n v="542.66187050359713"/>
  </r>
  <r>
    <s v="NFX-101345"/>
    <x v="1344"/>
    <s v="Movie"/>
    <x v="0"/>
    <n v="2000"/>
    <s v="Japan"/>
    <s v="2019-06-20"/>
    <n v="149"/>
    <s v="PG"/>
    <n v="8.5"/>
    <n v="132.19999999999999"/>
    <s v="Korean"/>
    <s v="Christopher Nolan"/>
    <s v="Emma Stone"/>
    <m/>
    <n v="65"/>
    <n v="301.39999999999998"/>
    <s v="Hit"/>
    <s v="Normal"/>
    <s v="Yes"/>
    <s v="Low"/>
    <n v="236.39999999999998"/>
    <n v="463.69230769230762"/>
  </r>
  <r>
    <s v="NFX-101346"/>
    <x v="1345"/>
    <s v="TV Show"/>
    <x v="7"/>
    <n v="2007"/>
    <s v="USA"/>
    <s v="2023-03-30"/>
    <n v="49"/>
    <s v="16+"/>
    <n v="8.4"/>
    <n v="314.8"/>
    <s v="German"/>
    <s v="Sanjay Leela Bhansali"/>
    <s v="Song Kang-ho"/>
    <n v="5"/>
    <n v="169"/>
    <n v="805.4"/>
    <s v="Hit"/>
    <s v="Popular"/>
    <s v="No"/>
    <s v="High"/>
    <n v="636.4"/>
    <n v="476.56804733727807"/>
  </r>
  <r>
    <s v="NFX-101347"/>
    <x v="1346"/>
    <s v="Movie"/>
    <x v="9"/>
    <n v="2017"/>
    <s v="Spain"/>
    <s v="2024-03-31"/>
    <n v="81"/>
    <s v="G"/>
    <n v="5.5"/>
    <n v="81.5"/>
    <s v="Japanese"/>
    <s v="Christopher Nolan"/>
    <s v="Robert Downey Jr."/>
    <m/>
    <n v="177"/>
    <n v="816.3"/>
    <s v="Flop"/>
    <s v="Normal"/>
    <s v="Yes"/>
    <s v="High"/>
    <n v="639.29999999999995"/>
    <n v="461.18644067796606"/>
  </r>
  <r>
    <s v="NFX-101348"/>
    <x v="1347"/>
    <s v="Movie"/>
    <x v="5"/>
    <n v="2001"/>
    <s v="Canada"/>
    <s v="2020-08-07"/>
    <n v="99"/>
    <s v="16+"/>
    <n v="8.1"/>
    <n v="527.79999999999995"/>
    <s v="Hindi"/>
    <s v="Christopher Nolan"/>
    <s v="Song Kang-ho"/>
    <m/>
    <n v="7"/>
    <n v="9.1999999999999993"/>
    <s v="Hit"/>
    <s v="Blockbuster"/>
    <s v="No"/>
    <s v="Low"/>
    <n v="2.1999999999999993"/>
    <n v="131.42857142857142"/>
  </r>
  <r>
    <s v="NFX-101349"/>
    <x v="1348"/>
    <s v="TV Show"/>
    <x v="9"/>
    <n v="2009"/>
    <s v="Canada"/>
    <s v="2018-08-09"/>
    <n v="45"/>
    <s v="PG-13"/>
    <n v="7.7"/>
    <n v="422.9"/>
    <s v="Korean"/>
    <s v="Martin Scorsese"/>
    <s v="Emma Stone"/>
    <n v="8"/>
    <n v="116"/>
    <n v="696.9"/>
    <s v="Average"/>
    <s v="Blockbuster"/>
    <s v="No"/>
    <s v="High"/>
    <n v="580.9"/>
    <n v="600.77586206896547"/>
  </r>
  <r>
    <s v="NFX-101350"/>
    <x v="1349"/>
    <s v="TV Show"/>
    <x v="10"/>
    <n v="2017"/>
    <s v="India"/>
    <s v="2020-08-01"/>
    <n v="54"/>
    <s v="16+"/>
    <n v="8.6"/>
    <n v="161.80000000000001"/>
    <s v="English"/>
    <s v="Bong Joon-ho"/>
    <s v="Tom Hardy"/>
    <n v="3"/>
    <n v="65"/>
    <n v="161.80000000000001"/>
    <s v="Hit"/>
    <s v="Normal"/>
    <s v="No"/>
    <s v="Low"/>
    <n v="96.800000000000011"/>
    <n v="248.92307692307693"/>
  </r>
  <r>
    <s v="NFX-101351"/>
    <x v="1350"/>
    <s v="TV Show"/>
    <x v="5"/>
    <n v="2004"/>
    <s v="UK"/>
    <s v="2018-08-26"/>
    <n v="41"/>
    <s v="18+"/>
    <n v="5.9"/>
    <n v="506.6"/>
    <s v="French"/>
    <s v="Sanjay Leela Bhansali"/>
    <s v="Ranbir Kapoor"/>
    <n v="1"/>
    <n v="112"/>
    <n v="280.8"/>
    <s v="Flop"/>
    <s v="Blockbuster"/>
    <s v="No"/>
    <s v="High"/>
    <n v="168.8"/>
    <n v="250.71428571428572"/>
  </r>
  <r>
    <s v="NFX-101352"/>
    <x v="1351"/>
    <s v="Movie"/>
    <x v="4"/>
    <n v="2011"/>
    <s v="UK"/>
    <s v="2019-02-02"/>
    <n v="174"/>
    <s v="G"/>
    <n v="6.5"/>
    <n v="86.6"/>
    <s v="English"/>
    <s v="James Cameron"/>
    <s v="Shah Rukh Khan"/>
    <m/>
    <n v="180"/>
    <n v="741.6"/>
    <s v="Average"/>
    <s v="Normal"/>
    <s v="Yes"/>
    <s v="High"/>
    <n v="561.6"/>
    <n v="412"/>
  </r>
  <r>
    <s v="NFX-101353"/>
    <x v="1352"/>
    <s v="TV Show"/>
    <x v="10"/>
    <n v="2020"/>
    <s v="Australia"/>
    <s v="2019-08-03"/>
    <n v="42"/>
    <s v="PG"/>
    <n v="9.4"/>
    <n v="122.8"/>
    <s v="French"/>
    <s v="Anurag Kashyap"/>
    <s v="Tom Hardy"/>
    <n v="6"/>
    <n v="72"/>
    <n v="386.4"/>
    <s v="Hit"/>
    <s v="Normal"/>
    <s v="Yes"/>
    <s v="Low"/>
    <n v="314.39999999999998"/>
    <n v="536.66666666666663"/>
  </r>
  <r>
    <s v="NFX-101354"/>
    <x v="1353"/>
    <s v="TV Show"/>
    <x v="5"/>
    <n v="2023"/>
    <s v="Germany"/>
    <s v="2023-05-20"/>
    <n v="50"/>
    <s v="G"/>
    <n v="5.5"/>
    <n v="278.8"/>
    <s v="Spanish"/>
    <s v="Guillermo del Toro"/>
    <s v="Ranbir Kapoor"/>
    <n v="1"/>
    <n v="182"/>
    <n v="406.3"/>
    <s v="Flop"/>
    <s v="Popular"/>
    <s v="Yes"/>
    <s v="High"/>
    <n v="224.3"/>
    <n v="223.24175824175825"/>
  </r>
  <r>
    <s v="NFX-101355"/>
    <x v="1354"/>
    <s v="TV Show"/>
    <x v="8"/>
    <n v="2022"/>
    <s v="UK"/>
    <s v="2020-06-28"/>
    <n v="31"/>
    <s v="16+"/>
    <n v="7"/>
    <n v="362.5"/>
    <s v="Japanese"/>
    <s v="Rajkumar Hirani"/>
    <s v="Deepika Padukone"/>
    <n v="3"/>
    <n v="73"/>
    <n v="306.10000000000002"/>
    <s v="Average"/>
    <s v="Popular"/>
    <s v="No"/>
    <s v="Low"/>
    <n v="233.10000000000002"/>
    <n v="419.3150684931507"/>
  </r>
  <r>
    <s v="NFX-101356"/>
    <x v="1355"/>
    <s v="Movie"/>
    <x v="3"/>
    <n v="2024"/>
    <s v="Australia"/>
    <s v="2023-10-19"/>
    <n v="178"/>
    <s v="PG-13"/>
    <n v="6.8"/>
    <n v="595.20000000000005"/>
    <s v="French"/>
    <s v="Steven Spielberg"/>
    <s v="Lee Jung-jae"/>
    <m/>
    <n v="48"/>
    <n v="135.80000000000001"/>
    <s v="Average"/>
    <s v="Blockbuster"/>
    <s v="No"/>
    <s v="Low"/>
    <n v="87.800000000000011"/>
    <n v="282.91666666666669"/>
  </r>
  <r>
    <s v="NFX-101357"/>
    <x v="1356"/>
    <s v="TV Show"/>
    <x v="5"/>
    <n v="2019"/>
    <s v="Japan"/>
    <s v="2021-01-26"/>
    <n v="55"/>
    <s v="18+"/>
    <n v="7.7"/>
    <n v="56.1"/>
    <s v="French"/>
    <s v="Anurag Kashyap"/>
    <s v="Leonardo DiCaprio"/>
    <n v="6"/>
    <n v="134"/>
    <n v="816.1"/>
    <s v="Average"/>
    <s v="Normal"/>
    <s v="No"/>
    <s v="High"/>
    <n v="682.1"/>
    <n v="609.02985074626872"/>
  </r>
  <r>
    <s v="NFX-101358"/>
    <x v="1357"/>
    <s v="Movie"/>
    <x v="2"/>
    <n v="2003"/>
    <s v="Australia"/>
    <s v="2021-11-23"/>
    <n v="137"/>
    <s v="18+"/>
    <n v="6.3"/>
    <n v="318.7"/>
    <s v="French"/>
    <s v="Denis Villeneuve"/>
    <s v="Jennifer Lawrence"/>
    <m/>
    <n v="38"/>
    <n v="185.3"/>
    <s v="Average"/>
    <s v="Popular"/>
    <s v="No"/>
    <s v="Low"/>
    <n v="147.30000000000001"/>
    <n v="487.63157894736844"/>
  </r>
  <r>
    <s v="NFX-101359"/>
    <x v="1358"/>
    <s v="TV Show"/>
    <x v="8"/>
    <n v="2007"/>
    <s v="Canada"/>
    <s v="2018-09-27"/>
    <n v="58"/>
    <s v="PG-13"/>
    <n v="7.8"/>
    <n v="264"/>
    <s v="German"/>
    <s v="Bong Joon-ho"/>
    <s v="Ryan Gosling"/>
    <n v="4"/>
    <n v="97"/>
    <n v="354.5"/>
    <s v="Average"/>
    <s v="Popular"/>
    <s v="No"/>
    <s v="Low"/>
    <n v="257.5"/>
    <n v="365.46391752577318"/>
  </r>
  <r>
    <s v="NFX-101360"/>
    <x v="1359"/>
    <s v="Movie"/>
    <x v="7"/>
    <n v="2006"/>
    <s v="South Korea"/>
    <s v="2023-07-15"/>
    <n v="176"/>
    <s v="PG"/>
    <n v="7.6"/>
    <n v="421.6"/>
    <s v="English"/>
    <s v="Denis Villeneuve"/>
    <s v="Timothée Chalamet"/>
    <m/>
    <n v="150"/>
    <n v="626.5"/>
    <s v="Average"/>
    <s v="Blockbuster"/>
    <s v="Yes"/>
    <s v="High"/>
    <n v="476.5"/>
    <n v="417.66666666666669"/>
  </r>
  <r>
    <s v="NFX-101361"/>
    <x v="1360"/>
    <s v="Movie"/>
    <x v="2"/>
    <n v="2018"/>
    <s v="USA"/>
    <s v="2021-07-19"/>
    <n v="175"/>
    <s v="16+"/>
    <n v="4.8"/>
    <n v="558.6"/>
    <s v="English"/>
    <s v="Ridley Scott"/>
    <s v="Emma Stone"/>
    <m/>
    <n v="88"/>
    <n v="509.4"/>
    <s v="Flop"/>
    <s v="Blockbuster"/>
    <s v="No"/>
    <s v="Low"/>
    <n v="421.4"/>
    <n v="578.86363636363626"/>
  </r>
  <r>
    <s v="NFX-101362"/>
    <x v="1361"/>
    <s v="TV Show"/>
    <x v="8"/>
    <n v="2011"/>
    <s v="Spain"/>
    <s v="2023-04-02"/>
    <n v="52"/>
    <s v="16+"/>
    <n v="4.8"/>
    <n v="534.20000000000005"/>
    <s v="German"/>
    <s v="Christopher Nolan"/>
    <s v="Brad Pitt"/>
    <n v="4"/>
    <n v="141"/>
    <n v="342.6"/>
    <s v="Flop"/>
    <s v="Blockbuster"/>
    <s v="No"/>
    <s v="High"/>
    <n v="201.60000000000002"/>
    <n v="242.97872340425533"/>
  </r>
  <r>
    <s v="NFX-101363"/>
    <x v="1362"/>
    <s v="TV Show"/>
    <x v="7"/>
    <n v="2009"/>
    <s v="Japan"/>
    <s v="2020-11-24"/>
    <n v="56"/>
    <s v="18+"/>
    <n v="5.4"/>
    <n v="298.39999999999998"/>
    <s v="Spanish"/>
    <s v="Park Chan-wook"/>
    <s v="Robert Downey Jr."/>
    <n v="2"/>
    <n v="19"/>
    <n v="48.3"/>
    <s v="Flop"/>
    <s v="Popular"/>
    <s v="No"/>
    <s v="Low"/>
    <n v="29.299999999999997"/>
    <n v="254.21052631578945"/>
  </r>
  <r>
    <s v="NFX-101364"/>
    <x v="1363"/>
    <s v="TV Show"/>
    <x v="6"/>
    <n v="2003"/>
    <s v="Japan"/>
    <s v="2019-11-06"/>
    <n v="56"/>
    <s v="18+"/>
    <n v="8.1999999999999993"/>
    <n v="140.80000000000001"/>
    <s v="German"/>
    <s v="Zoya Akhtar"/>
    <s v="Emma Stone"/>
    <n v="7"/>
    <n v="37"/>
    <n v="140.1"/>
    <s v="Hit"/>
    <s v="Normal"/>
    <s v="No"/>
    <s v="Low"/>
    <n v="103.1"/>
    <n v="378.64864864864865"/>
  </r>
  <r>
    <s v="NFX-101365"/>
    <x v="1364"/>
    <s v="Movie"/>
    <x v="4"/>
    <n v="2001"/>
    <s v="South Korea"/>
    <s v="2022-06-13"/>
    <n v="103"/>
    <s v="PG"/>
    <n v="5.3"/>
    <n v="172.6"/>
    <s v="Japanese"/>
    <s v="Park Chan-wook"/>
    <s v="Jennifer Lawrence"/>
    <m/>
    <n v="11"/>
    <n v="46.1"/>
    <s v="Flop"/>
    <s v="Normal"/>
    <s v="Yes"/>
    <s v="Low"/>
    <n v="35.1"/>
    <n v="419.09090909090912"/>
  </r>
  <r>
    <s v="NFX-101366"/>
    <x v="1365"/>
    <s v="TV Show"/>
    <x v="2"/>
    <n v="2014"/>
    <s v="Germany"/>
    <s v="2019-02-10"/>
    <n v="46"/>
    <s v="18+"/>
    <n v="6"/>
    <n v="327.7"/>
    <s v="Hindi"/>
    <s v="Martin Scorsese"/>
    <s v="Ryan Gosling"/>
    <n v="3"/>
    <n v="185"/>
    <n v="945.5"/>
    <s v="Average"/>
    <s v="Popular"/>
    <s v="No"/>
    <s v="High"/>
    <n v="760.5"/>
    <n v="511.08108108108115"/>
  </r>
  <r>
    <s v="NFX-101367"/>
    <x v="1366"/>
    <s v="Movie"/>
    <x v="3"/>
    <n v="2022"/>
    <s v="Japan"/>
    <s v="2020-02-19"/>
    <n v="125"/>
    <s v="16+"/>
    <n v="5.0999999999999996"/>
    <n v="409.1"/>
    <s v="French"/>
    <s v="Park Chan-wook"/>
    <s v="Ranbir Kapoor"/>
    <m/>
    <n v="41"/>
    <n v="148.1"/>
    <s v="Flop"/>
    <s v="Blockbuster"/>
    <s v="No"/>
    <s v="Low"/>
    <n v="107.1"/>
    <n v="361.21951219512192"/>
  </r>
  <r>
    <s v="NFX-101368"/>
    <x v="1367"/>
    <s v="TV Show"/>
    <x v="6"/>
    <n v="2009"/>
    <s v="South Korea"/>
    <s v="2020-03-29"/>
    <n v="59"/>
    <s v="16+"/>
    <n v="5.4"/>
    <n v="192.3"/>
    <s v="Spanish"/>
    <s v="Martin Scorsese"/>
    <s v="Emma Stone"/>
    <n v="5"/>
    <n v="196"/>
    <n v="867.7"/>
    <s v="Flop"/>
    <s v="Normal"/>
    <s v="No"/>
    <s v="High"/>
    <n v="671.7"/>
    <n v="442.70408163265307"/>
  </r>
  <r>
    <s v="NFX-101369"/>
    <x v="1368"/>
    <s v="TV Show"/>
    <x v="2"/>
    <n v="2022"/>
    <s v="Canada"/>
    <s v="2023-02-04"/>
    <n v="48"/>
    <s v="PG"/>
    <n v="9.1"/>
    <n v="60.6"/>
    <s v="Korean"/>
    <s v="Guillermo del Toro"/>
    <s v="Emma Stone"/>
    <n v="3"/>
    <n v="56"/>
    <n v="259.89999999999998"/>
    <s v="Hit"/>
    <s v="Normal"/>
    <s v="Yes"/>
    <s v="Low"/>
    <n v="203.89999999999998"/>
    <n v="464.10714285714283"/>
  </r>
  <r>
    <s v="NFX-101370"/>
    <x v="1369"/>
    <s v="Movie"/>
    <x v="8"/>
    <n v="2007"/>
    <s v="UK"/>
    <s v="2019-12-10"/>
    <n v="135"/>
    <s v="16+"/>
    <n v="6.1"/>
    <n v="59.4"/>
    <s v="English"/>
    <s v="Zoya Akhtar"/>
    <s v="Emma Stone"/>
    <m/>
    <n v="173"/>
    <n v="284.60000000000002"/>
    <s v="Average"/>
    <s v="Normal"/>
    <s v="No"/>
    <s v="High"/>
    <n v="111.60000000000002"/>
    <n v="164.50867052023125"/>
  </r>
  <r>
    <s v="NFX-101371"/>
    <x v="1370"/>
    <s v="TV Show"/>
    <x v="2"/>
    <n v="2006"/>
    <s v="France"/>
    <s v="2020-07-22"/>
    <n v="55"/>
    <s v="G"/>
    <n v="9.6"/>
    <n v="231.2"/>
    <s v="French"/>
    <s v="Greta Gerwig"/>
    <s v="Robert Downey Jr."/>
    <n v="3"/>
    <n v="48"/>
    <n v="293.7"/>
    <s v="Hit"/>
    <s v="Popular"/>
    <s v="Yes"/>
    <s v="Low"/>
    <n v="245.7"/>
    <n v="611.875"/>
  </r>
  <r>
    <s v="NFX-101372"/>
    <x v="1371"/>
    <s v="TV Show"/>
    <x v="4"/>
    <n v="2024"/>
    <s v="UK"/>
    <s v="2023-02-21"/>
    <n v="44"/>
    <s v="PG"/>
    <n v="5.0999999999999996"/>
    <n v="585"/>
    <s v="Spanish"/>
    <s v="Martin Scorsese"/>
    <s v="Chris Evans"/>
    <n v="1"/>
    <n v="158"/>
    <n v="579.20000000000005"/>
    <s v="Flop"/>
    <s v="Blockbuster"/>
    <s v="Yes"/>
    <s v="High"/>
    <n v="421.20000000000005"/>
    <n v="366.58227848101268"/>
  </r>
  <r>
    <s v="NFX-101373"/>
    <x v="1372"/>
    <s v="Movie"/>
    <x v="8"/>
    <n v="2020"/>
    <s v="Japan"/>
    <s v="2019-04-09"/>
    <n v="122"/>
    <s v="PG-13"/>
    <n v="8.1999999999999993"/>
    <n v="299.3"/>
    <s v="English"/>
    <s v="Greta Gerwig"/>
    <s v="Scarlett Johansson"/>
    <m/>
    <n v="148"/>
    <n v="351.1"/>
    <s v="Hit"/>
    <s v="Popular"/>
    <s v="No"/>
    <s v="High"/>
    <n v="203.10000000000002"/>
    <n v="237.22972972972974"/>
  </r>
  <r>
    <s v="NFX-101374"/>
    <x v="1373"/>
    <s v="TV Show"/>
    <x v="6"/>
    <n v="2016"/>
    <s v="India"/>
    <s v="2023-04-25"/>
    <n v="46"/>
    <s v="PG"/>
    <n v="6.7"/>
    <n v="79.400000000000006"/>
    <s v="German"/>
    <s v="Christopher Nolan"/>
    <s v="Jennifer Lawrence"/>
    <n v="5"/>
    <n v="197"/>
    <n v="424.8"/>
    <s v="Average"/>
    <s v="Normal"/>
    <s v="Yes"/>
    <s v="High"/>
    <n v="227.8"/>
    <n v="215.63451776649748"/>
  </r>
  <r>
    <s v="NFX-101375"/>
    <x v="1374"/>
    <s v="Movie"/>
    <x v="4"/>
    <n v="2025"/>
    <s v="France"/>
    <s v="2019-01-21"/>
    <n v="123"/>
    <s v="G"/>
    <n v="5.4"/>
    <n v="563.1"/>
    <s v="English"/>
    <s v="Denis Villeneuve"/>
    <s v="Timothée Chalamet"/>
    <m/>
    <n v="169"/>
    <n v="1026.7"/>
    <s v="Flop"/>
    <s v="Blockbuster"/>
    <s v="Yes"/>
    <s v="High"/>
    <n v="857.7"/>
    <n v="607.51479289940823"/>
  </r>
  <r>
    <s v="NFX-101376"/>
    <x v="1375"/>
    <s v="TV Show"/>
    <x v="5"/>
    <n v="2019"/>
    <s v="USA"/>
    <s v="2019-07-30"/>
    <n v="44"/>
    <s v="16+"/>
    <n v="9.1"/>
    <n v="479.6"/>
    <s v="French"/>
    <s v="Guillermo del Toro"/>
    <s v="Scarlett Johansson"/>
    <n v="6"/>
    <n v="138"/>
    <n v="457"/>
    <s v="Hit"/>
    <s v="Blockbuster"/>
    <s v="No"/>
    <s v="High"/>
    <n v="319"/>
    <n v="331.15942028985506"/>
  </r>
  <r>
    <s v="NFX-101377"/>
    <x v="1376"/>
    <s v="TV Show"/>
    <x v="1"/>
    <n v="2015"/>
    <s v="UK"/>
    <s v="2021-08-12"/>
    <n v="47"/>
    <s v="18+"/>
    <n v="5.3"/>
    <n v="101.2"/>
    <s v="Korean"/>
    <s v="Guillermo del Toro"/>
    <s v="Timothée Chalamet"/>
    <n v="8"/>
    <n v="72"/>
    <n v="335.5"/>
    <s v="Flop"/>
    <s v="Normal"/>
    <s v="No"/>
    <s v="Low"/>
    <n v="263.5"/>
    <n v="465.97222222222223"/>
  </r>
  <r>
    <s v="NFX-101378"/>
    <x v="1377"/>
    <s v="TV Show"/>
    <x v="1"/>
    <n v="2018"/>
    <s v="South Korea"/>
    <s v="2020-10-04"/>
    <n v="50"/>
    <s v="PG-13"/>
    <n v="6.2"/>
    <n v="254.3"/>
    <s v="Japanese"/>
    <s v="Anurag Kashyap"/>
    <s v="Scarlett Johansson"/>
    <n v="4"/>
    <n v="188"/>
    <n v="1032.8"/>
    <s v="Average"/>
    <s v="Popular"/>
    <s v="No"/>
    <s v="High"/>
    <n v="844.8"/>
    <n v="549.36170212765956"/>
  </r>
  <r>
    <s v="NFX-101379"/>
    <x v="1378"/>
    <s v="TV Show"/>
    <x v="1"/>
    <n v="2017"/>
    <s v="Germany"/>
    <s v="2022-03-24"/>
    <n v="40"/>
    <s v="18+"/>
    <n v="9.1"/>
    <n v="78.900000000000006"/>
    <s v="Japanese"/>
    <s v="Greta Gerwig"/>
    <s v="Jennifer Lawrence"/>
    <n v="1"/>
    <n v="122"/>
    <n v="425"/>
    <s v="Hit"/>
    <s v="Normal"/>
    <s v="No"/>
    <s v="High"/>
    <n v="303"/>
    <n v="348.36065573770492"/>
  </r>
  <r>
    <s v="NFX-101380"/>
    <x v="1379"/>
    <s v="TV Show"/>
    <x v="6"/>
    <n v="2022"/>
    <s v="Japan"/>
    <s v="2022-05-25"/>
    <n v="50"/>
    <s v="16+"/>
    <n v="8.6"/>
    <n v="146.69999999999999"/>
    <s v="German"/>
    <s v="Greta Gerwig"/>
    <s v="Chris Evans"/>
    <n v="2"/>
    <n v="73"/>
    <n v="323.60000000000002"/>
    <s v="Hit"/>
    <s v="Normal"/>
    <s v="No"/>
    <s v="Low"/>
    <n v="250.60000000000002"/>
    <n v="443.28767123287679"/>
  </r>
  <r>
    <s v="NFX-101381"/>
    <x v="1380"/>
    <s v="TV Show"/>
    <x v="3"/>
    <n v="2010"/>
    <s v="USA"/>
    <s v="2024-10-31"/>
    <n v="43"/>
    <s v="PG"/>
    <n v="5.2"/>
    <n v="312.3"/>
    <s v="Japanese"/>
    <s v="Christopher Nolan"/>
    <s v="Lee Jung-jae"/>
    <n v="5"/>
    <n v="34"/>
    <n v="184"/>
    <s v="Flop"/>
    <s v="Popular"/>
    <s v="Yes"/>
    <s v="Low"/>
    <n v="150"/>
    <n v="541.17647058823536"/>
  </r>
  <r>
    <s v="NFX-101382"/>
    <x v="1381"/>
    <s v="TV Show"/>
    <x v="8"/>
    <n v="2015"/>
    <s v="South Korea"/>
    <s v="2022-10-11"/>
    <n v="46"/>
    <s v="16+"/>
    <n v="9.5"/>
    <n v="522.9"/>
    <s v="German"/>
    <s v="Denis Villeneuve"/>
    <s v="Ryan Gosling"/>
    <n v="6"/>
    <n v="176"/>
    <n v="514.70000000000005"/>
    <s v="Hit"/>
    <s v="Blockbuster"/>
    <s v="No"/>
    <s v="High"/>
    <n v="338.70000000000005"/>
    <n v="292.44318181818187"/>
  </r>
  <r>
    <s v="NFX-101383"/>
    <x v="1382"/>
    <s v="Movie"/>
    <x v="6"/>
    <n v="2014"/>
    <s v="Australia"/>
    <s v="2023-12-29"/>
    <n v="156"/>
    <s v="G"/>
    <n v="7"/>
    <n v="309.89999999999998"/>
    <s v="Hindi"/>
    <s v="Christopher Nolan"/>
    <s v="Timothée Chalamet"/>
    <m/>
    <n v="86"/>
    <n v="138"/>
    <s v="Average"/>
    <s v="Popular"/>
    <s v="Yes"/>
    <s v="Low"/>
    <n v="52"/>
    <n v="160.46511627906978"/>
  </r>
  <r>
    <s v="NFX-101384"/>
    <x v="1383"/>
    <s v="TV Show"/>
    <x v="4"/>
    <n v="2025"/>
    <s v="Spain"/>
    <s v="2024-05-04"/>
    <n v="43"/>
    <s v="PG"/>
    <n v="5.8"/>
    <n v="398.6"/>
    <s v="French"/>
    <s v="Guillermo del Toro"/>
    <s v="Ryan Gosling"/>
    <n v="8"/>
    <n v="175"/>
    <n v="628.4"/>
    <s v="Flop"/>
    <s v="Popular"/>
    <s v="Yes"/>
    <s v="High"/>
    <n v="453.4"/>
    <n v="359.08571428571429"/>
  </r>
  <r>
    <s v="NFX-101385"/>
    <x v="1384"/>
    <s v="TV Show"/>
    <x v="0"/>
    <n v="2008"/>
    <s v="Japan"/>
    <s v="2022-09-29"/>
    <n v="55"/>
    <s v="16+"/>
    <n v="9.1999999999999993"/>
    <n v="60.8"/>
    <s v="Korean"/>
    <s v="Martin Scorsese"/>
    <s v="Timothée Chalamet"/>
    <n v="1"/>
    <n v="43"/>
    <n v="137.4"/>
    <s v="Hit"/>
    <s v="Normal"/>
    <s v="No"/>
    <s v="Low"/>
    <n v="94.4"/>
    <n v="319.53488372093022"/>
  </r>
  <r>
    <s v="NFX-101386"/>
    <x v="1385"/>
    <s v="Movie"/>
    <x v="9"/>
    <n v="2006"/>
    <s v="UK"/>
    <s v="2019-09-29"/>
    <n v="88"/>
    <s v="PG"/>
    <n v="6.8"/>
    <n v="148"/>
    <s v="Hindi"/>
    <s v="Zoya Akhtar"/>
    <s v="Chris Evans"/>
    <m/>
    <n v="80"/>
    <n v="397.1"/>
    <s v="Average"/>
    <s v="Normal"/>
    <s v="Yes"/>
    <s v="Low"/>
    <n v="317.10000000000002"/>
    <n v="496.375"/>
  </r>
  <r>
    <s v="NFX-101387"/>
    <x v="1386"/>
    <s v="TV Show"/>
    <x v="0"/>
    <n v="2002"/>
    <s v="India"/>
    <s v="2023-07-26"/>
    <n v="34"/>
    <s v="18+"/>
    <n v="8.8000000000000007"/>
    <n v="502"/>
    <s v="Japanese"/>
    <s v="Bong Joon-ho"/>
    <s v="Song Kang-ho"/>
    <n v="7"/>
    <n v="13"/>
    <n v="23.9"/>
    <s v="Hit"/>
    <s v="Blockbuster"/>
    <s v="No"/>
    <s v="Low"/>
    <n v="10.899999999999999"/>
    <n v="183.84615384615384"/>
  </r>
  <r>
    <s v="NFX-101388"/>
    <x v="1387"/>
    <s v="Movie"/>
    <x v="0"/>
    <n v="2011"/>
    <s v="USA"/>
    <s v="2018-05-14"/>
    <n v="146"/>
    <s v="G"/>
    <n v="7.1"/>
    <n v="574.9"/>
    <s v="Hindi"/>
    <s v="Ridley Scott"/>
    <s v="Shah Rukh Khan"/>
    <m/>
    <n v="9"/>
    <n v="14.3"/>
    <s v="Average"/>
    <s v="Blockbuster"/>
    <s v="Yes"/>
    <s v="Low"/>
    <n v="5.3000000000000007"/>
    <n v="158.88888888888891"/>
  </r>
  <r>
    <s v="NFX-101389"/>
    <x v="1388"/>
    <s v="TV Show"/>
    <x v="4"/>
    <n v="2016"/>
    <s v="Australia"/>
    <s v="2018-03-17"/>
    <n v="55"/>
    <s v="G"/>
    <n v="6.1"/>
    <n v="596.20000000000005"/>
    <s v="German"/>
    <s v="Greta Gerwig"/>
    <s v="Ranbir Kapoor"/>
    <n v="6"/>
    <n v="120"/>
    <n v="679.5"/>
    <s v="Average"/>
    <s v="Blockbuster"/>
    <s v="Yes"/>
    <s v="High"/>
    <n v="559.5"/>
    <n v="566.25"/>
  </r>
  <r>
    <s v="NFX-101390"/>
    <x v="1389"/>
    <s v="Movie"/>
    <x v="6"/>
    <n v="2006"/>
    <s v="Spain"/>
    <s v="2024-10-27"/>
    <n v="135"/>
    <s v="PG"/>
    <n v="7.3"/>
    <n v="546"/>
    <s v="Korean"/>
    <s v="Martin Scorsese"/>
    <s v="Leonardo DiCaprio"/>
    <m/>
    <n v="52"/>
    <n v="128"/>
    <s v="Average"/>
    <s v="Blockbuster"/>
    <s v="Yes"/>
    <s v="Low"/>
    <n v="76"/>
    <n v="246.15384615384616"/>
  </r>
  <r>
    <s v="NFX-101391"/>
    <x v="1390"/>
    <s v="TV Show"/>
    <x v="2"/>
    <n v="2024"/>
    <s v="South Korea"/>
    <s v="2019-07-16"/>
    <n v="53"/>
    <s v="G"/>
    <n v="5.7"/>
    <n v="199.5"/>
    <s v="English"/>
    <s v="Sanjay Leela Bhansali"/>
    <s v="Tom Hardy"/>
    <n v="5"/>
    <n v="90"/>
    <n v="425.4"/>
    <s v="Flop"/>
    <s v="Normal"/>
    <s v="Yes"/>
    <s v="Low"/>
    <n v="335.4"/>
    <n v="472.66666666666663"/>
  </r>
  <r>
    <s v="NFX-101392"/>
    <x v="1391"/>
    <s v="Movie"/>
    <x v="8"/>
    <n v="2000"/>
    <s v="Germany"/>
    <s v="2023-09-14"/>
    <n v="113"/>
    <s v="PG-13"/>
    <n v="6.5"/>
    <n v="442.2"/>
    <s v="English"/>
    <s v="Guillermo del Toro"/>
    <s v="Chris Evans"/>
    <m/>
    <n v="191"/>
    <n v="1047.9000000000001"/>
    <s v="Average"/>
    <s v="Blockbuster"/>
    <s v="No"/>
    <s v="High"/>
    <n v="856.90000000000009"/>
    <n v="548.63874345549743"/>
  </r>
  <r>
    <s v="NFX-101393"/>
    <x v="1392"/>
    <s v="TV Show"/>
    <x v="1"/>
    <n v="2007"/>
    <s v="Germany"/>
    <s v="2018-04-04"/>
    <n v="48"/>
    <s v="18+"/>
    <n v="6.7"/>
    <n v="566.20000000000005"/>
    <s v="Spanish"/>
    <s v="Denis Villeneuve"/>
    <s v="Brad Pitt"/>
    <n v="7"/>
    <n v="81"/>
    <n v="256.2"/>
    <s v="Average"/>
    <s v="Blockbuster"/>
    <s v="No"/>
    <s v="Low"/>
    <n v="175.2"/>
    <n v="316.2962962962963"/>
  </r>
  <r>
    <s v="NFX-101394"/>
    <x v="1393"/>
    <s v="TV Show"/>
    <x v="5"/>
    <n v="2024"/>
    <s v="USA"/>
    <s v="2019-08-14"/>
    <n v="58"/>
    <s v="PG"/>
    <n v="6.8"/>
    <n v="550.9"/>
    <s v="Korean"/>
    <s v="Martin Scorsese"/>
    <s v="Deepika Padukone"/>
    <n v="5"/>
    <n v="18"/>
    <n v="56.2"/>
    <s v="Average"/>
    <s v="Blockbuster"/>
    <s v="Yes"/>
    <s v="Low"/>
    <n v="38.200000000000003"/>
    <n v="312.22222222222223"/>
  </r>
  <r>
    <s v="NFX-101395"/>
    <x v="1394"/>
    <s v="Movie"/>
    <x v="7"/>
    <n v="2018"/>
    <s v="Spain"/>
    <s v="2024-07-09"/>
    <n v="101"/>
    <s v="16+"/>
    <n v="7.6"/>
    <n v="97.6"/>
    <s v="Hindi"/>
    <s v="Greta Gerwig"/>
    <s v="Tom Hardy"/>
    <m/>
    <n v="9"/>
    <n v="21.2"/>
    <s v="Average"/>
    <s v="Normal"/>
    <s v="No"/>
    <s v="Low"/>
    <n v="12.2"/>
    <n v="235.55555555555557"/>
  </r>
  <r>
    <s v="NFX-101396"/>
    <x v="1395"/>
    <s v="Movie"/>
    <x v="6"/>
    <n v="2023"/>
    <s v="Canada"/>
    <s v="2024-09-22"/>
    <n v="126"/>
    <s v="PG"/>
    <n v="6.2"/>
    <n v="204.9"/>
    <s v="Spanish"/>
    <s v="Martin Scorsese"/>
    <s v="Ranbir Kapoor"/>
    <m/>
    <n v="154"/>
    <n v="831.4"/>
    <s v="Average"/>
    <s v="Popular"/>
    <s v="Yes"/>
    <s v="High"/>
    <n v="677.4"/>
    <n v="539.87012987012986"/>
  </r>
  <r>
    <s v="NFX-101397"/>
    <x v="1396"/>
    <s v="TV Show"/>
    <x v="2"/>
    <n v="2001"/>
    <s v="Australia"/>
    <s v="2019-10-28"/>
    <n v="53"/>
    <s v="PG"/>
    <n v="6"/>
    <n v="132"/>
    <s v="German"/>
    <s v="James Cameron"/>
    <s v="Ryan Gosling"/>
    <n v="6"/>
    <n v="128"/>
    <n v="365.1"/>
    <s v="Average"/>
    <s v="Normal"/>
    <s v="Yes"/>
    <s v="High"/>
    <n v="237.10000000000002"/>
    <n v="285.234375"/>
  </r>
  <r>
    <s v="NFX-101398"/>
    <x v="1397"/>
    <s v="TV Show"/>
    <x v="7"/>
    <n v="2007"/>
    <s v="USA"/>
    <s v="2018-09-01"/>
    <n v="36"/>
    <s v="PG"/>
    <n v="5.0999999999999996"/>
    <n v="561.70000000000005"/>
    <s v="German"/>
    <s v="Zoya Akhtar"/>
    <s v="Deepika Padukone"/>
    <n v="8"/>
    <n v="34"/>
    <n v="149.19999999999999"/>
    <s v="Flop"/>
    <s v="Blockbuster"/>
    <s v="Yes"/>
    <s v="Low"/>
    <n v="115.19999999999999"/>
    <n v="438.82352941176464"/>
  </r>
  <r>
    <s v="NFX-101399"/>
    <x v="1398"/>
    <s v="Movie"/>
    <x v="4"/>
    <n v="2003"/>
    <s v="Canada"/>
    <s v="2018-07-24"/>
    <n v="130"/>
    <s v="16+"/>
    <n v="8.8000000000000007"/>
    <n v="27.7"/>
    <s v="Korean"/>
    <s v="Park Chan-wook"/>
    <s v="Ryan Gosling"/>
    <m/>
    <n v="81"/>
    <n v="452"/>
    <s v="Hit"/>
    <s v="Normal"/>
    <s v="No"/>
    <s v="Low"/>
    <n v="371"/>
    <n v="558.02469135802471"/>
  </r>
  <r>
    <s v="NFX-101400"/>
    <x v="1399"/>
    <s v="TV Show"/>
    <x v="8"/>
    <n v="2001"/>
    <s v="France"/>
    <s v="2021-11-10"/>
    <n v="55"/>
    <s v="PG-13"/>
    <n v="6.9"/>
    <n v="500.6"/>
    <s v="English"/>
    <s v="Zoya Akhtar"/>
    <s v="Lee Jung-jae"/>
    <n v="8"/>
    <n v="178"/>
    <n v="263.39999999999998"/>
    <s v="Average"/>
    <s v="Blockbuster"/>
    <s v="No"/>
    <s v="High"/>
    <n v="85.399999999999977"/>
    <n v="147.97752808988761"/>
  </r>
  <r>
    <s v="NFX-101401"/>
    <x v="1400"/>
    <s v="Movie"/>
    <x v="1"/>
    <n v="2022"/>
    <s v="South Korea"/>
    <s v="2018-06-24"/>
    <n v="80"/>
    <s v="G"/>
    <n v="8"/>
    <n v="33.700000000000003"/>
    <s v="Korean"/>
    <s v="Christopher Nolan"/>
    <s v="Leonardo DiCaprio"/>
    <m/>
    <n v="93"/>
    <n v="132.80000000000001"/>
    <s v="Hit"/>
    <s v="Normal"/>
    <s v="Yes"/>
    <s v="Low"/>
    <n v="39.800000000000011"/>
    <n v="142.7956989247312"/>
  </r>
  <r>
    <s v="NFX-101402"/>
    <x v="1401"/>
    <s v="TV Show"/>
    <x v="10"/>
    <n v="2003"/>
    <s v="Spain"/>
    <s v="2018-09-15"/>
    <n v="54"/>
    <s v="PG-13"/>
    <n v="5.9"/>
    <n v="111"/>
    <s v="Spanish"/>
    <s v="Martin Scorsese"/>
    <s v="Shah Rukh Khan"/>
    <n v="7"/>
    <n v="145"/>
    <n v="683.5"/>
    <s v="Flop"/>
    <s v="Normal"/>
    <s v="No"/>
    <s v="High"/>
    <n v="538.5"/>
    <n v="471.37931034482756"/>
  </r>
  <r>
    <s v="NFX-101403"/>
    <x v="1402"/>
    <s v="Movie"/>
    <x v="5"/>
    <n v="2008"/>
    <s v="Germany"/>
    <s v="2022-08-05"/>
    <n v="148"/>
    <s v="PG-13"/>
    <n v="8.3000000000000007"/>
    <n v="95.8"/>
    <s v="German"/>
    <s v="Guillermo del Toro"/>
    <s v="Timothée Chalamet"/>
    <m/>
    <n v="196"/>
    <n v="938.2"/>
    <s v="Hit"/>
    <s v="Normal"/>
    <s v="No"/>
    <s v="High"/>
    <n v="742.2"/>
    <n v="478.67346938775512"/>
  </r>
  <r>
    <s v="NFX-101404"/>
    <x v="1403"/>
    <s v="TV Show"/>
    <x v="4"/>
    <n v="2014"/>
    <s v="South Korea"/>
    <s v="2024-10-06"/>
    <n v="57"/>
    <s v="G"/>
    <n v="5.0999999999999996"/>
    <n v="156.19999999999999"/>
    <s v="German"/>
    <s v="Christopher Nolan"/>
    <s v="Shah Rukh Khan"/>
    <n v="8"/>
    <n v="20"/>
    <n v="47.6"/>
    <s v="Flop"/>
    <s v="Normal"/>
    <s v="Yes"/>
    <s v="Low"/>
    <n v="27.6"/>
    <n v="238"/>
  </r>
  <r>
    <s v="NFX-101405"/>
    <x v="1404"/>
    <s v="Movie"/>
    <x v="8"/>
    <n v="2004"/>
    <s v="Australia"/>
    <s v="2021-07-09"/>
    <n v="121"/>
    <s v="PG"/>
    <n v="7.9"/>
    <n v="501.7"/>
    <s v="German"/>
    <s v="Christopher Nolan"/>
    <s v="Jennifer Lawrence"/>
    <m/>
    <n v="135"/>
    <n v="179.2"/>
    <s v="Average"/>
    <s v="Blockbuster"/>
    <s v="Yes"/>
    <s v="High"/>
    <n v="44.199999999999989"/>
    <n v="132.74074074074073"/>
  </r>
  <r>
    <s v="NFX-101406"/>
    <x v="1405"/>
    <s v="Movie"/>
    <x v="7"/>
    <n v="2021"/>
    <s v="Canada"/>
    <s v="2023-09-02"/>
    <n v="159"/>
    <s v="PG"/>
    <n v="9.1999999999999993"/>
    <n v="327.10000000000002"/>
    <s v="German"/>
    <s v="Martin Scorsese"/>
    <s v="Leonardo DiCaprio"/>
    <m/>
    <n v="194"/>
    <n v="932.6"/>
    <s v="Hit"/>
    <s v="Popular"/>
    <s v="Yes"/>
    <s v="High"/>
    <n v="738.6"/>
    <n v="480.72164948453604"/>
  </r>
  <r>
    <s v="NFX-101407"/>
    <x v="1406"/>
    <s v="Movie"/>
    <x v="0"/>
    <n v="2020"/>
    <s v="Spain"/>
    <s v="2023-04-30"/>
    <n v="154"/>
    <s v="PG-13"/>
    <n v="4.9000000000000004"/>
    <n v="27.3"/>
    <s v="Korean"/>
    <s v="James Cameron"/>
    <s v="Scarlett Johansson"/>
    <m/>
    <n v="113"/>
    <n v="488.8"/>
    <s v="Flop"/>
    <s v="Normal"/>
    <s v="No"/>
    <s v="High"/>
    <n v="375.8"/>
    <n v="432.56637168141594"/>
  </r>
  <r>
    <s v="NFX-101408"/>
    <x v="1407"/>
    <s v="Movie"/>
    <x v="0"/>
    <n v="2001"/>
    <s v="South Korea"/>
    <s v="2019-02-09"/>
    <n v="89"/>
    <s v="PG"/>
    <n v="6.5"/>
    <n v="523.6"/>
    <s v="Hindi"/>
    <s v="Martin Scorsese"/>
    <s v="Scarlett Johansson"/>
    <m/>
    <n v="83"/>
    <n v="110.7"/>
    <s v="Average"/>
    <s v="Blockbuster"/>
    <s v="Yes"/>
    <s v="Low"/>
    <n v="27.700000000000003"/>
    <n v="133.37349397590361"/>
  </r>
  <r>
    <s v="NFX-101409"/>
    <x v="1408"/>
    <s v="TV Show"/>
    <x v="9"/>
    <n v="2003"/>
    <s v="Germany"/>
    <s v="2024-09-14"/>
    <n v="56"/>
    <s v="G"/>
    <n v="6.8"/>
    <n v="283.8"/>
    <s v="Hindi"/>
    <s v="James Cameron"/>
    <s v="Shah Rukh Khan"/>
    <n v="8"/>
    <n v="197"/>
    <n v="1119.7"/>
    <s v="Average"/>
    <s v="Popular"/>
    <s v="Yes"/>
    <s v="High"/>
    <n v="922.7"/>
    <n v="568.37563451776646"/>
  </r>
  <r>
    <s v="NFX-101410"/>
    <x v="1409"/>
    <s v="Movie"/>
    <x v="7"/>
    <n v="2018"/>
    <s v="South Korea"/>
    <s v="2023-06-12"/>
    <n v="148"/>
    <s v="16+"/>
    <n v="5.4"/>
    <n v="95.1"/>
    <s v="Spanish"/>
    <s v="Sanjay Leela Bhansali"/>
    <s v="Deepika Padukone"/>
    <m/>
    <n v="52"/>
    <n v="280.89999999999998"/>
    <s v="Flop"/>
    <s v="Normal"/>
    <s v="No"/>
    <s v="Low"/>
    <n v="228.89999999999998"/>
    <n v="540.19230769230774"/>
  </r>
  <r>
    <s v="NFX-101411"/>
    <x v="1410"/>
    <s v="Movie"/>
    <x v="10"/>
    <n v="2002"/>
    <s v="Germany"/>
    <s v="2023-02-09"/>
    <n v="156"/>
    <s v="PG"/>
    <n v="4.7"/>
    <n v="133.6"/>
    <s v="Spanish"/>
    <s v="Ridley Scott"/>
    <s v="Brad Pitt"/>
    <m/>
    <n v="69"/>
    <n v="409.2"/>
    <s v="Flop"/>
    <s v="Normal"/>
    <s v="Yes"/>
    <s v="Low"/>
    <n v="340.2"/>
    <n v="593.04347826086951"/>
  </r>
  <r>
    <s v="NFX-101412"/>
    <x v="1411"/>
    <s v="Movie"/>
    <x v="7"/>
    <n v="2007"/>
    <s v="South Korea"/>
    <s v="2018-07-31"/>
    <n v="156"/>
    <s v="18+"/>
    <n v="5.8"/>
    <n v="122.4"/>
    <s v="French"/>
    <s v="Christopher Nolan"/>
    <s v="Shah Rukh Khan"/>
    <m/>
    <n v="28"/>
    <n v="36.1"/>
    <s v="Flop"/>
    <s v="Normal"/>
    <s v="No"/>
    <s v="Low"/>
    <n v="8.1000000000000014"/>
    <n v="128.92857142857144"/>
  </r>
  <r>
    <s v="NFX-101413"/>
    <x v="1412"/>
    <s v="TV Show"/>
    <x v="8"/>
    <n v="2012"/>
    <s v="UK"/>
    <s v="2020-12-05"/>
    <n v="34"/>
    <s v="18+"/>
    <n v="6.3"/>
    <n v="205.7"/>
    <s v="Japanese"/>
    <s v="Denis Villeneuve"/>
    <s v="Robert Downey Jr."/>
    <n v="8"/>
    <n v="86"/>
    <n v="133.6"/>
    <s v="Average"/>
    <s v="Popular"/>
    <s v="No"/>
    <s v="Low"/>
    <n v="47.599999999999994"/>
    <n v="155.34883720930233"/>
  </r>
  <r>
    <s v="NFX-101414"/>
    <x v="1413"/>
    <s v="Movie"/>
    <x v="0"/>
    <n v="2015"/>
    <s v="Canada"/>
    <s v="2022-11-02"/>
    <n v="139"/>
    <s v="16+"/>
    <n v="4.8"/>
    <n v="313.2"/>
    <s v="German"/>
    <s v="Steven Spielberg"/>
    <s v="Timothée Chalamet"/>
    <m/>
    <n v="71"/>
    <n v="216.8"/>
    <s v="Flop"/>
    <s v="Popular"/>
    <s v="No"/>
    <s v="Low"/>
    <n v="145.80000000000001"/>
    <n v="305.35211267605638"/>
  </r>
  <r>
    <s v="NFX-101415"/>
    <x v="1414"/>
    <s v="Movie"/>
    <x v="6"/>
    <n v="2000"/>
    <s v="Germany"/>
    <s v="2020-03-19"/>
    <n v="175"/>
    <s v="16+"/>
    <n v="4.7"/>
    <n v="168.8"/>
    <s v="French"/>
    <s v="Sanjay Leela Bhansali"/>
    <s v="Emma Stone"/>
    <m/>
    <n v="44"/>
    <n v="169"/>
    <s v="Flop"/>
    <s v="Normal"/>
    <s v="No"/>
    <s v="Low"/>
    <n v="125"/>
    <n v="384.09090909090907"/>
  </r>
  <r>
    <s v="NFX-101416"/>
    <x v="1415"/>
    <s v="TV Show"/>
    <x v="0"/>
    <n v="2012"/>
    <s v="Canada"/>
    <s v="2019-10-03"/>
    <n v="56"/>
    <s v="PG"/>
    <n v="6.5"/>
    <n v="557.79999999999995"/>
    <s v="Japanese"/>
    <s v="Zoya Akhtar"/>
    <s v="Deepika Padukone"/>
    <n v="3"/>
    <n v="130"/>
    <n v="626.20000000000005"/>
    <s v="Average"/>
    <s v="Blockbuster"/>
    <s v="Yes"/>
    <s v="High"/>
    <n v="496.20000000000005"/>
    <n v="481.69230769230768"/>
  </r>
  <r>
    <s v="NFX-101417"/>
    <x v="1416"/>
    <s v="Movie"/>
    <x v="2"/>
    <n v="2007"/>
    <s v="India"/>
    <s v="2021-06-21"/>
    <n v="109"/>
    <s v="16+"/>
    <n v="6.8"/>
    <n v="77.3"/>
    <s v="Spanish"/>
    <s v="Ridley Scott"/>
    <s v="Song Kang-ho"/>
    <m/>
    <n v="101"/>
    <n v="126.3"/>
    <s v="Average"/>
    <s v="Normal"/>
    <s v="No"/>
    <s v="High"/>
    <n v="25.299999999999997"/>
    <n v="125.04950495049505"/>
  </r>
  <r>
    <s v="NFX-101418"/>
    <x v="1417"/>
    <s v="TV Show"/>
    <x v="2"/>
    <n v="2023"/>
    <s v="Canada"/>
    <s v="2022-12-08"/>
    <n v="31"/>
    <s v="PG"/>
    <n v="7.9"/>
    <n v="445.4"/>
    <s v="English"/>
    <s v="Zoya Akhtar"/>
    <s v="Lee Jung-jae"/>
    <n v="1"/>
    <n v="119"/>
    <n v="159.5"/>
    <s v="Average"/>
    <s v="Blockbuster"/>
    <s v="Yes"/>
    <s v="High"/>
    <n v="40.5"/>
    <n v="134.03361344537814"/>
  </r>
  <r>
    <s v="NFX-101419"/>
    <x v="1418"/>
    <s v="TV Show"/>
    <x v="4"/>
    <n v="2020"/>
    <s v="India"/>
    <s v="2020-10-31"/>
    <n v="39"/>
    <s v="18+"/>
    <n v="8.1"/>
    <n v="322.39999999999998"/>
    <s v="Japanese"/>
    <s v="Christopher Nolan"/>
    <s v="Leonardo DiCaprio"/>
    <n v="1"/>
    <n v="157"/>
    <n v="1004.9"/>
    <s v="Hit"/>
    <s v="Popular"/>
    <s v="No"/>
    <s v="High"/>
    <n v="847.9"/>
    <n v="640.06369426751587"/>
  </r>
  <r>
    <s v="NFX-101420"/>
    <x v="1419"/>
    <s v="Movie"/>
    <x v="0"/>
    <n v="2005"/>
    <s v="Spain"/>
    <s v="2022-03-02"/>
    <n v="83"/>
    <s v="PG"/>
    <n v="4.7"/>
    <n v="109.8"/>
    <s v="Hindi"/>
    <s v="Quentin Tarantino"/>
    <s v="Shah Rukh Khan"/>
    <m/>
    <n v="127"/>
    <n v="256.3"/>
    <s v="Flop"/>
    <s v="Normal"/>
    <s v="Yes"/>
    <s v="High"/>
    <n v="129.30000000000001"/>
    <n v="201.81102362204726"/>
  </r>
  <r>
    <s v="NFX-101421"/>
    <x v="1420"/>
    <s v="Movie"/>
    <x v="10"/>
    <n v="2000"/>
    <s v="Australia"/>
    <s v="2024-09-11"/>
    <n v="153"/>
    <s v="PG"/>
    <n v="5.3"/>
    <n v="436.4"/>
    <s v="Korean"/>
    <s v="James Cameron"/>
    <s v="Jennifer Lawrence"/>
    <m/>
    <n v="173"/>
    <n v="321.5"/>
    <s v="Flop"/>
    <s v="Blockbuster"/>
    <s v="Yes"/>
    <s v="High"/>
    <n v="148.5"/>
    <n v="185.83815028901734"/>
  </r>
  <r>
    <s v="NFX-101422"/>
    <x v="1421"/>
    <s v="Movie"/>
    <x v="6"/>
    <n v="2021"/>
    <s v="Spain"/>
    <s v="2023-01-22"/>
    <n v="125"/>
    <s v="18+"/>
    <n v="5.4"/>
    <n v="539.79999999999995"/>
    <s v="Spanish"/>
    <s v="Denis Villeneuve"/>
    <s v="Timothée Chalamet"/>
    <m/>
    <n v="107"/>
    <n v="292.8"/>
    <s v="Flop"/>
    <s v="Blockbuster"/>
    <s v="No"/>
    <s v="High"/>
    <n v="185.8"/>
    <n v="273.64485981308411"/>
  </r>
  <r>
    <s v="NFX-101423"/>
    <x v="1422"/>
    <s v="Movie"/>
    <x v="3"/>
    <n v="2006"/>
    <s v="USA"/>
    <s v="2019-02-08"/>
    <n v="87"/>
    <s v="G"/>
    <n v="8.1"/>
    <n v="268.2"/>
    <s v="Korean"/>
    <s v="Martin Scorsese"/>
    <s v="Lee Jung-jae"/>
    <m/>
    <n v="49"/>
    <n v="80.099999999999994"/>
    <s v="Hit"/>
    <s v="Popular"/>
    <s v="Yes"/>
    <s v="Low"/>
    <n v="31.099999999999994"/>
    <n v="163.46938775510202"/>
  </r>
  <r>
    <s v="NFX-101424"/>
    <x v="1423"/>
    <s v="Movie"/>
    <x v="4"/>
    <n v="2004"/>
    <s v="Germany"/>
    <s v="2021-08-11"/>
    <n v="102"/>
    <s v="18+"/>
    <n v="6.3"/>
    <n v="579.20000000000005"/>
    <s v="Korean"/>
    <s v="Zoya Akhtar"/>
    <s v="Ryan Gosling"/>
    <m/>
    <n v="86"/>
    <n v="178.9"/>
    <s v="Average"/>
    <s v="Blockbuster"/>
    <s v="No"/>
    <s v="Low"/>
    <n v="92.9"/>
    <n v="208.02325581395351"/>
  </r>
  <r>
    <s v="NFX-101425"/>
    <x v="1424"/>
    <s v="Movie"/>
    <x v="9"/>
    <n v="2025"/>
    <s v="Canada"/>
    <s v="2018-07-22"/>
    <n v="146"/>
    <s v="PG-13"/>
    <n v="9.4"/>
    <n v="94.8"/>
    <s v="Korean"/>
    <s v="Christopher Nolan"/>
    <s v="Leonardo DiCaprio"/>
    <m/>
    <n v="169"/>
    <n v="1064.8"/>
    <s v="Hit"/>
    <s v="Normal"/>
    <s v="No"/>
    <s v="High"/>
    <n v="895.8"/>
    <n v="630.05917159763317"/>
  </r>
  <r>
    <s v="NFX-101426"/>
    <x v="1425"/>
    <s v="TV Show"/>
    <x v="2"/>
    <n v="2024"/>
    <s v="South Korea"/>
    <s v="2018-09-30"/>
    <n v="49"/>
    <s v="G"/>
    <n v="8.3000000000000007"/>
    <n v="329.7"/>
    <s v="German"/>
    <s v="Christopher Nolan"/>
    <s v="Brad Pitt"/>
    <n v="8"/>
    <n v="172"/>
    <n v="1102.5999999999999"/>
    <s v="Hit"/>
    <s v="Popular"/>
    <s v="Yes"/>
    <s v="High"/>
    <n v="930.59999999999991"/>
    <n v="641.04651162790697"/>
  </r>
  <r>
    <s v="NFX-101427"/>
    <x v="1426"/>
    <s v="TV Show"/>
    <x v="9"/>
    <n v="2025"/>
    <s v="South Korea"/>
    <s v="2021-05-13"/>
    <n v="33"/>
    <s v="PG"/>
    <n v="4.8"/>
    <n v="424.3"/>
    <s v="French"/>
    <s v="Christopher Nolan"/>
    <s v="Song Kang-ho"/>
    <n v="7"/>
    <n v="68"/>
    <n v="119.4"/>
    <s v="Flop"/>
    <s v="Blockbuster"/>
    <s v="Yes"/>
    <s v="Low"/>
    <n v="51.400000000000006"/>
    <n v="175.58823529411765"/>
  </r>
  <r>
    <s v="NFX-101428"/>
    <x v="1427"/>
    <s v="Movie"/>
    <x v="3"/>
    <n v="2021"/>
    <s v="South Korea"/>
    <s v="2021-03-29"/>
    <n v="158"/>
    <s v="PG"/>
    <n v="6.2"/>
    <n v="39.6"/>
    <s v="Hindi"/>
    <s v="Zoya Akhtar"/>
    <s v="Shah Rukh Khan"/>
    <m/>
    <n v="86"/>
    <n v="533.29999999999995"/>
    <s v="Average"/>
    <s v="Normal"/>
    <s v="Yes"/>
    <s v="Low"/>
    <n v="447.29999999999995"/>
    <n v="620.11627906976742"/>
  </r>
  <r>
    <s v="NFX-101429"/>
    <x v="1428"/>
    <s v="TV Show"/>
    <x v="1"/>
    <n v="2020"/>
    <s v="South Korea"/>
    <s v="2022-10-20"/>
    <n v="40"/>
    <s v="G"/>
    <n v="8.1"/>
    <n v="350.1"/>
    <s v="French"/>
    <s v="Zoya Akhtar"/>
    <s v="Brad Pitt"/>
    <n v="1"/>
    <n v="172"/>
    <n v="1075.5"/>
    <s v="Hit"/>
    <s v="Popular"/>
    <s v="Yes"/>
    <s v="High"/>
    <n v="903.5"/>
    <n v="625.29069767441865"/>
  </r>
  <r>
    <s v="NFX-101430"/>
    <x v="1429"/>
    <s v="TV Show"/>
    <x v="2"/>
    <n v="2019"/>
    <s v="Japan"/>
    <s v="2018-09-19"/>
    <n v="32"/>
    <s v="18+"/>
    <n v="5.5"/>
    <n v="309.2"/>
    <s v="German"/>
    <s v="James Cameron"/>
    <s v="Lee Jung-jae"/>
    <n v="3"/>
    <n v="178"/>
    <n v="256.39999999999998"/>
    <s v="Flop"/>
    <s v="Popular"/>
    <s v="No"/>
    <s v="High"/>
    <n v="78.399999999999977"/>
    <n v="144.04494382022472"/>
  </r>
  <r>
    <s v="NFX-101431"/>
    <x v="1430"/>
    <s v="TV Show"/>
    <x v="4"/>
    <n v="2010"/>
    <s v="India"/>
    <s v="2021-06-08"/>
    <n v="31"/>
    <s v="18+"/>
    <n v="5.3"/>
    <n v="233.7"/>
    <s v="French"/>
    <s v="Bong Joon-ho"/>
    <s v="Emma Stone"/>
    <n v="2"/>
    <n v="124"/>
    <n v="178"/>
    <s v="Flop"/>
    <s v="Popular"/>
    <s v="No"/>
    <s v="High"/>
    <n v="54"/>
    <n v="143.54838709677421"/>
  </r>
  <r>
    <s v="NFX-101432"/>
    <x v="1431"/>
    <s v="Movie"/>
    <x v="1"/>
    <n v="2018"/>
    <s v="UK"/>
    <s v="2019-05-01"/>
    <n v="110"/>
    <s v="18+"/>
    <n v="8.1"/>
    <n v="349.9"/>
    <s v="French"/>
    <s v="Ridley Scott"/>
    <s v="Leonardo DiCaprio"/>
    <m/>
    <n v="48"/>
    <n v="89.4"/>
    <s v="Hit"/>
    <s v="Popular"/>
    <s v="No"/>
    <s v="Low"/>
    <n v="41.400000000000006"/>
    <n v="186.25"/>
  </r>
  <r>
    <s v="NFX-101433"/>
    <x v="1432"/>
    <s v="TV Show"/>
    <x v="10"/>
    <n v="2014"/>
    <s v="France"/>
    <s v="2018-06-30"/>
    <n v="43"/>
    <s v="16+"/>
    <n v="5.3"/>
    <n v="297.7"/>
    <s v="German"/>
    <s v="Quentin Tarantino"/>
    <s v="Jennifer Lawrence"/>
    <n v="5"/>
    <n v="96"/>
    <n v="573.79999999999995"/>
    <s v="Flop"/>
    <s v="Popular"/>
    <s v="No"/>
    <s v="Low"/>
    <n v="477.79999999999995"/>
    <n v="597.70833333333326"/>
  </r>
  <r>
    <s v="NFX-101434"/>
    <x v="1433"/>
    <s v="TV Show"/>
    <x v="7"/>
    <n v="2005"/>
    <s v="Germany"/>
    <s v="2020-07-29"/>
    <n v="57"/>
    <s v="G"/>
    <n v="6.3"/>
    <n v="471.3"/>
    <s v="Spanish"/>
    <s v="Bong Joon-ho"/>
    <s v="Ranbir Kapoor"/>
    <n v="7"/>
    <n v="128"/>
    <n v="781.3"/>
    <s v="Average"/>
    <s v="Blockbuster"/>
    <s v="Yes"/>
    <s v="High"/>
    <n v="653.29999999999995"/>
    <n v="610.390625"/>
  </r>
  <r>
    <s v="NFX-101435"/>
    <x v="1434"/>
    <s v="TV Show"/>
    <x v="7"/>
    <n v="2013"/>
    <s v="India"/>
    <s v="2024-04-24"/>
    <n v="53"/>
    <s v="G"/>
    <n v="9.6"/>
    <n v="365"/>
    <s v="Hindi"/>
    <s v="Quentin Tarantino"/>
    <s v="Lee Jung-jae"/>
    <n v="8"/>
    <n v="7"/>
    <n v="16.899999999999999"/>
    <s v="Hit"/>
    <s v="Popular"/>
    <s v="Yes"/>
    <s v="Low"/>
    <n v="9.8999999999999986"/>
    <n v="241.42857142857142"/>
  </r>
  <r>
    <s v="NFX-101436"/>
    <x v="1435"/>
    <s v="Movie"/>
    <x v="9"/>
    <n v="2002"/>
    <s v="France"/>
    <s v="2019-07-05"/>
    <n v="174"/>
    <s v="18+"/>
    <n v="5.0999999999999996"/>
    <n v="496.5"/>
    <s v="English"/>
    <s v="Zoya Akhtar"/>
    <s v="Deepika Padukone"/>
    <m/>
    <n v="128"/>
    <n v="345.4"/>
    <s v="Flop"/>
    <s v="Blockbuster"/>
    <s v="No"/>
    <s v="High"/>
    <n v="217.39999999999998"/>
    <n v="269.84375"/>
  </r>
  <r>
    <s v="NFX-101437"/>
    <x v="1436"/>
    <s v="Movie"/>
    <x v="10"/>
    <n v="2015"/>
    <s v="France"/>
    <s v="2023-07-06"/>
    <n v="180"/>
    <s v="PG-13"/>
    <n v="7.9"/>
    <n v="30"/>
    <s v="German"/>
    <s v="Denis Villeneuve"/>
    <s v="Leonardo DiCaprio"/>
    <m/>
    <n v="150"/>
    <n v="409.7"/>
    <s v="Average"/>
    <s v="Normal"/>
    <s v="No"/>
    <s v="High"/>
    <n v="259.7"/>
    <n v="273.13333333333333"/>
  </r>
  <r>
    <s v="NFX-101438"/>
    <x v="1437"/>
    <s v="Movie"/>
    <x v="5"/>
    <n v="2003"/>
    <s v="Canada"/>
    <s v="2023-10-12"/>
    <n v="174"/>
    <s v="PG"/>
    <n v="4.5"/>
    <n v="537.70000000000005"/>
    <s v="Spanish"/>
    <s v="Ridley Scott"/>
    <s v="Timothée Chalamet"/>
    <m/>
    <n v="162"/>
    <n v="288.7"/>
    <s v="Flop"/>
    <s v="Blockbuster"/>
    <s v="Yes"/>
    <s v="High"/>
    <n v="126.69999999999999"/>
    <n v="178.20987654320987"/>
  </r>
  <r>
    <s v="NFX-101439"/>
    <x v="1438"/>
    <s v="TV Show"/>
    <x v="4"/>
    <n v="2012"/>
    <s v="Spain"/>
    <s v="2020-06-28"/>
    <n v="45"/>
    <s v="PG-13"/>
    <n v="7.5"/>
    <n v="214.1"/>
    <s v="Spanish"/>
    <s v="Denis Villeneuve"/>
    <s v="Brad Pitt"/>
    <n v="1"/>
    <n v="118"/>
    <n v="218.7"/>
    <s v="Average"/>
    <s v="Popular"/>
    <s v="No"/>
    <s v="High"/>
    <n v="100.69999999999999"/>
    <n v="185.33898305084745"/>
  </r>
  <r>
    <s v="NFX-101440"/>
    <x v="1439"/>
    <s v="TV Show"/>
    <x v="1"/>
    <n v="2021"/>
    <s v="France"/>
    <s v="2019-06-11"/>
    <n v="34"/>
    <s v="PG"/>
    <n v="5.3"/>
    <n v="111"/>
    <s v="Korean"/>
    <s v="Sanjay Leela Bhansali"/>
    <s v="Tom Hardy"/>
    <n v="5"/>
    <n v="200"/>
    <n v="1243.4000000000001"/>
    <s v="Flop"/>
    <s v="Normal"/>
    <s v="Yes"/>
    <s v="High"/>
    <n v="1043.4000000000001"/>
    <n v="621.70000000000005"/>
  </r>
  <r>
    <s v="NFX-101441"/>
    <x v="1440"/>
    <s v="TV Show"/>
    <x v="8"/>
    <n v="2018"/>
    <s v="France"/>
    <s v="2024-03-16"/>
    <n v="45"/>
    <s v="PG-13"/>
    <n v="5.3"/>
    <n v="21.9"/>
    <s v="Korean"/>
    <s v="Greta Gerwig"/>
    <s v="Shah Rukh Khan"/>
    <n v="4"/>
    <n v="25"/>
    <n v="80.099999999999994"/>
    <s v="Flop"/>
    <s v="Normal"/>
    <s v="No"/>
    <s v="Low"/>
    <n v="55.099999999999994"/>
    <n v="320.39999999999998"/>
  </r>
  <r>
    <s v="NFX-101442"/>
    <x v="1441"/>
    <s v="TV Show"/>
    <x v="5"/>
    <n v="2009"/>
    <s v="UK"/>
    <s v="2020-09-06"/>
    <n v="39"/>
    <s v="18+"/>
    <n v="7.4"/>
    <n v="502.3"/>
    <s v="Hindi"/>
    <s v="Guillermo del Toro"/>
    <s v="Ranbir Kapoor"/>
    <n v="6"/>
    <n v="130"/>
    <n v="793.7"/>
    <s v="Average"/>
    <s v="Blockbuster"/>
    <s v="No"/>
    <s v="High"/>
    <n v="663.7"/>
    <n v="610.53846153846166"/>
  </r>
  <r>
    <s v="NFX-101443"/>
    <x v="1442"/>
    <s v="Movie"/>
    <x v="4"/>
    <n v="2021"/>
    <s v="Japan"/>
    <s v="2022-05-17"/>
    <n v="94"/>
    <s v="16+"/>
    <n v="6.2"/>
    <n v="307.8"/>
    <s v="German"/>
    <s v="Denis Villeneuve"/>
    <s v="Scarlett Johansson"/>
    <m/>
    <n v="116"/>
    <n v="448.5"/>
    <s v="Average"/>
    <s v="Popular"/>
    <s v="No"/>
    <s v="High"/>
    <n v="332.5"/>
    <n v="386.63793103448273"/>
  </r>
  <r>
    <s v="NFX-101444"/>
    <x v="1443"/>
    <s v="TV Show"/>
    <x v="1"/>
    <n v="2016"/>
    <s v="UK"/>
    <s v="2019-02-17"/>
    <n v="38"/>
    <s v="PG"/>
    <n v="7.7"/>
    <n v="391.8"/>
    <s v="Hindi"/>
    <s v="Anurag Kashyap"/>
    <s v="Shah Rukh Khan"/>
    <n v="7"/>
    <n v="151"/>
    <n v="790.2"/>
    <s v="Average"/>
    <s v="Popular"/>
    <s v="Yes"/>
    <s v="High"/>
    <n v="639.20000000000005"/>
    <n v="523.31125827814571"/>
  </r>
  <r>
    <s v="NFX-101445"/>
    <x v="1444"/>
    <s v="TV Show"/>
    <x v="1"/>
    <n v="2010"/>
    <s v="Japan"/>
    <s v="2020-08-25"/>
    <n v="56"/>
    <s v="16+"/>
    <n v="6.5"/>
    <n v="255.2"/>
    <s v="Japanese"/>
    <s v="Christopher Nolan"/>
    <s v="Chris Evans"/>
    <n v="1"/>
    <n v="7"/>
    <n v="41.2"/>
    <s v="Average"/>
    <s v="Popular"/>
    <s v="No"/>
    <s v="Low"/>
    <n v="34.200000000000003"/>
    <n v="588.57142857142867"/>
  </r>
  <r>
    <s v="NFX-101446"/>
    <x v="1445"/>
    <s v="Movie"/>
    <x v="0"/>
    <n v="2022"/>
    <s v="Japan"/>
    <s v="2021-07-31"/>
    <n v="150"/>
    <s v="PG-13"/>
    <n v="8.1999999999999993"/>
    <n v="444.4"/>
    <s v="French"/>
    <s v="Quentin Tarantino"/>
    <s v="Deepika Padukone"/>
    <m/>
    <n v="26"/>
    <n v="39.799999999999997"/>
    <s v="Hit"/>
    <s v="Blockbuster"/>
    <s v="No"/>
    <s v="Low"/>
    <n v="13.799999999999997"/>
    <n v="153.07692307692307"/>
  </r>
  <r>
    <s v="NFX-101447"/>
    <x v="1446"/>
    <s v="Movie"/>
    <x v="10"/>
    <n v="2007"/>
    <s v="Japan"/>
    <s v="2022-12-03"/>
    <n v="173"/>
    <s v="G"/>
    <n v="9.5"/>
    <n v="230.7"/>
    <s v="English"/>
    <s v="Rajkumar Hirani"/>
    <s v="Shah Rukh Khan"/>
    <m/>
    <n v="143"/>
    <n v="591.20000000000005"/>
    <s v="Hit"/>
    <s v="Popular"/>
    <s v="Yes"/>
    <s v="High"/>
    <n v="448.20000000000005"/>
    <n v="413.42657342657344"/>
  </r>
  <r>
    <s v="NFX-101448"/>
    <x v="1447"/>
    <s v="TV Show"/>
    <x v="2"/>
    <n v="2013"/>
    <s v="Japan"/>
    <s v="2021-05-11"/>
    <n v="60"/>
    <s v="16+"/>
    <n v="6.9"/>
    <n v="568.5"/>
    <s v="French"/>
    <s v="Steven Spielberg"/>
    <s v="Brad Pitt"/>
    <n v="5"/>
    <n v="181"/>
    <n v="1103"/>
    <s v="Average"/>
    <s v="Blockbuster"/>
    <s v="No"/>
    <s v="High"/>
    <n v="922"/>
    <n v="609.39226519337012"/>
  </r>
  <r>
    <s v="NFX-101449"/>
    <x v="1448"/>
    <s v="Movie"/>
    <x v="9"/>
    <n v="2000"/>
    <s v="Germany"/>
    <s v="2018-03-23"/>
    <n v="155"/>
    <s v="G"/>
    <n v="4.7"/>
    <n v="291.3"/>
    <s v="German"/>
    <s v="Greta Gerwig"/>
    <s v="Deepika Padukone"/>
    <m/>
    <n v="37"/>
    <n v="48.5"/>
    <s v="Flop"/>
    <s v="Popular"/>
    <s v="Yes"/>
    <s v="Low"/>
    <n v="11.5"/>
    <n v="131.08108108108107"/>
  </r>
  <r>
    <s v="NFX-101450"/>
    <x v="1449"/>
    <s v="Movie"/>
    <x v="3"/>
    <n v="2016"/>
    <s v="USA"/>
    <s v="2021-10-23"/>
    <n v="169"/>
    <s v="18+"/>
    <n v="5.8"/>
    <n v="597.4"/>
    <s v="Korean"/>
    <s v="Sanjay Leela Bhansali"/>
    <s v="Lee Jung-jae"/>
    <m/>
    <n v="123"/>
    <n v="277.7"/>
    <s v="Flop"/>
    <s v="Blockbuster"/>
    <s v="No"/>
    <s v="High"/>
    <n v="154.69999999999999"/>
    <n v="225.77235772357724"/>
  </r>
  <r>
    <s v="NFX-101451"/>
    <x v="1450"/>
    <s v="Movie"/>
    <x v="1"/>
    <n v="2014"/>
    <s v="Germany"/>
    <s v="2023-11-22"/>
    <n v="127"/>
    <s v="18+"/>
    <n v="6.2"/>
    <n v="323.7"/>
    <s v="Hindi"/>
    <s v="Quentin Tarantino"/>
    <s v="Robert Downey Jr."/>
    <m/>
    <n v="75"/>
    <n v="334.1"/>
    <s v="Average"/>
    <s v="Popular"/>
    <s v="No"/>
    <s v="Low"/>
    <n v="259.10000000000002"/>
    <n v="445.4666666666667"/>
  </r>
  <r>
    <s v="NFX-101452"/>
    <x v="1451"/>
    <s v="Movie"/>
    <x v="7"/>
    <n v="2018"/>
    <s v="France"/>
    <s v="2022-03-16"/>
    <n v="108"/>
    <s v="PG-13"/>
    <n v="9.1999999999999993"/>
    <n v="497.4"/>
    <s v="Hindi"/>
    <s v="Steven Spielberg"/>
    <s v="Ranbir Kapoor"/>
    <m/>
    <n v="199"/>
    <n v="413.1"/>
    <s v="Hit"/>
    <s v="Blockbuster"/>
    <s v="No"/>
    <s v="High"/>
    <n v="214.10000000000002"/>
    <n v="207.58793969849245"/>
  </r>
  <r>
    <s v="NFX-101453"/>
    <x v="1452"/>
    <s v="TV Show"/>
    <x v="5"/>
    <n v="2003"/>
    <s v="UK"/>
    <s v="2022-02-06"/>
    <n v="46"/>
    <s v="PG-13"/>
    <n v="7.7"/>
    <n v="435.1"/>
    <s v="Spanish"/>
    <s v="Guillermo del Toro"/>
    <s v="Scarlett Johansson"/>
    <n v="1"/>
    <n v="43"/>
    <n v="121.9"/>
    <s v="Average"/>
    <s v="Blockbuster"/>
    <s v="No"/>
    <s v="Low"/>
    <n v="78.900000000000006"/>
    <n v="283.48837209302332"/>
  </r>
  <r>
    <s v="NFX-101454"/>
    <x v="1453"/>
    <s v="Movie"/>
    <x v="6"/>
    <n v="2002"/>
    <s v="South Korea"/>
    <s v="2020-07-31"/>
    <n v="98"/>
    <s v="PG"/>
    <n v="6.3"/>
    <n v="179.1"/>
    <s v="English"/>
    <s v="Rajkumar Hirani"/>
    <s v="Emma Stone"/>
    <m/>
    <n v="144"/>
    <n v="587.1"/>
    <s v="Average"/>
    <s v="Normal"/>
    <s v="Yes"/>
    <s v="High"/>
    <n v="443.1"/>
    <n v="407.70833333333331"/>
  </r>
  <r>
    <s v="NFX-101455"/>
    <x v="1454"/>
    <s v="TV Show"/>
    <x v="5"/>
    <n v="2023"/>
    <s v="USA"/>
    <s v="2022-08-22"/>
    <n v="35"/>
    <s v="G"/>
    <n v="8.1"/>
    <n v="37.700000000000003"/>
    <s v="English"/>
    <s v="James Cameron"/>
    <s v="Ranbir Kapoor"/>
    <n v="7"/>
    <n v="191"/>
    <n v="426"/>
    <s v="Hit"/>
    <s v="Normal"/>
    <s v="Yes"/>
    <s v="High"/>
    <n v="235"/>
    <n v="223.03664921465969"/>
  </r>
  <r>
    <s v="NFX-101456"/>
    <x v="1455"/>
    <s v="TV Show"/>
    <x v="10"/>
    <n v="2022"/>
    <s v="Canada"/>
    <s v="2019-11-14"/>
    <n v="60"/>
    <s v="G"/>
    <n v="7.4"/>
    <n v="337.2"/>
    <s v="English"/>
    <s v="Zoya Akhtar"/>
    <s v="Shah Rukh Khan"/>
    <n v="6"/>
    <n v="74"/>
    <n v="410"/>
    <s v="Average"/>
    <s v="Popular"/>
    <s v="Yes"/>
    <s v="Low"/>
    <n v="336"/>
    <n v="554.05405405405406"/>
  </r>
  <r>
    <s v="NFX-101457"/>
    <x v="1456"/>
    <s v="TV Show"/>
    <x v="6"/>
    <n v="2016"/>
    <s v="Canada"/>
    <s v="2020-03-15"/>
    <n v="58"/>
    <s v="16+"/>
    <n v="8.3000000000000007"/>
    <n v="229"/>
    <s v="English"/>
    <s v="Guillermo del Toro"/>
    <s v="Tom Hardy"/>
    <n v="7"/>
    <n v="102"/>
    <n v="147.5"/>
    <s v="Hit"/>
    <s v="Popular"/>
    <s v="No"/>
    <s v="High"/>
    <n v="45.5"/>
    <n v="144.60784313725489"/>
  </r>
  <r>
    <s v="NFX-101458"/>
    <x v="1457"/>
    <s v="TV Show"/>
    <x v="2"/>
    <n v="2022"/>
    <s v="France"/>
    <s v="2019-02-07"/>
    <n v="60"/>
    <s v="PG"/>
    <n v="7"/>
    <n v="372.3"/>
    <s v="Korean"/>
    <s v="Martin Scorsese"/>
    <s v="Leonardo DiCaprio"/>
    <n v="1"/>
    <n v="26"/>
    <n v="50.4"/>
    <s v="Average"/>
    <s v="Popular"/>
    <s v="Yes"/>
    <s v="Low"/>
    <n v="24.4"/>
    <n v="193.84615384615384"/>
  </r>
  <r>
    <s v="NFX-101459"/>
    <x v="1458"/>
    <s v="TV Show"/>
    <x v="9"/>
    <n v="2023"/>
    <s v="Germany"/>
    <s v="2018-10-22"/>
    <n v="53"/>
    <s v="18+"/>
    <n v="6.6"/>
    <n v="459.5"/>
    <s v="English"/>
    <s v="Ridley Scott"/>
    <s v="Deepika Padukone"/>
    <n v="7"/>
    <n v="68"/>
    <n v="170.2"/>
    <s v="Average"/>
    <s v="Blockbuster"/>
    <s v="No"/>
    <s v="Low"/>
    <n v="102.19999999999999"/>
    <n v="250.29411764705881"/>
  </r>
  <r>
    <s v="NFX-101460"/>
    <x v="1459"/>
    <s v="TV Show"/>
    <x v="4"/>
    <n v="2013"/>
    <s v="Spain"/>
    <s v="2022-03-19"/>
    <n v="41"/>
    <s v="PG"/>
    <n v="4.8"/>
    <n v="532.4"/>
    <s v="Hindi"/>
    <s v="Christopher Nolan"/>
    <s v="Tom Hardy"/>
    <n v="8"/>
    <n v="156"/>
    <n v="191"/>
    <s v="Flop"/>
    <s v="Blockbuster"/>
    <s v="Yes"/>
    <s v="High"/>
    <n v="35"/>
    <n v="122.43589743589745"/>
  </r>
  <r>
    <s v="NFX-101461"/>
    <x v="1460"/>
    <s v="Movie"/>
    <x v="7"/>
    <n v="2022"/>
    <s v="UK"/>
    <s v="2020-06-08"/>
    <n v="101"/>
    <s v="G"/>
    <n v="8.6999999999999993"/>
    <n v="168.2"/>
    <s v="German"/>
    <s v="Zoya Akhtar"/>
    <s v="Song Kang-ho"/>
    <m/>
    <n v="12"/>
    <n v="42.9"/>
    <s v="Hit"/>
    <s v="Normal"/>
    <s v="Yes"/>
    <s v="Low"/>
    <n v="30.9"/>
    <n v="357.5"/>
  </r>
  <r>
    <s v="NFX-101462"/>
    <x v="1461"/>
    <s v="Movie"/>
    <x v="6"/>
    <n v="2004"/>
    <s v="India"/>
    <s v="2023-03-09"/>
    <n v="152"/>
    <s v="16+"/>
    <n v="5.5"/>
    <n v="189"/>
    <s v="Spanish"/>
    <s v="Denis Villeneuve"/>
    <s v="Timothée Chalamet"/>
    <m/>
    <n v="35"/>
    <n v="125.3"/>
    <s v="Flop"/>
    <s v="Normal"/>
    <s v="No"/>
    <s v="Low"/>
    <n v="90.3"/>
    <n v="358"/>
  </r>
  <r>
    <s v="NFX-101463"/>
    <x v="1462"/>
    <s v="TV Show"/>
    <x v="6"/>
    <n v="2021"/>
    <s v="USA"/>
    <s v="2018-07-29"/>
    <n v="41"/>
    <s v="16+"/>
    <n v="8.8000000000000007"/>
    <n v="96.8"/>
    <s v="English"/>
    <s v="Bong Joon-ho"/>
    <s v="Emma Stone"/>
    <n v="6"/>
    <n v="106"/>
    <n v="325.60000000000002"/>
    <s v="Hit"/>
    <s v="Normal"/>
    <s v="No"/>
    <s v="High"/>
    <n v="219.60000000000002"/>
    <n v="307.16981132075472"/>
  </r>
  <r>
    <s v="NFX-101464"/>
    <x v="1463"/>
    <s v="Movie"/>
    <x v="1"/>
    <n v="2023"/>
    <s v="South Korea"/>
    <s v="2021-11-29"/>
    <n v="109"/>
    <s v="16+"/>
    <n v="7.3"/>
    <n v="404.4"/>
    <s v="Korean"/>
    <s v="Martin Scorsese"/>
    <s v="Scarlett Johansson"/>
    <m/>
    <n v="160"/>
    <n v="831.3"/>
    <s v="Average"/>
    <s v="Blockbuster"/>
    <s v="No"/>
    <s v="High"/>
    <n v="671.3"/>
    <n v="519.5625"/>
  </r>
  <r>
    <s v="NFX-101465"/>
    <x v="1464"/>
    <s v="TV Show"/>
    <x v="10"/>
    <n v="2003"/>
    <s v="Japan"/>
    <s v="2024-01-04"/>
    <n v="45"/>
    <s v="16+"/>
    <n v="6"/>
    <n v="418.9"/>
    <s v="Hindi"/>
    <s v="Greta Gerwig"/>
    <s v="Leonardo DiCaprio"/>
    <n v="1"/>
    <n v="36"/>
    <n v="57.7"/>
    <s v="Average"/>
    <s v="Blockbuster"/>
    <s v="No"/>
    <s v="Low"/>
    <n v="21.700000000000003"/>
    <n v="160.27777777777777"/>
  </r>
  <r>
    <s v="NFX-101466"/>
    <x v="1465"/>
    <s v="Movie"/>
    <x v="8"/>
    <n v="2004"/>
    <s v="USA"/>
    <s v="2023-06-29"/>
    <n v="120"/>
    <s v="16+"/>
    <n v="8.4"/>
    <n v="238.9"/>
    <s v="Korean"/>
    <s v="Bong Joon-ho"/>
    <s v="Tom Hardy"/>
    <m/>
    <n v="88"/>
    <n v="507.4"/>
    <s v="Hit"/>
    <s v="Popular"/>
    <s v="No"/>
    <s v="Low"/>
    <n v="419.4"/>
    <n v="576.59090909090901"/>
  </r>
  <r>
    <s v="NFX-101467"/>
    <x v="1466"/>
    <s v="TV Show"/>
    <x v="7"/>
    <n v="2022"/>
    <s v="India"/>
    <s v="2020-06-28"/>
    <n v="51"/>
    <s v="G"/>
    <n v="8.8000000000000007"/>
    <n v="446.9"/>
    <s v="Spanish"/>
    <s v="Denis Villeneuve"/>
    <s v="Leonardo DiCaprio"/>
    <n v="7"/>
    <n v="97"/>
    <n v="485.6"/>
    <s v="Hit"/>
    <s v="Blockbuster"/>
    <s v="Yes"/>
    <s v="Low"/>
    <n v="388.6"/>
    <n v="500.61855670103091"/>
  </r>
  <r>
    <s v="NFX-101468"/>
    <x v="1467"/>
    <s v="TV Show"/>
    <x v="3"/>
    <n v="2005"/>
    <s v="Australia"/>
    <s v="2023-04-09"/>
    <n v="48"/>
    <s v="PG"/>
    <n v="7.1"/>
    <n v="149"/>
    <s v="English"/>
    <s v="Bong Joon-ho"/>
    <s v="Emma Stone"/>
    <n v="3"/>
    <n v="199"/>
    <n v="931.1"/>
    <s v="Average"/>
    <s v="Normal"/>
    <s v="Yes"/>
    <s v="High"/>
    <n v="732.1"/>
    <n v="467.8894472361809"/>
  </r>
  <r>
    <s v="NFX-101469"/>
    <x v="1468"/>
    <s v="Movie"/>
    <x v="10"/>
    <n v="2024"/>
    <s v="India"/>
    <s v="2022-06-18"/>
    <n v="90"/>
    <s v="PG"/>
    <n v="6.3"/>
    <n v="369.8"/>
    <s v="Hindi"/>
    <s v="Quentin Tarantino"/>
    <s v="Timothée Chalamet"/>
    <m/>
    <n v="14"/>
    <n v="45"/>
    <s v="Average"/>
    <s v="Popular"/>
    <s v="Yes"/>
    <s v="Low"/>
    <n v="31"/>
    <n v="321.42857142857144"/>
  </r>
  <r>
    <s v="NFX-101470"/>
    <x v="1469"/>
    <s v="Movie"/>
    <x v="4"/>
    <n v="2018"/>
    <s v="South Korea"/>
    <s v="2019-08-09"/>
    <n v="96"/>
    <s v="18+"/>
    <n v="8.4"/>
    <n v="72.2"/>
    <s v="English"/>
    <s v="Steven Spielberg"/>
    <s v="Song Kang-ho"/>
    <m/>
    <n v="197"/>
    <n v="1187.4000000000001"/>
    <s v="Hit"/>
    <s v="Normal"/>
    <s v="No"/>
    <s v="High"/>
    <n v="990.40000000000009"/>
    <n v="602.74111675126903"/>
  </r>
  <r>
    <s v="NFX-101471"/>
    <x v="1470"/>
    <s v="TV Show"/>
    <x v="4"/>
    <n v="2005"/>
    <s v="USA"/>
    <s v="2018-08-04"/>
    <n v="48"/>
    <s v="16+"/>
    <n v="6"/>
    <n v="301.39999999999998"/>
    <s v="French"/>
    <s v="Park Chan-wook"/>
    <s v="Shah Rukh Khan"/>
    <n v="3"/>
    <n v="147"/>
    <n v="570.5"/>
    <s v="Average"/>
    <s v="Popular"/>
    <s v="No"/>
    <s v="High"/>
    <n v="423.5"/>
    <n v="388.09523809523807"/>
  </r>
  <r>
    <s v="NFX-101472"/>
    <x v="1471"/>
    <s v="Movie"/>
    <x v="0"/>
    <n v="2006"/>
    <s v="France"/>
    <s v="2023-10-17"/>
    <n v="162"/>
    <s v="PG"/>
    <n v="8.1999999999999993"/>
    <n v="353.4"/>
    <s v="German"/>
    <s v="Guillermo del Toro"/>
    <s v="Song Kang-ho"/>
    <m/>
    <n v="196"/>
    <n v="966"/>
    <s v="Hit"/>
    <s v="Popular"/>
    <s v="Yes"/>
    <s v="High"/>
    <n v="770"/>
    <n v="492.85714285714289"/>
  </r>
  <r>
    <s v="NFX-101473"/>
    <x v="1472"/>
    <s v="Movie"/>
    <x v="5"/>
    <n v="2015"/>
    <s v="USA"/>
    <s v="2023-04-10"/>
    <n v="89"/>
    <s v="G"/>
    <n v="4.7"/>
    <n v="361.1"/>
    <s v="German"/>
    <s v="Ridley Scott"/>
    <s v="Jennifer Lawrence"/>
    <m/>
    <n v="194"/>
    <n v="330.1"/>
    <s v="Flop"/>
    <s v="Popular"/>
    <s v="Yes"/>
    <s v="High"/>
    <n v="136.10000000000002"/>
    <n v="170.15463917525776"/>
  </r>
  <r>
    <s v="NFX-101474"/>
    <x v="1473"/>
    <s v="Movie"/>
    <x v="2"/>
    <n v="2017"/>
    <s v="Canada"/>
    <s v="2022-05-17"/>
    <n v="130"/>
    <s v="16+"/>
    <n v="6.3"/>
    <n v="8.6"/>
    <s v="Korean"/>
    <s v="Steven Spielberg"/>
    <s v="Lee Jung-jae"/>
    <m/>
    <n v="123"/>
    <n v="425.2"/>
    <s v="Average"/>
    <s v="Normal"/>
    <s v="No"/>
    <s v="High"/>
    <n v="302.2"/>
    <n v="345.6910569105691"/>
  </r>
  <r>
    <s v="NFX-101475"/>
    <x v="1474"/>
    <s v="Movie"/>
    <x v="7"/>
    <n v="2017"/>
    <s v="Japan"/>
    <s v="2022-04-28"/>
    <n v="158"/>
    <s v="16+"/>
    <n v="5.7"/>
    <n v="468.5"/>
    <s v="Korean"/>
    <s v="Steven Spielberg"/>
    <s v="Shah Rukh Khan"/>
    <m/>
    <n v="55"/>
    <n v="99.1"/>
    <s v="Flop"/>
    <s v="Blockbuster"/>
    <s v="No"/>
    <s v="Low"/>
    <n v="44.099999999999994"/>
    <n v="180.18181818181819"/>
  </r>
  <r>
    <s v="NFX-101476"/>
    <x v="1475"/>
    <s v="Movie"/>
    <x v="9"/>
    <n v="2013"/>
    <s v="Australia"/>
    <s v="2020-01-03"/>
    <n v="168"/>
    <s v="PG"/>
    <n v="7.1"/>
    <n v="102.7"/>
    <s v="German"/>
    <s v="Anurag Kashyap"/>
    <s v="Leonardo DiCaprio"/>
    <m/>
    <n v="87"/>
    <n v="358.5"/>
    <s v="Average"/>
    <s v="Normal"/>
    <s v="Yes"/>
    <s v="Low"/>
    <n v="271.5"/>
    <n v="412.06896551724139"/>
  </r>
  <r>
    <s v="NFX-101477"/>
    <x v="1476"/>
    <s v="Movie"/>
    <x v="9"/>
    <n v="2017"/>
    <s v="Germany"/>
    <s v="2022-01-04"/>
    <n v="145"/>
    <s v="PG-13"/>
    <n v="9.1"/>
    <n v="566.6"/>
    <s v="English"/>
    <s v="Rajkumar Hirani"/>
    <s v="Tom Hardy"/>
    <m/>
    <n v="76"/>
    <n v="186.5"/>
    <s v="Hit"/>
    <s v="Blockbuster"/>
    <s v="No"/>
    <s v="Low"/>
    <n v="110.5"/>
    <n v="245.39473684210526"/>
  </r>
  <r>
    <s v="NFX-101478"/>
    <x v="1477"/>
    <s v="Movie"/>
    <x v="4"/>
    <n v="2005"/>
    <s v="USA"/>
    <s v="2023-06-24"/>
    <n v="90"/>
    <s v="PG-13"/>
    <n v="5.7"/>
    <n v="76.8"/>
    <s v="Hindi"/>
    <s v="Zoya Akhtar"/>
    <s v="Timothée Chalamet"/>
    <m/>
    <n v="194"/>
    <n v="756.7"/>
    <s v="Flop"/>
    <s v="Normal"/>
    <s v="No"/>
    <s v="High"/>
    <n v="562.70000000000005"/>
    <n v="390.05154639175259"/>
  </r>
  <r>
    <s v="NFX-101479"/>
    <x v="1478"/>
    <s v="Movie"/>
    <x v="4"/>
    <n v="2023"/>
    <s v="USA"/>
    <s v="2019-12-13"/>
    <n v="176"/>
    <s v="PG-13"/>
    <n v="7.4"/>
    <n v="185.4"/>
    <s v="French"/>
    <s v="James Cameron"/>
    <s v="Chris Evans"/>
    <m/>
    <n v="35"/>
    <n v="105.3"/>
    <s v="Average"/>
    <s v="Normal"/>
    <s v="No"/>
    <s v="Low"/>
    <n v="70.3"/>
    <n v="300.85714285714283"/>
  </r>
  <r>
    <s v="NFX-101480"/>
    <x v="1479"/>
    <s v="TV Show"/>
    <x v="2"/>
    <n v="2021"/>
    <s v="UK"/>
    <s v="2021-01-04"/>
    <n v="38"/>
    <s v="G"/>
    <n v="8.3000000000000007"/>
    <n v="585.4"/>
    <s v="Spanish"/>
    <s v="James Cameron"/>
    <s v="Lee Jung-jae"/>
    <n v="3"/>
    <n v="54"/>
    <n v="192.3"/>
    <s v="Hit"/>
    <s v="Blockbuster"/>
    <s v="Yes"/>
    <s v="Low"/>
    <n v="138.30000000000001"/>
    <n v="356.11111111111114"/>
  </r>
  <r>
    <s v="NFX-101481"/>
    <x v="1480"/>
    <s v="Movie"/>
    <x v="6"/>
    <n v="2018"/>
    <s v="UK"/>
    <s v="2019-07-26"/>
    <n v="145"/>
    <s v="18+"/>
    <n v="6.9"/>
    <n v="315.8"/>
    <s v="Korean"/>
    <s v="Greta Gerwig"/>
    <s v="Brad Pitt"/>
    <m/>
    <n v="141"/>
    <n v="619.79999999999995"/>
    <s v="Average"/>
    <s v="Popular"/>
    <s v="No"/>
    <s v="High"/>
    <n v="478.79999999999995"/>
    <n v="439.57446808510633"/>
  </r>
  <r>
    <s v="NFX-101482"/>
    <x v="1481"/>
    <s v="Movie"/>
    <x v="7"/>
    <n v="2000"/>
    <s v="UK"/>
    <s v="2024-04-29"/>
    <n v="180"/>
    <s v="16+"/>
    <n v="6.1"/>
    <n v="355.2"/>
    <s v="English"/>
    <s v="Zoya Akhtar"/>
    <s v="Robert Downey Jr."/>
    <m/>
    <n v="168"/>
    <n v="858.5"/>
    <s v="Average"/>
    <s v="Popular"/>
    <s v="No"/>
    <s v="High"/>
    <n v="690.5"/>
    <n v="511.01190476190476"/>
  </r>
  <r>
    <s v="NFX-101483"/>
    <x v="1482"/>
    <s v="TV Show"/>
    <x v="9"/>
    <n v="2021"/>
    <s v="South Korea"/>
    <s v="2018-08-24"/>
    <n v="57"/>
    <s v="PG"/>
    <n v="5"/>
    <n v="162.9"/>
    <s v="Hindi"/>
    <s v="Christopher Nolan"/>
    <s v="Deepika Padukone"/>
    <n v="4"/>
    <n v="58"/>
    <n v="248.1"/>
    <s v="Flop"/>
    <s v="Normal"/>
    <s v="Yes"/>
    <s v="Low"/>
    <n v="190.1"/>
    <n v="427.75862068965517"/>
  </r>
  <r>
    <s v="NFX-101484"/>
    <x v="1483"/>
    <s v="Movie"/>
    <x v="2"/>
    <n v="2017"/>
    <s v="Japan"/>
    <s v="2020-04-02"/>
    <n v="147"/>
    <s v="16+"/>
    <n v="7.2"/>
    <n v="77"/>
    <s v="Japanese"/>
    <s v="Guillermo del Toro"/>
    <s v="Timothée Chalamet"/>
    <m/>
    <n v="19"/>
    <n v="81.400000000000006"/>
    <s v="Average"/>
    <s v="Normal"/>
    <s v="No"/>
    <s v="Low"/>
    <n v="62.400000000000006"/>
    <n v="428.42105263157902"/>
  </r>
  <r>
    <s v="NFX-101485"/>
    <x v="1484"/>
    <s v="TV Show"/>
    <x v="5"/>
    <n v="2007"/>
    <s v="UK"/>
    <s v="2021-03-13"/>
    <n v="33"/>
    <s v="18+"/>
    <n v="9.4"/>
    <n v="73"/>
    <s v="French"/>
    <s v="Park Chan-wook"/>
    <s v="Deepika Padukone"/>
    <n v="7"/>
    <n v="98"/>
    <n v="194.9"/>
    <s v="Hit"/>
    <s v="Normal"/>
    <s v="No"/>
    <s v="Low"/>
    <n v="96.9"/>
    <n v="198.87755102040816"/>
  </r>
  <r>
    <s v="NFX-101486"/>
    <x v="1485"/>
    <s v="Movie"/>
    <x v="7"/>
    <n v="2023"/>
    <s v="India"/>
    <s v="2024-04-16"/>
    <n v="132"/>
    <s v="PG"/>
    <n v="6.3"/>
    <n v="94.8"/>
    <s v="Japanese"/>
    <s v="Quentin Tarantino"/>
    <s v="Song Kang-ho"/>
    <m/>
    <n v="114"/>
    <n v="505.8"/>
    <s v="Average"/>
    <s v="Normal"/>
    <s v="Yes"/>
    <s v="High"/>
    <n v="391.8"/>
    <n v="443.68421052631578"/>
  </r>
  <r>
    <s v="NFX-101487"/>
    <x v="1486"/>
    <s v="TV Show"/>
    <x v="3"/>
    <n v="2014"/>
    <s v="Japan"/>
    <s v="2018-10-09"/>
    <n v="45"/>
    <s v="G"/>
    <n v="5.5"/>
    <n v="217.2"/>
    <s v="Korean"/>
    <s v="Martin Scorsese"/>
    <s v="Scarlett Johansson"/>
    <n v="2"/>
    <n v="194"/>
    <n v="292.3"/>
    <s v="Flop"/>
    <s v="Popular"/>
    <s v="Yes"/>
    <s v="High"/>
    <n v="98.300000000000011"/>
    <n v="150.67010309278351"/>
  </r>
  <r>
    <s v="NFX-101488"/>
    <x v="1487"/>
    <s v="TV Show"/>
    <x v="0"/>
    <n v="2000"/>
    <s v="South Korea"/>
    <s v="2022-05-11"/>
    <n v="30"/>
    <s v="16+"/>
    <n v="6.4"/>
    <n v="395.1"/>
    <s v="Japanese"/>
    <s v="Sanjay Leela Bhansali"/>
    <s v="Timothée Chalamet"/>
    <n v="8"/>
    <n v="20"/>
    <n v="95.1"/>
    <s v="Average"/>
    <s v="Popular"/>
    <s v="No"/>
    <s v="Low"/>
    <n v="75.099999999999994"/>
    <n v="475.5"/>
  </r>
  <r>
    <s v="NFX-101489"/>
    <x v="1488"/>
    <s v="TV Show"/>
    <x v="9"/>
    <n v="2000"/>
    <s v="Germany"/>
    <s v="2019-05-19"/>
    <n v="56"/>
    <s v="PG"/>
    <n v="6.8"/>
    <n v="283.7"/>
    <s v="Spanish"/>
    <s v="Bong Joon-ho"/>
    <s v="Shah Rukh Khan"/>
    <n v="4"/>
    <n v="185"/>
    <n v="1112.9000000000001"/>
    <s v="Average"/>
    <s v="Popular"/>
    <s v="Yes"/>
    <s v="High"/>
    <n v="927.90000000000009"/>
    <n v="601.56756756756761"/>
  </r>
  <r>
    <s v="NFX-101490"/>
    <x v="1489"/>
    <s v="TV Show"/>
    <x v="4"/>
    <n v="2005"/>
    <s v="USA"/>
    <s v="2023-01-15"/>
    <n v="45"/>
    <s v="18+"/>
    <n v="6.5"/>
    <n v="473.7"/>
    <s v="English"/>
    <s v="Zoya Akhtar"/>
    <s v="Shah Rukh Khan"/>
    <n v="5"/>
    <n v="50"/>
    <n v="190.7"/>
    <s v="Average"/>
    <s v="Blockbuster"/>
    <s v="No"/>
    <s v="Low"/>
    <n v="140.69999999999999"/>
    <n v="381.4"/>
  </r>
  <r>
    <s v="NFX-101491"/>
    <x v="1490"/>
    <s v="TV Show"/>
    <x v="6"/>
    <n v="2000"/>
    <s v="UK"/>
    <s v="2023-07-29"/>
    <n v="42"/>
    <s v="PG"/>
    <n v="7.4"/>
    <n v="518.1"/>
    <s v="Hindi"/>
    <s v="Ridley Scott"/>
    <s v="Leonardo DiCaprio"/>
    <n v="1"/>
    <n v="106"/>
    <n v="504.9"/>
    <s v="Average"/>
    <s v="Blockbuster"/>
    <s v="Yes"/>
    <s v="High"/>
    <n v="398.9"/>
    <n v="476.32075471698113"/>
  </r>
  <r>
    <s v="NFX-101492"/>
    <x v="1491"/>
    <s v="Movie"/>
    <x v="5"/>
    <n v="2022"/>
    <s v="UK"/>
    <s v="2018-01-19"/>
    <n v="145"/>
    <s v="16+"/>
    <n v="8.1999999999999993"/>
    <n v="478.7"/>
    <s v="Korean"/>
    <s v="Martin Scorsese"/>
    <s v="Ryan Gosling"/>
    <m/>
    <n v="121"/>
    <n v="722.2"/>
    <s v="Hit"/>
    <s v="Blockbuster"/>
    <s v="No"/>
    <s v="High"/>
    <n v="601.20000000000005"/>
    <n v="596.85950413223145"/>
  </r>
  <r>
    <s v="NFX-101493"/>
    <x v="1492"/>
    <s v="TV Show"/>
    <x v="3"/>
    <n v="2013"/>
    <s v="UK"/>
    <s v="2023-07-10"/>
    <n v="37"/>
    <s v="18+"/>
    <n v="5.4"/>
    <n v="201.8"/>
    <s v="Spanish"/>
    <s v="Anurag Kashyap"/>
    <s v="Timothée Chalamet"/>
    <n v="4"/>
    <n v="144"/>
    <n v="627.20000000000005"/>
    <s v="Flop"/>
    <s v="Popular"/>
    <s v="No"/>
    <s v="High"/>
    <n v="483.20000000000005"/>
    <n v="435.5555555555556"/>
  </r>
  <r>
    <s v="NFX-101494"/>
    <x v="1493"/>
    <s v="TV Show"/>
    <x v="10"/>
    <n v="2000"/>
    <s v="Australia"/>
    <s v="2021-12-14"/>
    <n v="45"/>
    <s v="16+"/>
    <n v="7.7"/>
    <n v="546.29999999999995"/>
    <s v="English"/>
    <s v="Anurag Kashyap"/>
    <s v="Ranbir Kapoor"/>
    <n v="1"/>
    <n v="109"/>
    <n v="562.29999999999995"/>
    <s v="Average"/>
    <s v="Blockbuster"/>
    <s v="No"/>
    <s v="High"/>
    <n v="453.29999999999995"/>
    <n v="515.87155963302746"/>
  </r>
  <r>
    <s v="NFX-101495"/>
    <x v="1494"/>
    <s v="Movie"/>
    <x v="3"/>
    <n v="2017"/>
    <s v="France"/>
    <s v="2022-07-01"/>
    <n v="142"/>
    <s v="16+"/>
    <n v="6.5"/>
    <n v="582.79999999999995"/>
    <s v="Korean"/>
    <s v="Denis Villeneuve"/>
    <s v="Ryan Gosling"/>
    <m/>
    <n v="130"/>
    <n v="259.39999999999998"/>
    <s v="Average"/>
    <s v="Blockbuster"/>
    <s v="No"/>
    <s v="High"/>
    <n v="129.39999999999998"/>
    <n v="199.53846153846152"/>
  </r>
  <r>
    <s v="NFX-101496"/>
    <x v="1495"/>
    <s v="Movie"/>
    <x v="3"/>
    <n v="2025"/>
    <s v="USA"/>
    <s v="2022-04-20"/>
    <n v="113"/>
    <s v="G"/>
    <n v="4.8"/>
    <n v="216.9"/>
    <s v="English"/>
    <s v="Martin Scorsese"/>
    <s v="Emma Stone"/>
    <m/>
    <n v="168"/>
    <n v="808.9"/>
    <s v="Flop"/>
    <s v="Popular"/>
    <s v="Yes"/>
    <s v="High"/>
    <n v="640.9"/>
    <n v="481.48809523809524"/>
  </r>
  <r>
    <s v="NFX-101497"/>
    <x v="1496"/>
    <s v="Movie"/>
    <x v="10"/>
    <n v="2018"/>
    <s v="India"/>
    <s v="2021-04-05"/>
    <n v="100"/>
    <s v="18+"/>
    <n v="4.8"/>
    <n v="258.8"/>
    <s v="Korean"/>
    <s v="Zoya Akhtar"/>
    <s v="Shah Rukh Khan"/>
    <m/>
    <n v="161"/>
    <n v="819.6"/>
    <s v="Flop"/>
    <s v="Popular"/>
    <s v="No"/>
    <s v="High"/>
    <n v="658.6"/>
    <n v="509.06832298136646"/>
  </r>
  <r>
    <s v="NFX-101498"/>
    <x v="1497"/>
    <s v="Movie"/>
    <x v="5"/>
    <n v="2014"/>
    <s v="France"/>
    <s v="2019-10-28"/>
    <n v="127"/>
    <s v="PG-13"/>
    <n v="5.2"/>
    <n v="158.1"/>
    <s v="German"/>
    <s v="Christopher Nolan"/>
    <s v="Scarlett Johansson"/>
    <m/>
    <n v="169"/>
    <n v="686.5"/>
    <s v="Flop"/>
    <s v="Normal"/>
    <s v="No"/>
    <s v="High"/>
    <n v="517.5"/>
    <n v="406.2130177514793"/>
  </r>
  <r>
    <s v="NFX-101499"/>
    <x v="1498"/>
    <s v="Movie"/>
    <x v="7"/>
    <n v="2001"/>
    <s v="Germany"/>
    <s v="2023-08-31"/>
    <n v="136"/>
    <s v="PG"/>
    <n v="9.5"/>
    <n v="433.6"/>
    <s v="Japanese"/>
    <s v="James Cameron"/>
    <s v="Brad Pitt"/>
    <m/>
    <n v="50"/>
    <n v="117.5"/>
    <s v="Hit"/>
    <s v="Blockbuster"/>
    <s v="Yes"/>
    <s v="Low"/>
    <n v="67.5"/>
    <n v="235"/>
  </r>
  <r>
    <s v="NFX-101500"/>
    <x v="1499"/>
    <s v="Movie"/>
    <x v="5"/>
    <n v="2023"/>
    <s v="India"/>
    <s v="2022-09-02"/>
    <n v="90"/>
    <s v="16+"/>
    <n v="6.1"/>
    <n v="223.8"/>
    <s v="Japanese"/>
    <s v="Ridley Scott"/>
    <s v="Deepika Padukone"/>
    <m/>
    <n v="69"/>
    <n v="321"/>
    <s v="Average"/>
    <s v="Popular"/>
    <s v="No"/>
    <s v="Low"/>
    <n v="252"/>
    <n v="465.21739130434787"/>
  </r>
  <r>
    <m/>
    <x v="1500"/>
    <m/>
    <x v="11"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NFX-100001"/>
    <s v="Fading City 2"/>
    <s v="Movie"/>
    <x v="0"/>
    <n v="2016"/>
    <x v="0"/>
    <s v="2020-06-15"/>
    <n v="172"/>
    <s v="16+"/>
    <n v="9"/>
    <n v="441.1"/>
    <s v="Spanish"/>
    <s v="Anurag Kashyap"/>
    <s v="Ranbir Kapoor"/>
    <m/>
    <n v="31"/>
    <n v="195.2"/>
    <s v="Hit"/>
    <s v="Blockbuster"/>
    <s v="No"/>
    <s v="Low"/>
    <n v="164.2"/>
    <n v="629.67741935483866"/>
  </r>
  <r>
    <s v="NFX-100002"/>
    <s v="Crystal Frontier"/>
    <s v="Movie"/>
    <x v="1"/>
    <n v="2005"/>
    <x v="1"/>
    <s v="2022-06-04"/>
    <n v="143"/>
    <s v="PG-13"/>
    <n v="7.4"/>
    <n v="304.3"/>
    <s v="English"/>
    <s v="Quentin Tarantino"/>
    <s v="Jennifer Lawrence"/>
    <m/>
    <n v="63"/>
    <n v="143.5"/>
    <s v="Average"/>
    <s v="Popular"/>
    <s v="No"/>
    <s v="Low"/>
    <n v="80.5"/>
    <n v="227.77777777777777"/>
  </r>
  <r>
    <s v="NFX-100003"/>
    <s v="Last Journey 6"/>
    <s v="Movie"/>
    <x v="2"/>
    <n v="2018"/>
    <x v="2"/>
    <s v="2019-06-06"/>
    <n v="86"/>
    <s v="PG"/>
    <n v="7.9"/>
    <n v="88.6"/>
    <s v="French"/>
    <s v="Christopher Nolan"/>
    <s v="Timothée Chalamet"/>
    <m/>
    <n v="107"/>
    <n v="379.1"/>
    <s v="Average"/>
    <s v="Normal"/>
    <s v="Yes"/>
    <s v="High"/>
    <n v="272.10000000000002"/>
    <n v="354.29906542056074"/>
  </r>
  <r>
    <s v="NFX-100004"/>
    <s v="Crystal Odyssey"/>
    <s v="TV Show"/>
    <x v="3"/>
    <n v="2007"/>
    <x v="3"/>
    <s v="2022-01-02"/>
    <n v="49"/>
    <s v="G"/>
    <n v="5.9"/>
    <n v="313.2"/>
    <s v="Spanish"/>
    <s v="Christopher Nolan"/>
    <s v="Ranbir Kapoor"/>
    <n v="3"/>
    <n v="128"/>
    <n v="564.79999999999995"/>
    <s v="Flop"/>
    <s v="Popular"/>
    <s v="Yes"/>
    <s v="High"/>
    <n v="436.79999999999995"/>
    <n v="441.24999999999994"/>
  </r>
  <r>
    <s v="NFX-100005"/>
    <s v="Dark Archive 8"/>
    <s v="Movie"/>
    <x v="0"/>
    <n v="2007"/>
    <x v="2"/>
    <s v="2021-12-14"/>
    <n v="95"/>
    <s v="PG-13"/>
    <n v="4.5999999999999996"/>
    <n v="373.8"/>
    <s v="French"/>
    <s v="Rajkumar Hirani"/>
    <s v="Tom Hardy"/>
    <m/>
    <n v="86"/>
    <n v="168.7"/>
    <s v="Flop"/>
    <s v="Popular"/>
    <s v="No"/>
    <s v="Low"/>
    <n v="82.699999999999989"/>
    <n v="196.16279069767441"/>
  </r>
  <r>
    <s v="NFX-100006"/>
    <s v="Broken Empire"/>
    <s v="TV Show"/>
    <x v="4"/>
    <n v="2022"/>
    <x v="2"/>
    <s v="2023-11-15"/>
    <n v="55"/>
    <s v="PG-13"/>
    <n v="8.1999999999999993"/>
    <n v="134.9"/>
    <s v="English"/>
    <s v="Rajkumar Hirani"/>
    <s v="Brad Pitt"/>
    <n v="5"/>
    <n v="37"/>
    <n v="74.099999999999994"/>
    <s v="Hit"/>
    <s v="Normal"/>
    <s v="No"/>
    <s v="Low"/>
    <n v="37.099999999999994"/>
    <n v="200.27027027027026"/>
  </r>
  <r>
    <s v="NFX-100007"/>
    <s v="Broken Legacy"/>
    <s v="TV Show"/>
    <x v="5"/>
    <n v="2006"/>
    <x v="2"/>
    <s v="2022-06-28"/>
    <n v="35"/>
    <s v="G"/>
    <n v="5"/>
    <n v="446.5"/>
    <s v="Japanese"/>
    <s v="Park Chan-wook"/>
    <s v="Leonardo DiCaprio"/>
    <n v="1"/>
    <n v="102"/>
    <n v="133.6"/>
    <s v="Flop"/>
    <s v="Blockbuster"/>
    <s v="Yes"/>
    <s v="High"/>
    <n v="31.599999999999994"/>
    <n v="130.98039215686273"/>
  </r>
  <r>
    <s v="NFX-100008"/>
    <s v="Silent Horizon"/>
    <s v="Movie"/>
    <x v="0"/>
    <n v="2021"/>
    <x v="1"/>
    <s v="2018-03-28"/>
    <n v="125"/>
    <s v="G"/>
    <n v="8.9"/>
    <n v="497.1"/>
    <s v="Hindi"/>
    <s v="Steven Spielberg"/>
    <s v="Leonardo DiCaprio"/>
    <m/>
    <n v="170"/>
    <n v="468.9"/>
    <s v="Hit"/>
    <s v="Blockbuster"/>
    <s v="Yes"/>
    <s v="High"/>
    <n v="298.89999999999998"/>
    <n v="275.8235294117647"/>
  </r>
  <r>
    <s v="NFX-100009"/>
    <s v="Midnight Empire 5"/>
    <s v="TV Show"/>
    <x v="6"/>
    <n v="2005"/>
    <x v="4"/>
    <s v="2019-11-09"/>
    <n v="52"/>
    <s v="G"/>
    <n v="4.9000000000000004"/>
    <n v="590.4"/>
    <s v="Spanish"/>
    <s v="Guillermo del Toro"/>
    <s v="Chris Evans"/>
    <n v="2"/>
    <n v="38"/>
    <n v="141"/>
    <s v="Flop"/>
    <s v="Blockbuster"/>
    <s v="Yes"/>
    <s v="Low"/>
    <n v="103"/>
    <n v="371.0526315789474"/>
  </r>
  <r>
    <s v="NFX-100010"/>
    <s v="Dark Legacy"/>
    <s v="Movie"/>
    <x v="7"/>
    <n v="2014"/>
    <x v="5"/>
    <s v="2023-11-04"/>
    <n v="108"/>
    <s v="16+"/>
    <n v="6"/>
    <n v="229.3"/>
    <s v="French"/>
    <s v="Bong Joon-ho"/>
    <s v="Emma Stone"/>
    <m/>
    <n v="56"/>
    <n v="315.8"/>
    <s v="Average"/>
    <s v="Popular"/>
    <s v="No"/>
    <s v="Low"/>
    <n v="259.8"/>
    <n v="563.92857142857144"/>
  </r>
  <r>
    <s v="NFX-100011"/>
    <s v="Hidden Frontier 1"/>
    <s v="TV Show"/>
    <x v="2"/>
    <n v="2014"/>
    <x v="2"/>
    <s v="2019-01-27"/>
    <n v="34"/>
    <s v="16+"/>
    <n v="5.6"/>
    <n v="240.6"/>
    <s v="Korean"/>
    <s v="Guillermo del Toro"/>
    <s v="Song Kang-ho"/>
    <n v="1"/>
    <n v="13"/>
    <n v="32.200000000000003"/>
    <s v="Flop"/>
    <s v="Popular"/>
    <s v="No"/>
    <s v="Low"/>
    <n v="19.200000000000003"/>
    <n v="247.69230769230771"/>
  </r>
  <r>
    <s v="NFX-100012"/>
    <s v="Lost Storm"/>
    <s v="Movie"/>
    <x v="8"/>
    <n v="2013"/>
    <x v="6"/>
    <s v="2019-03-03"/>
    <n v="159"/>
    <s v="G"/>
    <n v="4.8"/>
    <n v="404.3"/>
    <s v="French"/>
    <s v="Denis Villeneuve"/>
    <s v="Leonardo DiCaprio"/>
    <m/>
    <n v="40"/>
    <n v="129.1"/>
    <s v="Flop"/>
    <s v="Blockbuster"/>
    <s v="Yes"/>
    <s v="Low"/>
    <n v="89.1"/>
    <n v="322.75"/>
  </r>
  <r>
    <s v="NFX-100013"/>
    <s v="Shadow Odyssey 1"/>
    <s v="Movie"/>
    <x v="8"/>
    <n v="2001"/>
    <x v="7"/>
    <s v="2023-04-12"/>
    <n v="117"/>
    <s v="PG"/>
    <n v="6"/>
    <n v="3.2"/>
    <s v="Spanish"/>
    <s v="Rajkumar Hirani"/>
    <s v="Ryan Gosling"/>
    <m/>
    <n v="53"/>
    <n v="104.9"/>
    <s v="Average"/>
    <s v="Normal"/>
    <s v="Yes"/>
    <s v="Low"/>
    <n v="51.900000000000006"/>
    <n v="197.9245283018868"/>
  </r>
  <r>
    <s v="NFX-100014"/>
    <s v="Last Legacy"/>
    <s v="TV Show"/>
    <x v="6"/>
    <n v="2023"/>
    <x v="1"/>
    <s v="2021-02-03"/>
    <n v="44"/>
    <s v="PG"/>
    <n v="4.9000000000000004"/>
    <n v="599.29999999999995"/>
    <s v="Japanese"/>
    <s v="Martin Scorsese"/>
    <s v="Ranbir Kapoor"/>
    <n v="3"/>
    <n v="6"/>
    <n v="33"/>
    <s v="Flop"/>
    <s v="Blockbuster"/>
    <s v="Yes"/>
    <s v="Low"/>
    <n v="27"/>
    <n v="550"/>
  </r>
  <r>
    <s v="NFX-100015"/>
    <s v="Last Frontier"/>
    <s v="Movie"/>
    <x v="6"/>
    <n v="2001"/>
    <x v="3"/>
    <s v="2020-07-27"/>
    <n v="111"/>
    <s v="18+"/>
    <n v="9.1999999999999993"/>
    <n v="506.4"/>
    <s v="English"/>
    <s v="Zoya Akhtar"/>
    <s v="Ryan Gosling"/>
    <m/>
    <n v="198"/>
    <n v="796.2"/>
    <s v="Hit"/>
    <s v="Blockbuster"/>
    <s v="No"/>
    <s v="High"/>
    <n v="598.20000000000005"/>
    <n v="402.12121212121212"/>
  </r>
  <r>
    <s v="NFX-100016"/>
    <s v="Last Frontier 2"/>
    <s v="TV Show"/>
    <x v="1"/>
    <n v="2023"/>
    <x v="5"/>
    <s v="2020-10-07"/>
    <n v="38"/>
    <s v="18+"/>
    <n v="6.5"/>
    <n v="289.3"/>
    <s v="Korean"/>
    <s v="Steven Spielberg"/>
    <s v="Tom Hardy"/>
    <n v="6"/>
    <n v="55"/>
    <n v="323.10000000000002"/>
    <s v="Average"/>
    <s v="Popular"/>
    <s v="No"/>
    <s v="Low"/>
    <n v="268.10000000000002"/>
    <n v="587.4545454545455"/>
  </r>
  <r>
    <s v="NFX-100017"/>
    <s v="Hidden Journey 6"/>
    <s v="Movie"/>
    <x v="9"/>
    <n v="2016"/>
    <x v="5"/>
    <s v="2023-10-22"/>
    <n v="158"/>
    <s v="18+"/>
    <n v="6"/>
    <n v="131.30000000000001"/>
    <s v="Korean"/>
    <s v="Anurag Kashyap"/>
    <s v="Deepika Padukone"/>
    <m/>
    <n v="83"/>
    <n v="176.8"/>
    <s v="Average"/>
    <s v="Normal"/>
    <s v="No"/>
    <s v="Low"/>
    <n v="93.800000000000011"/>
    <n v="213.01204819277109"/>
  </r>
  <r>
    <s v="NFX-100018"/>
    <s v="Burning Legacy"/>
    <s v="Movie"/>
    <x v="3"/>
    <n v="2017"/>
    <x v="8"/>
    <s v="2022-06-05"/>
    <n v="115"/>
    <s v="18+"/>
    <n v="5.6"/>
    <n v="332.9"/>
    <s v="Hindi"/>
    <s v="Sanjay Leela Bhansali"/>
    <s v="Timothée Chalamet"/>
    <m/>
    <n v="171"/>
    <n v="809.6"/>
    <s v="Flop"/>
    <s v="Popular"/>
    <s v="No"/>
    <s v="High"/>
    <n v="638.6"/>
    <n v="473.4502923976608"/>
  </r>
  <r>
    <s v="NFX-100019"/>
    <s v="Fading Horizon 1"/>
    <s v="Movie"/>
    <x v="8"/>
    <n v="2011"/>
    <x v="6"/>
    <s v="2024-06-25"/>
    <n v="113"/>
    <s v="PG-13"/>
    <n v="7.5"/>
    <n v="242.6"/>
    <s v="French"/>
    <s v="Bong Joon-ho"/>
    <s v="Robert Downey Jr."/>
    <m/>
    <n v="58"/>
    <n v="155"/>
    <s v="Average"/>
    <s v="Popular"/>
    <s v="No"/>
    <s v="Low"/>
    <n v="97"/>
    <n v="267.24137931034483"/>
  </r>
  <r>
    <s v="NFX-100020"/>
    <s v="Fading Echo 3"/>
    <s v="Movie"/>
    <x v="2"/>
    <n v="2015"/>
    <x v="2"/>
    <s v="2018-04-16"/>
    <n v="154"/>
    <s v="PG"/>
    <n v="6.9"/>
    <n v="83.4"/>
    <s v="Spanish"/>
    <s v="James Cameron"/>
    <s v="Ranbir Kapoor"/>
    <m/>
    <n v="175"/>
    <n v="428.2"/>
    <s v="Average"/>
    <s v="Normal"/>
    <s v="Yes"/>
    <s v="High"/>
    <n v="253.2"/>
    <n v="244.68571428571425"/>
  </r>
  <r>
    <s v="NFX-100021"/>
    <s v="Fading Valley"/>
    <s v="TV Show"/>
    <x v="1"/>
    <n v="2009"/>
    <x v="5"/>
    <s v="2018-05-26"/>
    <n v="35"/>
    <s v="PG"/>
    <n v="9.3000000000000007"/>
    <n v="587.79999999999995"/>
    <s v="Hindi"/>
    <s v="Bong Joon-ho"/>
    <s v="Chris Evans"/>
    <n v="5"/>
    <n v="47"/>
    <n v="76.8"/>
    <s v="Hit"/>
    <s v="Blockbuster"/>
    <s v="Yes"/>
    <s v="Low"/>
    <n v="29.799999999999997"/>
    <n v="163.40425531914892"/>
  </r>
  <r>
    <s v="NFX-100022"/>
    <s v="Secret Storm 7"/>
    <s v="Movie"/>
    <x v="3"/>
    <n v="2010"/>
    <x v="0"/>
    <s v="2018-06-21"/>
    <n v="125"/>
    <s v="G"/>
    <n v="5.6"/>
    <n v="271"/>
    <s v="Spanish"/>
    <s v="James Cameron"/>
    <s v="Emma Stone"/>
    <m/>
    <n v="104"/>
    <n v="318.60000000000002"/>
    <s v="Flop"/>
    <s v="Popular"/>
    <s v="Yes"/>
    <s v="High"/>
    <n v="214.60000000000002"/>
    <n v="306.34615384615387"/>
  </r>
  <r>
    <s v="NFX-100023"/>
    <s v="Secret Journey"/>
    <s v="Movie"/>
    <x v="10"/>
    <n v="2009"/>
    <x v="0"/>
    <s v="2022-05-17"/>
    <n v="119"/>
    <s v="16+"/>
    <n v="4.8"/>
    <n v="511.1"/>
    <s v="Japanese"/>
    <s v="Park Chan-wook"/>
    <s v="Emma Stone"/>
    <m/>
    <n v="64"/>
    <n v="97.1"/>
    <s v="Flop"/>
    <s v="Blockbuster"/>
    <s v="No"/>
    <s v="Low"/>
    <n v="33.099999999999994"/>
    <n v="151.71875"/>
  </r>
  <r>
    <s v="NFX-100024"/>
    <s v="Midnight Legacy 3"/>
    <s v="Movie"/>
    <x v="1"/>
    <n v="2007"/>
    <x v="6"/>
    <s v="2019-04-29"/>
    <n v="135"/>
    <s v="PG"/>
    <n v="6.1"/>
    <n v="555.70000000000005"/>
    <s v="French"/>
    <s v="Greta Gerwig"/>
    <s v="Song Kang-ho"/>
    <m/>
    <n v="122"/>
    <n v="615.70000000000005"/>
    <s v="Average"/>
    <s v="Blockbuster"/>
    <s v="Yes"/>
    <s v="High"/>
    <n v="493.70000000000005"/>
    <n v="504.67213114754105"/>
  </r>
  <r>
    <s v="NFX-100025"/>
    <s v="Last Protocol 3"/>
    <s v="Movie"/>
    <x v="4"/>
    <n v="2013"/>
    <x v="6"/>
    <s v="2022-01-18"/>
    <n v="101"/>
    <s v="16+"/>
    <n v="7.5"/>
    <n v="475.5"/>
    <s v="Japanese"/>
    <s v="James Cameron"/>
    <s v="Jennifer Lawrence"/>
    <m/>
    <n v="39"/>
    <n v="175.3"/>
    <s v="Average"/>
    <s v="Blockbuster"/>
    <s v="No"/>
    <s v="Low"/>
    <n v="136.30000000000001"/>
    <n v="449.4871794871795"/>
  </r>
  <r>
    <s v="NFX-100026"/>
    <s v="Last Frontier 8"/>
    <s v="TV Show"/>
    <x v="4"/>
    <n v="2010"/>
    <x v="1"/>
    <s v="2022-09-04"/>
    <n v="53"/>
    <s v="PG"/>
    <n v="9.1"/>
    <n v="165"/>
    <s v="French"/>
    <s v="Steven Spielberg"/>
    <s v="Scarlett Johansson"/>
    <n v="8"/>
    <n v="169"/>
    <n v="1000.7"/>
    <s v="Hit"/>
    <s v="Normal"/>
    <s v="Yes"/>
    <s v="High"/>
    <n v="831.7"/>
    <n v="592.13017751479299"/>
  </r>
  <r>
    <s v="NFX-100027"/>
    <s v="Rising Protocol"/>
    <s v="Movie"/>
    <x v="9"/>
    <n v="2024"/>
    <x v="8"/>
    <s v="2018-08-27"/>
    <n v="115"/>
    <s v="16+"/>
    <n v="8.4"/>
    <n v="196.7"/>
    <s v="English"/>
    <s v="Ridley Scott"/>
    <s v="Shah Rukh Khan"/>
    <m/>
    <n v="137"/>
    <n v="496.6"/>
    <s v="Hit"/>
    <s v="Normal"/>
    <s v="No"/>
    <s v="High"/>
    <n v="359.6"/>
    <n v="362.48175182481754"/>
  </r>
  <r>
    <s v="NFX-100028"/>
    <s v="Hidden Code"/>
    <s v="Movie"/>
    <x v="7"/>
    <n v="2019"/>
    <x v="3"/>
    <s v="2024-06-12"/>
    <n v="158"/>
    <s v="PG-13"/>
    <n v="9.3000000000000007"/>
    <n v="86.5"/>
    <s v="French"/>
    <s v="Rajkumar Hirani"/>
    <s v="Brad Pitt"/>
    <m/>
    <n v="89"/>
    <n v="255"/>
    <s v="Hit"/>
    <s v="Normal"/>
    <s v="No"/>
    <s v="Low"/>
    <n v="166"/>
    <n v="286.5168539325843"/>
  </r>
  <r>
    <s v="NFX-100029"/>
    <s v="Burning Chronicles 6"/>
    <s v="Movie"/>
    <x v="5"/>
    <n v="2022"/>
    <x v="8"/>
    <s v="2018-12-21"/>
    <n v="164"/>
    <s v="G"/>
    <n v="9.6"/>
    <n v="368.6"/>
    <s v="Japanese"/>
    <s v="Zoya Akhtar"/>
    <s v="Brad Pitt"/>
    <m/>
    <n v="48"/>
    <n v="88.3"/>
    <s v="Hit"/>
    <s v="Popular"/>
    <s v="Yes"/>
    <s v="Low"/>
    <n v="40.299999999999997"/>
    <n v="183.95833333333334"/>
  </r>
  <r>
    <s v="NFX-100030"/>
    <s v="Broken Chronicles"/>
    <s v="Movie"/>
    <x v="9"/>
    <n v="2021"/>
    <x v="0"/>
    <s v="2018-07-15"/>
    <n v="84"/>
    <s v="PG"/>
    <n v="9"/>
    <n v="234.7"/>
    <s v="Korean"/>
    <s v="James Cameron"/>
    <s v="Chris Evans"/>
    <m/>
    <n v="83"/>
    <n v="369.5"/>
    <s v="Hit"/>
    <s v="Popular"/>
    <s v="Yes"/>
    <s v="Low"/>
    <n v="286.5"/>
    <n v="445.18072289156629"/>
  </r>
  <r>
    <s v="NFX-100031"/>
    <s v="Shadow Journey 6"/>
    <s v="TV Show"/>
    <x v="5"/>
    <n v="2006"/>
    <x v="8"/>
    <s v="2023-10-18"/>
    <n v="41"/>
    <s v="G"/>
    <n v="8.4"/>
    <n v="210.1"/>
    <s v="German"/>
    <s v="James Cameron"/>
    <s v="Deepika Padukone"/>
    <n v="2"/>
    <n v="194"/>
    <n v="658.4"/>
    <s v="Hit"/>
    <s v="Popular"/>
    <s v="Yes"/>
    <s v="High"/>
    <n v="464.4"/>
    <n v="339.38144329896909"/>
  </r>
  <r>
    <s v="NFX-100032"/>
    <s v="Shadow Valley 1"/>
    <s v="Movie"/>
    <x v="5"/>
    <n v="2017"/>
    <x v="0"/>
    <s v="2024-05-29"/>
    <n v="152"/>
    <s v="PG-13"/>
    <n v="8.6"/>
    <n v="584.79999999999995"/>
    <s v="English"/>
    <s v="Denis Villeneuve"/>
    <s v="Jennifer Lawrence"/>
    <m/>
    <n v="134"/>
    <n v="583.20000000000005"/>
    <s v="Hit"/>
    <s v="Blockbuster"/>
    <s v="No"/>
    <s v="High"/>
    <n v="449.20000000000005"/>
    <n v="435.22388059701501"/>
  </r>
  <r>
    <s v="NFX-100033"/>
    <s v="Dark Frontier"/>
    <s v="Movie"/>
    <x v="10"/>
    <n v="2011"/>
    <x v="3"/>
    <s v="2020-08-18"/>
    <n v="145"/>
    <s v="PG"/>
    <n v="6.5"/>
    <n v="539.79999999999995"/>
    <s v="English"/>
    <s v="Sanjay Leela Bhansali"/>
    <s v="Lee Jung-jae"/>
    <m/>
    <n v="48"/>
    <n v="106.8"/>
    <s v="Average"/>
    <s v="Blockbuster"/>
    <s v="Yes"/>
    <s v="Low"/>
    <n v="58.8"/>
    <n v="222.5"/>
  </r>
  <r>
    <s v="NFX-100034"/>
    <s v="Secret Archive"/>
    <s v="TV Show"/>
    <x v="6"/>
    <n v="2017"/>
    <x v="9"/>
    <s v="2023-04-08"/>
    <n v="51"/>
    <s v="G"/>
    <n v="6.7"/>
    <n v="354.9"/>
    <s v="Korean"/>
    <s v="Martin Scorsese"/>
    <s v="Leonardo DiCaprio"/>
    <n v="7"/>
    <n v="51"/>
    <n v="306.10000000000002"/>
    <s v="Average"/>
    <s v="Popular"/>
    <s v="Yes"/>
    <s v="Low"/>
    <n v="255.10000000000002"/>
    <n v="600.1960784313726"/>
  </r>
  <r>
    <s v="NFX-100035"/>
    <s v="Crystal Journey"/>
    <s v="TV Show"/>
    <x v="6"/>
    <n v="2001"/>
    <x v="1"/>
    <s v="2022-02-17"/>
    <n v="60"/>
    <s v="18+"/>
    <n v="5.4"/>
    <n v="334.2"/>
    <s v="Hindi"/>
    <s v="Denis Villeneuve"/>
    <s v="Jennifer Lawrence"/>
    <n v="7"/>
    <n v="22"/>
    <n v="126.2"/>
    <s v="Flop"/>
    <s v="Popular"/>
    <s v="No"/>
    <s v="Low"/>
    <n v="104.2"/>
    <n v="573.63636363636363"/>
  </r>
  <r>
    <s v="NFX-100036"/>
    <s v="Fading Signal"/>
    <s v="TV Show"/>
    <x v="1"/>
    <n v="2009"/>
    <x v="8"/>
    <s v="2022-10-09"/>
    <n v="36"/>
    <s v="18+"/>
    <n v="7.2"/>
    <n v="496.9"/>
    <s v="Korean"/>
    <s v="Rajkumar Hirani"/>
    <s v="Timothée Chalamet"/>
    <n v="4"/>
    <n v="37"/>
    <n v="143"/>
    <s v="Average"/>
    <s v="Blockbuster"/>
    <s v="No"/>
    <s v="Low"/>
    <n v="106"/>
    <n v="386.48648648648651"/>
  </r>
  <r>
    <s v="NFX-100037"/>
    <s v="Lost Journey"/>
    <s v="Movie"/>
    <x v="2"/>
    <n v="2025"/>
    <x v="9"/>
    <s v="2023-08-06"/>
    <n v="134"/>
    <s v="16+"/>
    <n v="6"/>
    <n v="130"/>
    <s v="Korean"/>
    <s v="Denis Villeneuve"/>
    <s v="Emma Stone"/>
    <m/>
    <n v="169"/>
    <n v="844.6"/>
    <s v="Average"/>
    <s v="Normal"/>
    <s v="No"/>
    <s v="High"/>
    <n v="675.6"/>
    <n v="499.76331360946745"/>
  </r>
  <r>
    <s v="NFX-100038"/>
    <s v="Fading Chronicles"/>
    <s v="Movie"/>
    <x v="0"/>
    <n v="2006"/>
    <x v="8"/>
    <s v="2024-06-20"/>
    <n v="113"/>
    <s v="18+"/>
    <n v="5.4"/>
    <n v="53.1"/>
    <s v="Korean"/>
    <s v="Ridley Scott"/>
    <s v="Timothée Chalamet"/>
    <m/>
    <n v="29"/>
    <n v="103.3"/>
    <s v="Flop"/>
    <s v="Normal"/>
    <s v="No"/>
    <s v="Low"/>
    <n v="74.3"/>
    <n v="356.20689655172413"/>
  </r>
  <r>
    <s v="NFX-100039"/>
    <s v="Dark Signal"/>
    <s v="TV Show"/>
    <x v="3"/>
    <n v="2015"/>
    <x v="2"/>
    <s v="2023-06-04"/>
    <n v="41"/>
    <s v="PG"/>
    <n v="8.1999999999999993"/>
    <n v="309.89999999999998"/>
    <s v="French"/>
    <s v="Sanjay Leela Bhansali"/>
    <s v="Song Kang-ho"/>
    <n v="4"/>
    <n v="20"/>
    <n v="55.1"/>
    <s v="Hit"/>
    <s v="Popular"/>
    <s v="Yes"/>
    <s v="Low"/>
    <n v="35.1"/>
    <n v="275.5"/>
  </r>
  <r>
    <s v="NFX-100040"/>
    <s v="Last Journey"/>
    <s v="TV Show"/>
    <x v="8"/>
    <n v="2021"/>
    <x v="5"/>
    <s v="2021-04-13"/>
    <n v="60"/>
    <s v="G"/>
    <n v="6.2"/>
    <n v="150.6"/>
    <s v="English"/>
    <s v="Rajkumar Hirani"/>
    <s v="Scarlett Johansson"/>
    <n v="8"/>
    <n v="103"/>
    <n v="144.4"/>
    <s v="Average"/>
    <s v="Normal"/>
    <s v="Yes"/>
    <s v="High"/>
    <n v="41.400000000000006"/>
    <n v="140.19417475728156"/>
  </r>
  <r>
    <s v="NFX-100041"/>
    <s v="Silent Empire"/>
    <s v="Movie"/>
    <x v="7"/>
    <n v="2012"/>
    <x v="7"/>
    <s v="2024-07-04"/>
    <n v="174"/>
    <s v="PG"/>
    <n v="8.1999999999999993"/>
    <n v="578.70000000000005"/>
    <s v="German"/>
    <s v="Martin Scorsese"/>
    <s v="Tom Hardy"/>
    <m/>
    <n v="94"/>
    <n v="483.2"/>
    <s v="Hit"/>
    <s v="Blockbuster"/>
    <s v="Yes"/>
    <s v="Low"/>
    <n v="389.2"/>
    <n v="514.04255319148945"/>
  </r>
  <r>
    <s v="NFX-100042"/>
    <s v="Iron Legacy"/>
    <s v="TV Show"/>
    <x v="0"/>
    <n v="2003"/>
    <x v="5"/>
    <s v="2024-03-31"/>
    <n v="49"/>
    <s v="18+"/>
    <n v="8.5"/>
    <n v="153"/>
    <s v="Spanish"/>
    <s v="Zoya Akhtar"/>
    <s v="Tom Hardy"/>
    <n v="6"/>
    <n v="47"/>
    <n v="148.69999999999999"/>
    <s v="Hit"/>
    <s v="Normal"/>
    <s v="No"/>
    <s v="Low"/>
    <n v="101.69999999999999"/>
    <n v="316.38297872340422"/>
  </r>
  <r>
    <s v="NFX-100043"/>
    <s v="Hidden Frontier"/>
    <s v="Movie"/>
    <x v="1"/>
    <n v="2016"/>
    <x v="9"/>
    <s v="2020-07-05"/>
    <n v="102"/>
    <s v="PG-13"/>
    <n v="8.9"/>
    <n v="8.4"/>
    <s v="Spanish"/>
    <s v="James Cameron"/>
    <s v="Shah Rukh Khan"/>
    <m/>
    <n v="109"/>
    <n v="406.4"/>
    <s v="Hit"/>
    <s v="Normal"/>
    <s v="No"/>
    <s v="High"/>
    <n v="297.39999999999998"/>
    <n v="372.8440366972477"/>
  </r>
  <r>
    <s v="NFX-100044"/>
    <s v="Rising Signal"/>
    <s v="Movie"/>
    <x v="10"/>
    <n v="2022"/>
    <x v="3"/>
    <s v="2023-06-19"/>
    <n v="104"/>
    <s v="18+"/>
    <n v="8.3000000000000007"/>
    <n v="27"/>
    <s v="Spanish"/>
    <s v="Martin Scorsese"/>
    <s v="Ryan Gosling"/>
    <m/>
    <n v="96"/>
    <n v="615.6"/>
    <s v="Hit"/>
    <s v="Normal"/>
    <s v="No"/>
    <s v="Low"/>
    <n v="519.6"/>
    <n v="641.25"/>
  </r>
  <r>
    <s v="NFX-100045"/>
    <s v="Fading Frontier"/>
    <s v="Movie"/>
    <x v="7"/>
    <n v="2019"/>
    <x v="9"/>
    <s v="2018-10-11"/>
    <n v="114"/>
    <s v="PG"/>
    <n v="4.9000000000000004"/>
    <n v="121.2"/>
    <s v="Korean"/>
    <s v="Rajkumar Hirani"/>
    <s v="Chris Evans"/>
    <m/>
    <n v="80"/>
    <n v="261.10000000000002"/>
    <s v="Flop"/>
    <s v="Normal"/>
    <s v="Yes"/>
    <s v="Low"/>
    <n v="181.10000000000002"/>
    <n v="326.37500000000006"/>
  </r>
  <r>
    <s v="NFX-100046"/>
    <s v="Rising Storm"/>
    <s v="Movie"/>
    <x v="7"/>
    <n v="2019"/>
    <x v="4"/>
    <s v="2019-11-15"/>
    <n v="157"/>
    <s v="PG-13"/>
    <n v="6.4"/>
    <n v="345.5"/>
    <s v="German"/>
    <s v="Guillermo del Toro"/>
    <s v="Lee Jung-jae"/>
    <m/>
    <n v="139"/>
    <n v="280.60000000000002"/>
    <s v="Average"/>
    <s v="Popular"/>
    <s v="No"/>
    <s v="High"/>
    <n v="141.60000000000002"/>
    <n v="201.87050359712231"/>
  </r>
  <r>
    <s v="NFX-100047"/>
    <s v="Iron Chronicles"/>
    <s v="TV Show"/>
    <x v="3"/>
    <n v="2018"/>
    <x v="4"/>
    <s v="2018-07-09"/>
    <n v="43"/>
    <s v="G"/>
    <n v="5.0999999999999996"/>
    <n v="180.5"/>
    <s v="Hindi"/>
    <s v="Bong Joon-ho"/>
    <s v="Leonardo DiCaprio"/>
    <n v="5"/>
    <n v="157"/>
    <n v="200.3"/>
    <s v="Flop"/>
    <s v="Normal"/>
    <s v="Yes"/>
    <s v="High"/>
    <n v="43.300000000000011"/>
    <n v="127.57961783439491"/>
  </r>
  <r>
    <s v="NFX-100048"/>
    <s v="Lost Frontier 2"/>
    <s v="Movie"/>
    <x v="7"/>
    <n v="2011"/>
    <x v="4"/>
    <s v="2023-09-11"/>
    <n v="87"/>
    <s v="PG-13"/>
    <n v="8.8000000000000007"/>
    <n v="392.9"/>
    <s v="Korean"/>
    <s v="James Cameron"/>
    <s v="Timothée Chalamet"/>
    <m/>
    <n v="11"/>
    <n v="40.700000000000003"/>
    <s v="Hit"/>
    <s v="Popular"/>
    <s v="No"/>
    <s v="Low"/>
    <n v="29.700000000000003"/>
    <n v="370"/>
  </r>
  <r>
    <s v="NFX-100049"/>
    <s v="Secret Horizon 9"/>
    <s v="TV Show"/>
    <x v="4"/>
    <n v="2018"/>
    <x v="0"/>
    <s v="2021-07-30"/>
    <n v="51"/>
    <s v="PG-13"/>
    <n v="9.3000000000000007"/>
    <n v="536.20000000000005"/>
    <s v="Spanish"/>
    <s v="Ridley Scott"/>
    <s v="Scarlett Johansson"/>
    <n v="1"/>
    <n v="134"/>
    <n v="644.79999999999995"/>
    <s v="Hit"/>
    <s v="Blockbuster"/>
    <s v="No"/>
    <s v="High"/>
    <n v="510.79999999999995"/>
    <n v="481.19402985074623"/>
  </r>
  <r>
    <s v="NFX-100050"/>
    <s v="Silent Signal 9"/>
    <s v="Movie"/>
    <x v="7"/>
    <n v="2024"/>
    <x v="8"/>
    <s v="2021-05-13"/>
    <n v="155"/>
    <s v="18+"/>
    <n v="7.6"/>
    <n v="477"/>
    <s v="French"/>
    <s v="Guillermo del Toro"/>
    <s v="Brad Pitt"/>
    <m/>
    <n v="85"/>
    <n v="544.20000000000005"/>
    <s v="Average"/>
    <s v="Blockbuster"/>
    <s v="No"/>
    <s v="Low"/>
    <n v="459.20000000000005"/>
    <n v="640.23529411764719"/>
  </r>
  <r>
    <s v="NFX-100051"/>
    <s v="Shadow Frontier"/>
    <s v="Movie"/>
    <x v="9"/>
    <n v="2021"/>
    <x v="4"/>
    <s v="2019-09-30"/>
    <n v="149"/>
    <s v="18+"/>
    <n v="5.7"/>
    <n v="585.5"/>
    <s v="French"/>
    <s v="Guillermo del Toro"/>
    <s v="Scarlett Johansson"/>
    <m/>
    <n v="20"/>
    <n v="114.5"/>
    <s v="Flop"/>
    <s v="Blockbuster"/>
    <s v="No"/>
    <s v="Low"/>
    <n v="94.5"/>
    <n v="572.5"/>
  </r>
  <r>
    <s v="NFX-100052"/>
    <s v="Crystal Frontier 9"/>
    <s v="TV Show"/>
    <x v="10"/>
    <n v="2005"/>
    <x v="8"/>
    <s v="2022-12-04"/>
    <n v="40"/>
    <s v="PG-13"/>
    <n v="5.3"/>
    <n v="397.5"/>
    <s v="Hindi"/>
    <s v="Park Chan-wook"/>
    <s v="Lee Jung-jae"/>
    <n v="3"/>
    <n v="145"/>
    <n v="178.7"/>
    <s v="Flop"/>
    <s v="Popular"/>
    <s v="No"/>
    <s v="High"/>
    <n v="33.699999999999989"/>
    <n v="123.24137931034483"/>
  </r>
  <r>
    <s v="NFX-100053"/>
    <s v="Midnight Odyssey 8"/>
    <s v="TV Show"/>
    <x v="4"/>
    <n v="2010"/>
    <x v="9"/>
    <s v="2018-01-08"/>
    <n v="37"/>
    <s v="PG-13"/>
    <n v="8"/>
    <n v="42.7"/>
    <s v="Korean"/>
    <s v="Zoya Akhtar"/>
    <s v="Brad Pitt"/>
    <n v="5"/>
    <n v="140"/>
    <n v="838.8"/>
    <s v="Hit"/>
    <s v="Normal"/>
    <s v="No"/>
    <s v="High"/>
    <n v="698.8"/>
    <n v="599.14285714285711"/>
  </r>
  <r>
    <s v="NFX-100054"/>
    <s v="Rising Horizon"/>
    <s v="TV Show"/>
    <x v="9"/>
    <n v="2020"/>
    <x v="5"/>
    <s v="2023-05-28"/>
    <n v="39"/>
    <s v="PG-13"/>
    <n v="6"/>
    <n v="352"/>
    <s v="German"/>
    <s v="Rajkumar Hirani"/>
    <s v="Ranbir Kapoor"/>
    <n v="3"/>
    <n v="126"/>
    <n v="623.70000000000005"/>
    <s v="Average"/>
    <s v="Popular"/>
    <s v="No"/>
    <s v="High"/>
    <n v="497.70000000000005"/>
    <n v="495"/>
  </r>
  <r>
    <s v="NFX-100055"/>
    <s v="Secret Odyssey"/>
    <s v="Movie"/>
    <x v="4"/>
    <n v="2017"/>
    <x v="8"/>
    <s v="2018-08-04"/>
    <n v="116"/>
    <s v="G"/>
    <n v="8.3000000000000007"/>
    <n v="210.7"/>
    <s v="French"/>
    <s v="Steven Spielberg"/>
    <s v="Tom Hardy"/>
    <m/>
    <n v="104"/>
    <n v="458.8"/>
    <s v="Hit"/>
    <s v="Popular"/>
    <s v="Yes"/>
    <s v="High"/>
    <n v="354.8"/>
    <n v="441.15384615384619"/>
  </r>
  <r>
    <s v="NFX-100056"/>
    <s v="Burning Journey 9"/>
    <s v="Movie"/>
    <x v="1"/>
    <n v="2012"/>
    <x v="2"/>
    <s v="2023-05-07"/>
    <n v="174"/>
    <s v="G"/>
    <n v="5.4"/>
    <n v="345.7"/>
    <s v="English"/>
    <s v="Zoya Akhtar"/>
    <s v="Deepika Padukone"/>
    <m/>
    <n v="107"/>
    <n v="418.6"/>
    <s v="Flop"/>
    <s v="Popular"/>
    <s v="Yes"/>
    <s v="High"/>
    <n v="311.60000000000002"/>
    <n v="391.21495327102809"/>
  </r>
  <r>
    <s v="NFX-100057"/>
    <s v="Secret Valley"/>
    <s v="Movie"/>
    <x v="5"/>
    <n v="2006"/>
    <x v="4"/>
    <s v="2022-04-27"/>
    <n v="130"/>
    <s v="PG-13"/>
    <n v="9"/>
    <n v="152.80000000000001"/>
    <s v="Korean"/>
    <s v="Zoya Akhtar"/>
    <s v="Tom Hardy"/>
    <m/>
    <n v="161"/>
    <n v="250.5"/>
    <s v="Hit"/>
    <s v="Normal"/>
    <s v="No"/>
    <s v="High"/>
    <n v="89.5"/>
    <n v="155.59006211180125"/>
  </r>
  <r>
    <s v="NFX-100058"/>
    <s v="Shadow Journey"/>
    <s v="TV Show"/>
    <x v="5"/>
    <n v="2019"/>
    <x v="9"/>
    <s v="2022-02-24"/>
    <n v="60"/>
    <s v="16+"/>
    <n v="8.3000000000000007"/>
    <n v="343.5"/>
    <s v="Hindi"/>
    <s v="Ridley Scott"/>
    <s v="Chris Evans"/>
    <n v="5"/>
    <n v="131"/>
    <n v="365.7"/>
    <s v="Hit"/>
    <s v="Popular"/>
    <s v="No"/>
    <s v="High"/>
    <n v="234.7"/>
    <n v="279.16030534351142"/>
  </r>
  <r>
    <s v="NFX-100059"/>
    <s v="Fading Odyssey"/>
    <s v="Movie"/>
    <x v="1"/>
    <n v="2010"/>
    <x v="4"/>
    <s v="2022-02-21"/>
    <n v="160"/>
    <s v="PG-13"/>
    <n v="5.8"/>
    <n v="72.099999999999994"/>
    <s v="Japanese"/>
    <s v="Quentin Tarantino"/>
    <s v="Robert Downey Jr."/>
    <m/>
    <n v="151"/>
    <n v="638.4"/>
    <s v="Flop"/>
    <s v="Normal"/>
    <s v="No"/>
    <s v="High"/>
    <n v="487.4"/>
    <n v="422.78145695364236"/>
  </r>
  <r>
    <s v="NFX-100060"/>
    <s v="Shadow Horizon"/>
    <s v="TV Show"/>
    <x v="10"/>
    <n v="2020"/>
    <x v="1"/>
    <s v="2024-07-15"/>
    <n v="54"/>
    <s v="16+"/>
    <n v="4.8"/>
    <n v="225"/>
    <s v="German"/>
    <s v="Quentin Tarantino"/>
    <s v="Ryan Gosling"/>
    <n v="7"/>
    <n v="140"/>
    <n v="308.10000000000002"/>
    <s v="Flop"/>
    <s v="Popular"/>
    <s v="No"/>
    <s v="High"/>
    <n v="168.10000000000002"/>
    <n v="220.07142857142861"/>
  </r>
  <r>
    <s v="NFX-100061"/>
    <s v="Secret Valley 9"/>
    <s v="Movie"/>
    <x v="0"/>
    <n v="2006"/>
    <x v="8"/>
    <s v="2022-06-24"/>
    <n v="166"/>
    <s v="G"/>
    <n v="6.5"/>
    <n v="446.1"/>
    <s v="Korean"/>
    <s v="Park Chan-wook"/>
    <s v="Scarlett Johansson"/>
    <m/>
    <n v="6"/>
    <n v="9.9"/>
    <s v="Average"/>
    <s v="Blockbuster"/>
    <s v="Yes"/>
    <s v="Low"/>
    <n v="3.9000000000000004"/>
    <n v="165"/>
  </r>
  <r>
    <s v="NFX-100062"/>
    <s v="Iron Empire"/>
    <s v="Movie"/>
    <x v="9"/>
    <n v="2021"/>
    <x v="9"/>
    <s v="2023-07-24"/>
    <n v="157"/>
    <s v="PG"/>
    <n v="5.5"/>
    <n v="70.5"/>
    <s v="French"/>
    <s v="Zoya Akhtar"/>
    <s v="Timothée Chalamet"/>
    <m/>
    <n v="87"/>
    <n v="389.8"/>
    <s v="Flop"/>
    <s v="Normal"/>
    <s v="Yes"/>
    <s v="Low"/>
    <n v="302.8"/>
    <n v="448.04597701149424"/>
  </r>
  <r>
    <s v="NFX-100063"/>
    <s v="Broken Odyssey"/>
    <s v="Movie"/>
    <x v="8"/>
    <n v="2011"/>
    <x v="0"/>
    <s v="2019-05-22"/>
    <n v="131"/>
    <s v="PG"/>
    <n v="6.4"/>
    <n v="369.8"/>
    <s v="French"/>
    <s v="Zoya Akhtar"/>
    <s v="Song Kang-ho"/>
    <m/>
    <n v="156"/>
    <n v="336.2"/>
    <s v="Average"/>
    <s v="Popular"/>
    <s v="Yes"/>
    <s v="High"/>
    <n v="180.2"/>
    <n v="215.5128205128205"/>
  </r>
  <r>
    <s v="NFX-100064"/>
    <s v="Dark Chronicles"/>
    <s v="TV Show"/>
    <x v="2"/>
    <n v="2011"/>
    <x v="3"/>
    <s v="2019-05-04"/>
    <n v="48"/>
    <s v="G"/>
    <n v="8.5"/>
    <n v="135.9"/>
    <s v="Hindi"/>
    <s v="Bong Joon-ho"/>
    <s v="Ranbir Kapoor"/>
    <n v="8"/>
    <n v="46"/>
    <n v="236.1"/>
    <s v="Hit"/>
    <s v="Normal"/>
    <s v="Yes"/>
    <s v="Low"/>
    <n v="190.1"/>
    <n v="513.26086956521738"/>
  </r>
  <r>
    <s v="NFX-100065"/>
    <s v="Burning Signal 4"/>
    <s v="TV Show"/>
    <x v="7"/>
    <n v="2009"/>
    <x v="1"/>
    <s v="2019-04-24"/>
    <n v="50"/>
    <s v="18+"/>
    <n v="7.7"/>
    <n v="409.4"/>
    <s v="Korean"/>
    <s v="Zoya Akhtar"/>
    <s v="Robert Downey Jr."/>
    <n v="7"/>
    <n v="72"/>
    <n v="401.6"/>
    <s v="Average"/>
    <s v="Blockbuster"/>
    <s v="No"/>
    <s v="Low"/>
    <n v="329.6"/>
    <n v="557.77777777777783"/>
  </r>
  <r>
    <s v="NFX-100066"/>
    <s v="Fading Frontier 5"/>
    <s v="TV Show"/>
    <x v="4"/>
    <n v="2000"/>
    <x v="4"/>
    <s v="2024-02-12"/>
    <n v="47"/>
    <s v="18+"/>
    <n v="5.0999999999999996"/>
    <n v="255.5"/>
    <s v="Spanish"/>
    <s v="Bong Joon-ho"/>
    <s v="Brad Pitt"/>
    <n v="6"/>
    <n v="36"/>
    <n v="200.4"/>
    <s v="Flop"/>
    <s v="Popular"/>
    <s v="No"/>
    <s v="Low"/>
    <n v="164.4"/>
    <n v="556.66666666666663"/>
  </r>
  <r>
    <s v="NFX-100067"/>
    <s v="Dark Empire"/>
    <s v="TV Show"/>
    <x v="0"/>
    <n v="2025"/>
    <x v="4"/>
    <s v="2021-09-03"/>
    <n v="57"/>
    <s v="18+"/>
    <n v="7.5"/>
    <n v="218.8"/>
    <s v="Japanese"/>
    <s v="James Cameron"/>
    <s v="Robert Downey Jr."/>
    <n v="3"/>
    <n v="146"/>
    <n v="855.5"/>
    <s v="Average"/>
    <s v="Popular"/>
    <s v="No"/>
    <s v="High"/>
    <n v="709.5"/>
    <n v="585.95890410958907"/>
  </r>
  <r>
    <s v="NFX-100068"/>
    <s v="Iron Archive"/>
    <s v="Movie"/>
    <x v="7"/>
    <n v="2018"/>
    <x v="6"/>
    <s v="2023-03-18"/>
    <n v="144"/>
    <s v="PG-13"/>
    <n v="6.6"/>
    <n v="163.4"/>
    <s v="French"/>
    <s v="Christopher Nolan"/>
    <s v="Timothée Chalamet"/>
    <m/>
    <n v="169"/>
    <n v="894.3"/>
    <s v="Average"/>
    <s v="Normal"/>
    <s v="No"/>
    <s v="High"/>
    <n v="725.3"/>
    <n v="529.17159763313612"/>
  </r>
  <r>
    <s v="NFX-100069"/>
    <s v="Shadow Archive 8"/>
    <s v="Movie"/>
    <x v="7"/>
    <n v="2003"/>
    <x v="2"/>
    <s v="2022-05-17"/>
    <n v="84"/>
    <s v="16+"/>
    <n v="5.7"/>
    <n v="484.3"/>
    <s v="Korean"/>
    <s v="Greta Gerwig"/>
    <s v="Emma Stone"/>
    <m/>
    <n v="27"/>
    <n v="97"/>
    <s v="Flop"/>
    <s v="Blockbuster"/>
    <s v="No"/>
    <s v="Low"/>
    <n v="70"/>
    <n v="359.25925925925924"/>
  </r>
  <r>
    <s v="NFX-100070"/>
    <s v="Shadow Chronicles"/>
    <s v="TV Show"/>
    <x v="7"/>
    <n v="2002"/>
    <x v="5"/>
    <s v="2022-10-31"/>
    <n v="37"/>
    <s v="PG"/>
    <n v="9.4"/>
    <n v="73.7"/>
    <s v="Japanese"/>
    <s v="Zoya Akhtar"/>
    <s v="Leonardo DiCaprio"/>
    <n v="5"/>
    <n v="118"/>
    <n v="705.8"/>
    <s v="Hit"/>
    <s v="Normal"/>
    <s v="Yes"/>
    <s v="High"/>
    <n v="587.79999999999995"/>
    <n v="598.13559322033893"/>
  </r>
  <r>
    <s v="NFX-100071"/>
    <s v="Burning Code"/>
    <s v="Movie"/>
    <x v="3"/>
    <n v="2021"/>
    <x v="7"/>
    <s v="2019-11-14"/>
    <n v="168"/>
    <s v="PG"/>
    <n v="5.2"/>
    <n v="232.1"/>
    <s v="Hindi"/>
    <s v="Zoya Akhtar"/>
    <s v="Song Kang-ho"/>
    <m/>
    <n v="171"/>
    <n v="974.2"/>
    <s v="Flop"/>
    <s v="Popular"/>
    <s v="Yes"/>
    <s v="High"/>
    <n v="803.2"/>
    <n v="569.70760233918134"/>
  </r>
  <r>
    <s v="NFX-100072"/>
    <s v="Hidden Archive"/>
    <s v="TV Show"/>
    <x v="10"/>
    <n v="2014"/>
    <x v="3"/>
    <s v="2020-01-21"/>
    <n v="32"/>
    <s v="18+"/>
    <n v="4.8"/>
    <n v="88.6"/>
    <s v="German"/>
    <s v="Ridley Scott"/>
    <s v="Shah Rukh Khan"/>
    <n v="6"/>
    <n v="71"/>
    <n v="419.7"/>
    <s v="Flop"/>
    <s v="Normal"/>
    <s v="No"/>
    <s v="Low"/>
    <n v="348.7"/>
    <n v="591.12676056338023"/>
  </r>
  <r>
    <s v="NFX-100073"/>
    <s v="Iron Odyssey"/>
    <s v="Movie"/>
    <x v="10"/>
    <n v="2014"/>
    <x v="6"/>
    <s v="2024-06-21"/>
    <n v="142"/>
    <s v="18+"/>
    <n v="5.5"/>
    <n v="574.6"/>
    <s v="Korean"/>
    <s v="Guillermo del Toro"/>
    <s v="Ranbir Kapoor"/>
    <m/>
    <n v="61"/>
    <n v="237.8"/>
    <s v="Flop"/>
    <s v="Blockbuster"/>
    <s v="No"/>
    <s v="Low"/>
    <n v="176.8"/>
    <n v="389.83606557377055"/>
  </r>
  <r>
    <s v="NFX-100074"/>
    <s v="Dark Odyssey 7"/>
    <s v="TV Show"/>
    <x v="6"/>
    <n v="2007"/>
    <x v="7"/>
    <s v="2018-08-23"/>
    <n v="57"/>
    <s v="G"/>
    <n v="8.4"/>
    <n v="448.4"/>
    <s v="French"/>
    <s v="James Cameron"/>
    <s v="Brad Pitt"/>
    <n v="2"/>
    <n v="169"/>
    <n v="213.7"/>
    <s v="Hit"/>
    <s v="Blockbuster"/>
    <s v="Yes"/>
    <s v="High"/>
    <n v="44.699999999999989"/>
    <n v="126.44970414201183"/>
  </r>
  <r>
    <s v="NFX-100075"/>
    <s v="Iron Valley 3"/>
    <s v="TV Show"/>
    <x v="6"/>
    <n v="2024"/>
    <x v="0"/>
    <s v="2022-05-13"/>
    <n v="57"/>
    <s v="16+"/>
    <n v="7.6"/>
    <n v="216.9"/>
    <s v="English"/>
    <s v="Quentin Tarantino"/>
    <s v="Song Kang-ho"/>
    <n v="3"/>
    <n v="67"/>
    <n v="431.7"/>
    <s v="Average"/>
    <s v="Popular"/>
    <s v="No"/>
    <s v="Low"/>
    <n v="364.7"/>
    <n v="644.32835820895514"/>
  </r>
  <r>
    <s v="NFX-100076"/>
    <s v="Golden Valley 3"/>
    <s v="TV Show"/>
    <x v="3"/>
    <n v="2007"/>
    <x v="2"/>
    <s v="2019-10-09"/>
    <n v="35"/>
    <s v="18+"/>
    <n v="4.9000000000000004"/>
    <n v="209.9"/>
    <s v="German"/>
    <s v="James Cameron"/>
    <s v="Chris Evans"/>
    <n v="4"/>
    <n v="112"/>
    <n v="265.10000000000002"/>
    <s v="Flop"/>
    <s v="Popular"/>
    <s v="No"/>
    <s v="High"/>
    <n v="153.10000000000002"/>
    <n v="236.69642857142858"/>
  </r>
  <r>
    <s v="NFX-100077"/>
    <s v="Burning Horizon"/>
    <s v="TV Show"/>
    <x v="3"/>
    <n v="2004"/>
    <x v="8"/>
    <s v="2020-08-09"/>
    <n v="40"/>
    <s v="18+"/>
    <n v="7.9"/>
    <n v="36.5"/>
    <s v="French"/>
    <s v="Park Chan-wook"/>
    <s v="Robert Downey Jr."/>
    <n v="5"/>
    <n v="114"/>
    <n v="573.9"/>
    <s v="Average"/>
    <s v="Normal"/>
    <s v="No"/>
    <s v="High"/>
    <n v="459.9"/>
    <n v="503.4210526315789"/>
  </r>
  <r>
    <s v="NFX-100078"/>
    <s v="Broken Horizon 2"/>
    <s v="TV Show"/>
    <x v="7"/>
    <n v="2019"/>
    <x v="2"/>
    <s v="2023-08-18"/>
    <n v="47"/>
    <s v="PG"/>
    <n v="7.3"/>
    <n v="52.6"/>
    <s v="Spanish"/>
    <s v="Steven Spielberg"/>
    <s v="Ranbir Kapoor"/>
    <n v="2"/>
    <n v="153"/>
    <n v="636.1"/>
    <s v="Average"/>
    <s v="Normal"/>
    <s v="Yes"/>
    <s v="High"/>
    <n v="483.1"/>
    <n v="415.75163398692814"/>
  </r>
  <r>
    <s v="NFX-100079"/>
    <s v="Shadow City 6"/>
    <s v="TV Show"/>
    <x v="9"/>
    <n v="2002"/>
    <x v="6"/>
    <s v="2019-04-03"/>
    <n v="51"/>
    <s v="16+"/>
    <n v="8.1999999999999993"/>
    <n v="201.7"/>
    <s v="Japanese"/>
    <s v="Anurag Kashyap"/>
    <s v="Chris Evans"/>
    <n v="8"/>
    <n v="60"/>
    <n v="162.30000000000001"/>
    <s v="Hit"/>
    <s v="Popular"/>
    <s v="No"/>
    <s v="Low"/>
    <n v="102.30000000000001"/>
    <n v="270.5"/>
  </r>
  <r>
    <s v="NFX-100080"/>
    <s v="Shadow Archive 3"/>
    <s v="TV Show"/>
    <x v="10"/>
    <n v="2000"/>
    <x v="0"/>
    <s v="2018-08-20"/>
    <n v="60"/>
    <s v="G"/>
    <n v="5.7"/>
    <n v="89.5"/>
    <s v="Spanish"/>
    <s v="Park Chan-wook"/>
    <s v="Deepika Padukone"/>
    <n v="8"/>
    <n v="76"/>
    <n v="433.9"/>
    <s v="Flop"/>
    <s v="Normal"/>
    <s v="Yes"/>
    <s v="Low"/>
    <n v="357.9"/>
    <n v="570.92105263157885"/>
  </r>
  <r>
    <s v="NFX-100081"/>
    <s v="Dark Odyssey 9"/>
    <s v="Movie"/>
    <x v="7"/>
    <n v="2006"/>
    <x v="3"/>
    <s v="2024-05-10"/>
    <n v="101"/>
    <s v="18+"/>
    <n v="6.8"/>
    <n v="214"/>
    <s v="Hindi"/>
    <s v="Guillermo del Toro"/>
    <s v="Ranbir Kapoor"/>
    <m/>
    <n v="143"/>
    <n v="184.3"/>
    <s v="Average"/>
    <s v="Popular"/>
    <s v="No"/>
    <s v="High"/>
    <n v="41.300000000000011"/>
    <n v="128.88111888111888"/>
  </r>
  <r>
    <s v="NFX-100082"/>
    <s v="Lost Storm 7"/>
    <s v="Movie"/>
    <x v="4"/>
    <n v="2017"/>
    <x v="2"/>
    <s v="2021-06-04"/>
    <n v="135"/>
    <s v="PG"/>
    <n v="8.8000000000000007"/>
    <n v="302.39999999999998"/>
    <s v="Korean"/>
    <s v="Ridley Scott"/>
    <s v="Leonardo DiCaprio"/>
    <m/>
    <n v="131"/>
    <n v="822.3"/>
    <s v="Hit"/>
    <s v="Popular"/>
    <s v="Yes"/>
    <s v="High"/>
    <n v="691.3"/>
    <n v="627.70992366412213"/>
  </r>
  <r>
    <s v="NFX-100083"/>
    <s v="Silent Legacy"/>
    <s v="TV Show"/>
    <x v="1"/>
    <n v="2021"/>
    <x v="6"/>
    <s v="2022-08-22"/>
    <n v="41"/>
    <s v="PG"/>
    <n v="7.5"/>
    <n v="122.5"/>
    <s v="German"/>
    <s v="Anurag Kashyap"/>
    <s v="Chris Evans"/>
    <n v="5"/>
    <n v="175"/>
    <n v="706.7"/>
    <s v="Average"/>
    <s v="Normal"/>
    <s v="Yes"/>
    <s v="High"/>
    <n v="531.70000000000005"/>
    <n v="403.82857142857142"/>
  </r>
  <r>
    <s v="NFX-100084"/>
    <s v="Fading Empire 8"/>
    <s v="Movie"/>
    <x v="5"/>
    <n v="2003"/>
    <x v="2"/>
    <s v="2022-02-02"/>
    <n v="123"/>
    <s v="PG"/>
    <n v="7.7"/>
    <n v="379.4"/>
    <s v="Hindi"/>
    <s v="Rajkumar Hirani"/>
    <s v="Shah Rukh Khan"/>
    <m/>
    <n v="13"/>
    <n v="34.5"/>
    <s v="Average"/>
    <s v="Popular"/>
    <s v="Yes"/>
    <s v="Low"/>
    <n v="21.5"/>
    <n v="265.38461538461536"/>
  </r>
  <r>
    <s v="NFX-100085"/>
    <s v="Secret Horizon 2"/>
    <s v="Movie"/>
    <x v="6"/>
    <n v="2020"/>
    <x v="8"/>
    <s v="2021-09-12"/>
    <n v="171"/>
    <s v="PG-13"/>
    <n v="7.2"/>
    <n v="464.8"/>
    <s v="English"/>
    <s v="Guillermo del Toro"/>
    <s v="Brad Pitt"/>
    <m/>
    <n v="125"/>
    <n v="294.8"/>
    <s v="Average"/>
    <s v="Blockbuster"/>
    <s v="No"/>
    <s v="High"/>
    <n v="169.8"/>
    <n v="235.84"/>
  </r>
  <r>
    <s v="NFX-100086"/>
    <s v="Golden Valley"/>
    <s v="TV Show"/>
    <x v="8"/>
    <n v="2001"/>
    <x v="1"/>
    <s v="2019-04-17"/>
    <n v="31"/>
    <s v="18+"/>
    <n v="8.6999999999999993"/>
    <n v="182.2"/>
    <s v="English"/>
    <s v="Zoya Akhtar"/>
    <s v="Ryan Gosling"/>
    <n v="5"/>
    <n v="126"/>
    <n v="331.6"/>
    <s v="Hit"/>
    <s v="Normal"/>
    <s v="No"/>
    <s v="High"/>
    <n v="205.60000000000002"/>
    <n v="263.17460317460319"/>
  </r>
  <r>
    <s v="NFX-100087"/>
    <s v="Golden Protocol"/>
    <s v="TV Show"/>
    <x v="8"/>
    <n v="2024"/>
    <x v="9"/>
    <s v="2019-01-22"/>
    <n v="50"/>
    <s v="PG-13"/>
    <n v="5.5"/>
    <n v="106.4"/>
    <s v="Korean"/>
    <s v="Ridley Scott"/>
    <s v="Robert Downey Jr."/>
    <n v="5"/>
    <n v="100"/>
    <n v="429.2"/>
    <s v="Flop"/>
    <s v="Normal"/>
    <s v="No"/>
    <s v="High"/>
    <n v="329.2"/>
    <n v="429.2"/>
  </r>
  <r>
    <s v="NFX-100088"/>
    <s v="Dark Journey 1"/>
    <s v="Movie"/>
    <x v="7"/>
    <n v="2002"/>
    <x v="8"/>
    <s v="2021-12-14"/>
    <n v="145"/>
    <s v="G"/>
    <n v="6.1"/>
    <n v="103.8"/>
    <s v="English"/>
    <s v="Anurag Kashyap"/>
    <s v="Song Kang-ho"/>
    <m/>
    <n v="190"/>
    <n v="391"/>
    <s v="Average"/>
    <s v="Normal"/>
    <s v="Yes"/>
    <s v="High"/>
    <n v="201"/>
    <n v="205.78947368421052"/>
  </r>
  <r>
    <s v="NFX-100089"/>
    <s v="Broken Horizon 5"/>
    <s v="Movie"/>
    <x v="8"/>
    <n v="2004"/>
    <x v="3"/>
    <s v="2024-05-15"/>
    <n v="142"/>
    <s v="16+"/>
    <n v="6.3"/>
    <n v="504.6"/>
    <s v="Japanese"/>
    <s v="Bong Joon-ho"/>
    <s v="Chris Evans"/>
    <m/>
    <n v="160"/>
    <n v="808.8"/>
    <s v="Average"/>
    <s v="Blockbuster"/>
    <s v="No"/>
    <s v="High"/>
    <n v="648.79999999999995"/>
    <n v="505.5"/>
  </r>
  <r>
    <s v="NFX-100090"/>
    <s v="Crystal Protocol"/>
    <s v="Movie"/>
    <x v="0"/>
    <n v="2019"/>
    <x v="8"/>
    <s v="2021-08-03"/>
    <n v="149"/>
    <s v="G"/>
    <n v="5.6"/>
    <n v="134.69999999999999"/>
    <s v="Spanish"/>
    <s v="Sanjay Leela Bhansali"/>
    <s v="Brad Pitt"/>
    <m/>
    <n v="18"/>
    <n v="52.7"/>
    <s v="Flop"/>
    <s v="Normal"/>
    <s v="Yes"/>
    <s v="Low"/>
    <n v="34.700000000000003"/>
    <n v="292.77777777777783"/>
  </r>
  <r>
    <s v="NFX-100091"/>
    <s v="Hidden Horizon"/>
    <s v="TV Show"/>
    <x v="2"/>
    <n v="2005"/>
    <x v="9"/>
    <s v="2019-02-20"/>
    <n v="39"/>
    <s v="G"/>
    <n v="6.2"/>
    <n v="366.2"/>
    <s v="French"/>
    <s v="Park Chan-wook"/>
    <s v="Emma Stone"/>
    <n v="7"/>
    <n v="5"/>
    <n v="19.600000000000001"/>
    <s v="Average"/>
    <s v="Popular"/>
    <s v="Yes"/>
    <s v="Low"/>
    <n v="14.600000000000001"/>
    <n v="392.00000000000006"/>
  </r>
  <r>
    <s v="NFX-100092"/>
    <s v="Burning Echo 5"/>
    <s v="Movie"/>
    <x v="1"/>
    <n v="2020"/>
    <x v="1"/>
    <s v="2022-05-04"/>
    <n v="96"/>
    <s v="PG"/>
    <n v="8.5"/>
    <n v="232.9"/>
    <s v="Japanese"/>
    <s v="Rajkumar Hirani"/>
    <s v="Shah Rukh Khan"/>
    <m/>
    <n v="114"/>
    <n v="170"/>
    <s v="Hit"/>
    <s v="Popular"/>
    <s v="Yes"/>
    <s v="High"/>
    <n v="56"/>
    <n v="149.12280701754386"/>
  </r>
  <r>
    <s v="NFX-100093"/>
    <s v="Hidden Protocol 2"/>
    <s v="TV Show"/>
    <x v="3"/>
    <n v="2015"/>
    <x v="3"/>
    <s v="2020-01-16"/>
    <n v="54"/>
    <s v="PG-13"/>
    <n v="7.2"/>
    <n v="61.3"/>
    <s v="English"/>
    <s v="Christopher Nolan"/>
    <s v="Emma Stone"/>
    <n v="4"/>
    <n v="8"/>
    <n v="24.6"/>
    <s v="Average"/>
    <s v="Normal"/>
    <s v="No"/>
    <s v="Low"/>
    <n v="16.600000000000001"/>
    <n v="307.5"/>
  </r>
  <r>
    <s v="NFX-100094"/>
    <s v="Shadow Frontier 4"/>
    <s v="TV Show"/>
    <x v="5"/>
    <n v="2008"/>
    <x v="5"/>
    <s v="2019-03-22"/>
    <n v="60"/>
    <s v="18+"/>
    <n v="4.5"/>
    <n v="157.30000000000001"/>
    <s v="Korean"/>
    <s v="James Cameron"/>
    <s v="Song Kang-ho"/>
    <n v="4"/>
    <n v="64"/>
    <n v="255.6"/>
    <s v="Flop"/>
    <s v="Normal"/>
    <s v="No"/>
    <s v="Low"/>
    <n v="191.6"/>
    <n v="399.375"/>
  </r>
  <r>
    <s v="NFX-100095"/>
    <s v="Midnight Valley 3"/>
    <s v="Movie"/>
    <x v="5"/>
    <n v="2020"/>
    <x v="9"/>
    <s v="2020-05-20"/>
    <n v="132"/>
    <s v="18+"/>
    <n v="7.5"/>
    <n v="504.5"/>
    <s v="Japanese"/>
    <s v="Denis Villeneuve"/>
    <s v="Scarlett Johansson"/>
    <m/>
    <n v="160"/>
    <n v="603.1"/>
    <s v="Average"/>
    <s v="Blockbuster"/>
    <s v="No"/>
    <s v="High"/>
    <n v="443.1"/>
    <n v="376.9375"/>
  </r>
  <r>
    <s v="NFX-100096"/>
    <s v="Last Frontier 4"/>
    <s v="Movie"/>
    <x v="5"/>
    <n v="2015"/>
    <x v="7"/>
    <s v="2022-04-22"/>
    <n v="96"/>
    <s v="16+"/>
    <n v="6"/>
    <n v="392.8"/>
    <s v="English"/>
    <s v="Denis Villeneuve"/>
    <s v="Brad Pitt"/>
    <m/>
    <n v="31"/>
    <n v="196.1"/>
    <s v="Average"/>
    <s v="Popular"/>
    <s v="No"/>
    <s v="Low"/>
    <n v="165.1"/>
    <n v="632.58064516129025"/>
  </r>
  <r>
    <s v="NFX-100097"/>
    <s v="Last Valley 4"/>
    <s v="Movie"/>
    <x v="4"/>
    <n v="2008"/>
    <x v="1"/>
    <s v="2023-02-02"/>
    <n v="118"/>
    <s v="16+"/>
    <n v="8.8000000000000007"/>
    <n v="214.5"/>
    <s v="Korean"/>
    <s v="Sanjay Leela Bhansali"/>
    <s v="Brad Pitt"/>
    <m/>
    <n v="96"/>
    <n v="600.6"/>
    <s v="Hit"/>
    <s v="Popular"/>
    <s v="No"/>
    <s v="Low"/>
    <n v="504.6"/>
    <n v="625.625"/>
  </r>
  <r>
    <s v="NFX-100098"/>
    <s v="Golden Horizon 5"/>
    <s v="TV Show"/>
    <x v="10"/>
    <n v="2023"/>
    <x v="4"/>
    <s v="2022-07-29"/>
    <n v="32"/>
    <s v="18+"/>
    <n v="8.1"/>
    <n v="485.7"/>
    <s v="English"/>
    <s v="Park Chan-wook"/>
    <s v="Tom Hardy"/>
    <n v="4"/>
    <n v="139"/>
    <n v="281.39999999999998"/>
    <s v="Hit"/>
    <s v="Blockbuster"/>
    <s v="No"/>
    <s v="High"/>
    <n v="142.39999999999998"/>
    <n v="202.44604316546759"/>
  </r>
  <r>
    <s v="NFX-100099"/>
    <s v="Golden Legacy 1"/>
    <s v="TV Show"/>
    <x v="0"/>
    <n v="2021"/>
    <x v="4"/>
    <s v="2022-11-03"/>
    <n v="46"/>
    <s v="PG-13"/>
    <n v="8.1999999999999993"/>
    <n v="166"/>
    <s v="Korean"/>
    <s v="Bong Joon-ho"/>
    <s v="Song Kang-ho"/>
    <n v="7"/>
    <n v="191"/>
    <n v="719.6"/>
    <s v="Hit"/>
    <s v="Normal"/>
    <s v="No"/>
    <s v="High"/>
    <n v="528.6"/>
    <n v="376.75392670157072"/>
  </r>
  <r>
    <s v="NFX-100100"/>
    <s v="Silent Odyssey 4"/>
    <s v="Movie"/>
    <x v="9"/>
    <n v="2019"/>
    <x v="7"/>
    <s v="2022-01-11"/>
    <n v="154"/>
    <s v="G"/>
    <n v="6.8"/>
    <n v="94.7"/>
    <s v="English"/>
    <s v="Zoya Akhtar"/>
    <s v="Shah Rukh Khan"/>
    <m/>
    <n v="59"/>
    <n v="76.7"/>
    <s v="Average"/>
    <s v="Normal"/>
    <s v="Yes"/>
    <s v="Low"/>
    <n v="17.700000000000003"/>
    <n v="130"/>
  </r>
  <r>
    <s v="NFX-100101"/>
    <s v="Secret Signal"/>
    <s v="TV Show"/>
    <x v="7"/>
    <n v="2008"/>
    <x v="0"/>
    <s v="2019-03-19"/>
    <n v="58"/>
    <s v="PG"/>
    <n v="7.3"/>
    <n v="422.3"/>
    <s v="Hindi"/>
    <s v="Christopher Nolan"/>
    <s v="Timothée Chalamet"/>
    <n v="2"/>
    <n v="78"/>
    <n v="369.6"/>
    <s v="Average"/>
    <s v="Blockbuster"/>
    <s v="Yes"/>
    <s v="Low"/>
    <n v="291.60000000000002"/>
    <n v="473.84615384615387"/>
  </r>
  <r>
    <s v="NFX-100102"/>
    <s v="Broken Chronicles 1"/>
    <s v="TV Show"/>
    <x v="9"/>
    <n v="2013"/>
    <x v="9"/>
    <s v="2021-12-06"/>
    <n v="39"/>
    <s v="PG-13"/>
    <n v="4.5999999999999996"/>
    <n v="501.3"/>
    <s v="French"/>
    <s v="Denis Villeneuve"/>
    <s v="Song Kang-ho"/>
    <n v="5"/>
    <n v="48"/>
    <n v="273.10000000000002"/>
    <s v="Flop"/>
    <s v="Blockbuster"/>
    <s v="No"/>
    <s v="Low"/>
    <n v="225.10000000000002"/>
    <n v="568.95833333333337"/>
  </r>
  <r>
    <s v="NFX-100103"/>
    <s v="Iron City"/>
    <s v="Movie"/>
    <x v="10"/>
    <n v="2008"/>
    <x v="5"/>
    <s v="2024-03-21"/>
    <n v="86"/>
    <s v="18+"/>
    <n v="8.6"/>
    <n v="354.5"/>
    <s v="English"/>
    <s v="Anurag Kashyap"/>
    <s v="Robert Downey Jr."/>
    <m/>
    <n v="24"/>
    <n v="57"/>
    <s v="Hit"/>
    <s v="Popular"/>
    <s v="No"/>
    <s v="Low"/>
    <n v="33"/>
    <n v="237.5"/>
  </r>
  <r>
    <s v="NFX-100104"/>
    <s v="Iron Echo"/>
    <s v="Movie"/>
    <x v="0"/>
    <n v="2006"/>
    <x v="3"/>
    <s v="2020-06-29"/>
    <n v="117"/>
    <s v="16+"/>
    <n v="4.8"/>
    <n v="141.5"/>
    <s v="English"/>
    <s v="Anurag Kashyap"/>
    <s v="Timothée Chalamet"/>
    <m/>
    <n v="166"/>
    <n v="465.5"/>
    <s v="Flop"/>
    <s v="Normal"/>
    <s v="No"/>
    <s v="High"/>
    <n v="299.5"/>
    <n v="280.42168674698792"/>
  </r>
  <r>
    <s v="NFX-100105"/>
    <s v="Crystal Echo"/>
    <s v="TV Show"/>
    <x v="10"/>
    <n v="2007"/>
    <x v="7"/>
    <s v="2023-06-17"/>
    <n v="51"/>
    <s v="G"/>
    <n v="5.9"/>
    <n v="70.5"/>
    <s v="German"/>
    <s v="Zoya Akhtar"/>
    <s v="Shah Rukh Khan"/>
    <n v="4"/>
    <n v="112"/>
    <n v="379.2"/>
    <s v="Flop"/>
    <s v="Normal"/>
    <s v="Yes"/>
    <s v="High"/>
    <n v="267.2"/>
    <n v="338.57142857142856"/>
  </r>
  <r>
    <s v="NFX-100106"/>
    <s v="Crystal Signal"/>
    <s v="TV Show"/>
    <x v="2"/>
    <n v="2003"/>
    <x v="9"/>
    <s v="2021-09-18"/>
    <n v="35"/>
    <s v="18+"/>
    <n v="9"/>
    <n v="266"/>
    <s v="German"/>
    <s v="Greta Gerwig"/>
    <s v="Ranbir Kapoor"/>
    <n v="4"/>
    <n v="122"/>
    <n v="325.2"/>
    <s v="Hit"/>
    <s v="Popular"/>
    <s v="No"/>
    <s v="High"/>
    <n v="203.2"/>
    <n v="266.55737704918027"/>
  </r>
  <r>
    <s v="NFX-100107"/>
    <s v="Rising City 2"/>
    <s v="Movie"/>
    <x v="9"/>
    <n v="2025"/>
    <x v="5"/>
    <s v="2021-02-02"/>
    <n v="121"/>
    <s v="18+"/>
    <n v="8.9"/>
    <n v="331.2"/>
    <s v="Hindi"/>
    <s v="James Cameron"/>
    <s v="Shah Rukh Khan"/>
    <m/>
    <n v="144"/>
    <n v="822.1"/>
    <s v="Hit"/>
    <s v="Popular"/>
    <s v="No"/>
    <s v="High"/>
    <n v="678.1"/>
    <n v="570.90277777777783"/>
  </r>
  <r>
    <s v="NFX-100108"/>
    <s v="Lost Code 6"/>
    <s v="TV Show"/>
    <x v="6"/>
    <n v="2020"/>
    <x v="3"/>
    <s v="2020-07-15"/>
    <n v="42"/>
    <s v="PG-13"/>
    <n v="7.1"/>
    <n v="260.60000000000002"/>
    <s v="Hindi"/>
    <s v="Greta Gerwig"/>
    <s v="Chris Evans"/>
    <n v="3"/>
    <n v="189"/>
    <n v="672.4"/>
    <s v="Average"/>
    <s v="Popular"/>
    <s v="No"/>
    <s v="High"/>
    <n v="483.4"/>
    <n v="355.7671957671958"/>
  </r>
  <r>
    <s v="NFX-100109"/>
    <s v="Hidden Chronicles 4"/>
    <s v="Movie"/>
    <x v="4"/>
    <n v="2002"/>
    <x v="2"/>
    <s v="2021-01-03"/>
    <n v="106"/>
    <s v="18+"/>
    <n v="8.1999999999999993"/>
    <n v="123.9"/>
    <s v="English"/>
    <s v="Sanjay Leela Bhansali"/>
    <s v="Brad Pitt"/>
    <m/>
    <n v="173"/>
    <n v="1049.4000000000001"/>
    <s v="Hit"/>
    <s v="Normal"/>
    <s v="No"/>
    <s v="High"/>
    <n v="876.40000000000009"/>
    <n v="606.58959537572264"/>
  </r>
  <r>
    <s v="NFX-100110"/>
    <s v="Fading Signal 3"/>
    <s v="TV Show"/>
    <x v="7"/>
    <n v="2022"/>
    <x v="1"/>
    <s v="2019-04-14"/>
    <n v="35"/>
    <s v="18+"/>
    <n v="9.1999999999999993"/>
    <n v="416"/>
    <s v="Hindi"/>
    <s v="Ridley Scott"/>
    <s v="Ryan Gosling"/>
    <n v="8"/>
    <n v="64"/>
    <n v="353.1"/>
    <s v="Hit"/>
    <s v="Blockbuster"/>
    <s v="No"/>
    <s v="Low"/>
    <n v="289.10000000000002"/>
    <n v="551.71875"/>
  </r>
  <r>
    <s v="NFX-100111"/>
    <s v="Hidden Protocol 5"/>
    <s v="Movie"/>
    <x v="6"/>
    <n v="2024"/>
    <x v="0"/>
    <s v="2021-01-17"/>
    <n v="88"/>
    <s v="18+"/>
    <n v="4.5999999999999996"/>
    <n v="435.6"/>
    <s v="Japanese"/>
    <s v="Guillermo del Toro"/>
    <s v="Ryan Gosling"/>
    <m/>
    <n v="183"/>
    <n v="777.5"/>
    <s v="Flop"/>
    <s v="Blockbuster"/>
    <s v="No"/>
    <s v="High"/>
    <n v="594.5"/>
    <n v="424.8633879781421"/>
  </r>
  <r>
    <s v="NFX-100112"/>
    <s v="Fading Horizon"/>
    <s v="Movie"/>
    <x v="8"/>
    <n v="2008"/>
    <x v="8"/>
    <s v="2024-01-14"/>
    <n v="151"/>
    <s v="G"/>
    <n v="8.8000000000000007"/>
    <n v="556.4"/>
    <s v="French"/>
    <s v="Ridley Scott"/>
    <s v="Jennifer Lawrence"/>
    <m/>
    <n v="14"/>
    <n v="90.5"/>
    <s v="Hit"/>
    <s v="Blockbuster"/>
    <s v="Yes"/>
    <s v="Low"/>
    <n v="76.5"/>
    <n v="646.42857142857144"/>
  </r>
  <r>
    <s v="NFX-100113"/>
    <s v="Fading Signal 9"/>
    <s v="TV Show"/>
    <x v="9"/>
    <n v="2005"/>
    <x v="1"/>
    <s v="2020-04-17"/>
    <n v="55"/>
    <s v="G"/>
    <n v="8.9"/>
    <n v="323.39999999999998"/>
    <s v="Hindi"/>
    <s v="Park Chan-wook"/>
    <s v="Jennifer Lawrence"/>
    <n v="5"/>
    <n v="56"/>
    <n v="300.60000000000002"/>
    <s v="Hit"/>
    <s v="Popular"/>
    <s v="Yes"/>
    <s v="Low"/>
    <n v="244.60000000000002"/>
    <n v="536.78571428571433"/>
  </r>
  <r>
    <s v="NFX-100114"/>
    <s v="Lost Echo"/>
    <s v="Movie"/>
    <x v="6"/>
    <n v="2023"/>
    <x v="5"/>
    <s v="2018-03-16"/>
    <n v="178"/>
    <s v="G"/>
    <n v="7.8"/>
    <n v="20.7"/>
    <s v="Korean"/>
    <s v="Park Chan-wook"/>
    <s v="Scarlett Johansson"/>
    <m/>
    <n v="160"/>
    <n v="979.4"/>
    <s v="Average"/>
    <s v="Normal"/>
    <s v="Yes"/>
    <s v="High"/>
    <n v="819.4"/>
    <n v="612.125"/>
  </r>
  <r>
    <s v="NFX-100115"/>
    <s v="Fading Code"/>
    <s v="TV Show"/>
    <x v="9"/>
    <n v="2015"/>
    <x v="7"/>
    <s v="2019-03-21"/>
    <n v="47"/>
    <s v="16+"/>
    <n v="5.4"/>
    <n v="141.1"/>
    <s v="Spanish"/>
    <s v="Christopher Nolan"/>
    <s v="Tom Hardy"/>
    <n v="8"/>
    <n v="145"/>
    <n v="838.5"/>
    <s v="Flop"/>
    <s v="Normal"/>
    <s v="No"/>
    <s v="High"/>
    <n v="693.5"/>
    <n v="578.27586206896558"/>
  </r>
  <r>
    <s v="NFX-100116"/>
    <s v="Lost Chronicles"/>
    <s v="TV Show"/>
    <x v="5"/>
    <n v="2012"/>
    <x v="7"/>
    <s v="2021-03-03"/>
    <n v="45"/>
    <s v="16+"/>
    <n v="5.0999999999999996"/>
    <n v="276.89999999999998"/>
    <s v="Japanese"/>
    <s v="Anurag Kashyap"/>
    <s v="Deepika Padukone"/>
    <n v="5"/>
    <n v="29"/>
    <n v="159.69999999999999"/>
    <s v="Flop"/>
    <s v="Popular"/>
    <s v="No"/>
    <s v="Low"/>
    <n v="130.69999999999999"/>
    <n v="550.68965517241372"/>
  </r>
  <r>
    <s v="NFX-100117"/>
    <s v="Shadow Storm"/>
    <s v="Movie"/>
    <x v="7"/>
    <n v="2002"/>
    <x v="1"/>
    <s v="2022-01-11"/>
    <n v="160"/>
    <s v="16+"/>
    <n v="6.2"/>
    <n v="137.30000000000001"/>
    <s v="Korean"/>
    <s v="Park Chan-wook"/>
    <s v="Tom Hardy"/>
    <m/>
    <n v="48"/>
    <n v="251.8"/>
    <s v="Average"/>
    <s v="Normal"/>
    <s v="No"/>
    <s v="Low"/>
    <n v="203.8"/>
    <n v="524.58333333333337"/>
  </r>
  <r>
    <s v="NFX-100118"/>
    <s v="Iron Horizon"/>
    <s v="TV Show"/>
    <x v="3"/>
    <n v="2012"/>
    <x v="7"/>
    <s v="2023-11-23"/>
    <n v="44"/>
    <s v="16+"/>
    <n v="5.6"/>
    <n v="275.3"/>
    <s v="French"/>
    <s v="Sanjay Leela Bhansali"/>
    <s v="Brad Pitt"/>
    <n v="1"/>
    <n v="51"/>
    <n v="64.400000000000006"/>
    <s v="Flop"/>
    <s v="Popular"/>
    <s v="No"/>
    <s v="Low"/>
    <n v="13.400000000000006"/>
    <n v="126.27450980392159"/>
  </r>
  <r>
    <s v="NFX-100119"/>
    <s v="Secret Odyssey 9"/>
    <s v="Movie"/>
    <x v="5"/>
    <n v="2017"/>
    <x v="8"/>
    <s v="2018-09-05"/>
    <n v="137"/>
    <s v="18+"/>
    <n v="5.4"/>
    <n v="395.6"/>
    <s v="German"/>
    <s v="Greta Gerwig"/>
    <s v="Song Kang-ho"/>
    <m/>
    <n v="116"/>
    <n v="607.5"/>
    <s v="Flop"/>
    <s v="Popular"/>
    <s v="No"/>
    <s v="High"/>
    <n v="491.5"/>
    <n v="523.70689655172407"/>
  </r>
  <r>
    <s v="NFX-100120"/>
    <s v="Golden City"/>
    <s v="TV Show"/>
    <x v="2"/>
    <n v="2009"/>
    <x v="2"/>
    <s v="2023-08-16"/>
    <n v="39"/>
    <s v="PG"/>
    <n v="5.0999999999999996"/>
    <n v="20.3"/>
    <s v="Japanese"/>
    <s v="Steven Spielberg"/>
    <s v="Chris Evans"/>
    <n v="1"/>
    <n v="124"/>
    <n v="164.9"/>
    <s v="Flop"/>
    <s v="Normal"/>
    <s v="Yes"/>
    <s v="High"/>
    <n v="40.900000000000006"/>
    <n v="132.98387096774192"/>
  </r>
  <r>
    <s v="NFX-100121"/>
    <s v="Midnight Echo"/>
    <s v="TV Show"/>
    <x v="6"/>
    <n v="2011"/>
    <x v="6"/>
    <s v="2022-08-11"/>
    <n v="35"/>
    <s v="PG-13"/>
    <n v="7.1"/>
    <n v="187.5"/>
    <s v="Hindi"/>
    <s v="Christopher Nolan"/>
    <s v="Deepika Padukone"/>
    <n v="1"/>
    <n v="99"/>
    <n v="206.5"/>
    <s v="Average"/>
    <s v="Normal"/>
    <s v="No"/>
    <s v="Low"/>
    <n v="107.5"/>
    <n v="208.5858585858586"/>
  </r>
  <r>
    <s v="NFX-100122"/>
    <s v="Dark Signal 1"/>
    <s v="TV Show"/>
    <x v="7"/>
    <n v="2020"/>
    <x v="3"/>
    <s v="2022-07-01"/>
    <n v="31"/>
    <s v="PG"/>
    <n v="5.3"/>
    <n v="591.79999999999995"/>
    <s v="French"/>
    <s v="Guillermo del Toro"/>
    <s v="Jennifer Lawrence"/>
    <n v="2"/>
    <n v="175"/>
    <n v="967.1"/>
    <s v="Flop"/>
    <s v="Blockbuster"/>
    <s v="Yes"/>
    <s v="High"/>
    <n v="792.1"/>
    <n v="552.62857142857149"/>
  </r>
  <r>
    <s v="NFX-100123"/>
    <s v="Broken Code 9"/>
    <s v="Movie"/>
    <x v="0"/>
    <n v="2006"/>
    <x v="4"/>
    <s v="2022-12-31"/>
    <n v="108"/>
    <s v="18+"/>
    <n v="6.9"/>
    <n v="422.4"/>
    <s v="Korean"/>
    <s v="Steven Spielberg"/>
    <s v="Shah Rukh Khan"/>
    <m/>
    <n v="97"/>
    <n v="440.8"/>
    <s v="Average"/>
    <s v="Blockbuster"/>
    <s v="No"/>
    <s v="Low"/>
    <n v="343.8"/>
    <n v="454.43298969072163"/>
  </r>
  <r>
    <s v="NFX-100124"/>
    <s v="Silent Frontier 5"/>
    <s v="Movie"/>
    <x v="4"/>
    <n v="2022"/>
    <x v="3"/>
    <s v="2023-07-19"/>
    <n v="124"/>
    <s v="PG-13"/>
    <n v="5.4"/>
    <n v="482.6"/>
    <s v="Korean"/>
    <s v="Greta Gerwig"/>
    <s v="Lee Jung-jae"/>
    <m/>
    <n v="168"/>
    <n v="339.6"/>
    <s v="Flop"/>
    <s v="Blockbuster"/>
    <s v="No"/>
    <s v="High"/>
    <n v="171.60000000000002"/>
    <n v="202.14285714285714"/>
  </r>
  <r>
    <s v="NFX-100125"/>
    <s v="Lost Frontier"/>
    <s v="TV Show"/>
    <x v="3"/>
    <n v="2016"/>
    <x v="4"/>
    <s v="2019-12-26"/>
    <n v="45"/>
    <s v="16+"/>
    <n v="6.9"/>
    <n v="420.7"/>
    <s v="Spanish"/>
    <s v="Bong Joon-ho"/>
    <s v="Shah Rukh Khan"/>
    <n v="8"/>
    <n v="52"/>
    <n v="246.9"/>
    <s v="Average"/>
    <s v="Blockbuster"/>
    <s v="No"/>
    <s v="Low"/>
    <n v="194.9"/>
    <n v="474.80769230769238"/>
  </r>
  <r>
    <s v="NFX-100126"/>
    <s v="Crystal Horizon"/>
    <s v="TV Show"/>
    <x v="5"/>
    <n v="2005"/>
    <x v="4"/>
    <s v="2020-08-06"/>
    <n v="47"/>
    <s v="16+"/>
    <n v="6.3"/>
    <n v="208.6"/>
    <s v="Spanish"/>
    <s v="Sanjay Leela Bhansali"/>
    <s v="Robert Downey Jr."/>
    <n v="5"/>
    <n v="190"/>
    <n v="915.4"/>
    <s v="Average"/>
    <s v="Popular"/>
    <s v="No"/>
    <s v="High"/>
    <n v="725.4"/>
    <n v="481.78947368421052"/>
  </r>
  <r>
    <s v="NFX-100127"/>
    <s v="Broken Frontier 3"/>
    <s v="TV Show"/>
    <x v="5"/>
    <n v="2003"/>
    <x v="9"/>
    <s v="2018-06-25"/>
    <n v="50"/>
    <s v="G"/>
    <n v="5.6"/>
    <n v="329.7"/>
    <s v="Hindi"/>
    <s v="Sanjay Leela Bhansali"/>
    <s v="Emma Stone"/>
    <n v="5"/>
    <n v="114"/>
    <n v="285.3"/>
    <s v="Flop"/>
    <s v="Popular"/>
    <s v="Yes"/>
    <s v="High"/>
    <n v="171.3"/>
    <n v="250.26315789473682"/>
  </r>
  <r>
    <s v="NFX-100128"/>
    <s v="Last Echo 9"/>
    <s v="TV Show"/>
    <x v="3"/>
    <n v="2009"/>
    <x v="9"/>
    <s v="2023-04-06"/>
    <n v="48"/>
    <s v="PG-13"/>
    <n v="7.7"/>
    <n v="562.4"/>
    <s v="French"/>
    <s v="Steven Spielberg"/>
    <s v="Emma Stone"/>
    <n v="7"/>
    <n v="92"/>
    <n v="343.3"/>
    <s v="Average"/>
    <s v="Blockbuster"/>
    <s v="No"/>
    <s v="Low"/>
    <n v="251.3"/>
    <n v="373.1521739130435"/>
  </r>
  <r>
    <s v="NFX-100129"/>
    <s v="Secret Archive 1"/>
    <s v="TV Show"/>
    <x v="9"/>
    <n v="2007"/>
    <x v="5"/>
    <s v="2018-10-27"/>
    <n v="36"/>
    <s v="PG-13"/>
    <n v="8.8000000000000007"/>
    <n v="61.9"/>
    <s v="French"/>
    <s v="Bong Joon-ho"/>
    <s v="Tom Hardy"/>
    <n v="4"/>
    <n v="89"/>
    <n v="332.1"/>
    <s v="Hit"/>
    <s v="Normal"/>
    <s v="No"/>
    <s v="Low"/>
    <n v="243.10000000000002"/>
    <n v="373.14606741573033"/>
  </r>
  <r>
    <s v="NFX-100130"/>
    <s v="Shadow Frontier 1"/>
    <s v="TV Show"/>
    <x v="10"/>
    <n v="2007"/>
    <x v="4"/>
    <s v="2020-08-05"/>
    <n v="42"/>
    <s v="G"/>
    <n v="5.4"/>
    <n v="371.7"/>
    <s v="Japanese"/>
    <s v="James Cameron"/>
    <s v="Deepika Padukone"/>
    <n v="6"/>
    <n v="51"/>
    <n v="115.7"/>
    <s v="Flop"/>
    <s v="Popular"/>
    <s v="Yes"/>
    <s v="Low"/>
    <n v="64.7"/>
    <n v="226.8627450980392"/>
  </r>
  <r>
    <s v="NFX-100131"/>
    <s v="Golden Odyssey"/>
    <s v="TV Show"/>
    <x v="2"/>
    <n v="2017"/>
    <x v="9"/>
    <s v="2021-07-02"/>
    <n v="42"/>
    <s v="PG-13"/>
    <n v="5.4"/>
    <n v="316.60000000000002"/>
    <s v="Japanese"/>
    <s v="Greta Gerwig"/>
    <s v="Ranbir Kapoor"/>
    <n v="1"/>
    <n v="173"/>
    <n v="511.4"/>
    <s v="Flop"/>
    <s v="Popular"/>
    <s v="No"/>
    <s v="High"/>
    <n v="338.4"/>
    <n v="295.60693641618496"/>
  </r>
  <r>
    <s v="NFX-100132"/>
    <s v="Silent Echo"/>
    <s v="TV Show"/>
    <x v="5"/>
    <n v="2021"/>
    <x v="0"/>
    <s v="2023-07-20"/>
    <n v="38"/>
    <s v="16+"/>
    <n v="7.5"/>
    <n v="165.7"/>
    <s v="Korean"/>
    <s v="Christopher Nolan"/>
    <s v="Ranbir Kapoor"/>
    <n v="3"/>
    <n v="61"/>
    <n v="282.10000000000002"/>
    <s v="Average"/>
    <s v="Normal"/>
    <s v="No"/>
    <s v="Low"/>
    <n v="221.10000000000002"/>
    <n v="462.45901639344265"/>
  </r>
  <r>
    <s v="NFX-100133"/>
    <s v="Silent Protocol 6"/>
    <s v="Movie"/>
    <x v="6"/>
    <n v="2003"/>
    <x v="1"/>
    <s v="2020-02-22"/>
    <n v="81"/>
    <s v="PG"/>
    <n v="8"/>
    <n v="341.3"/>
    <s v="Hindi"/>
    <s v="Sanjay Leela Bhansali"/>
    <s v="Emma Stone"/>
    <m/>
    <n v="164"/>
    <n v="747.6"/>
    <s v="Hit"/>
    <s v="Popular"/>
    <s v="Yes"/>
    <s v="High"/>
    <n v="583.6"/>
    <n v="455.85365853658539"/>
  </r>
  <r>
    <s v="NFX-100134"/>
    <s v="Iron Storm"/>
    <s v="Movie"/>
    <x v="7"/>
    <n v="2008"/>
    <x v="9"/>
    <s v="2020-09-23"/>
    <n v="168"/>
    <s v="PG"/>
    <n v="8.8000000000000007"/>
    <n v="483.1"/>
    <s v="Japanese"/>
    <s v="Guillermo del Toro"/>
    <s v="Song Kang-ho"/>
    <m/>
    <n v="194"/>
    <n v="740.2"/>
    <s v="Hit"/>
    <s v="Blockbuster"/>
    <s v="Yes"/>
    <s v="High"/>
    <n v="546.20000000000005"/>
    <n v="381.54639175257734"/>
  </r>
  <r>
    <s v="NFX-100135"/>
    <s v="Shadow City"/>
    <s v="Movie"/>
    <x v="9"/>
    <n v="2002"/>
    <x v="2"/>
    <s v="2020-01-11"/>
    <n v="91"/>
    <s v="PG"/>
    <n v="5.0999999999999996"/>
    <n v="254.8"/>
    <s v="Japanese"/>
    <s v="Rajkumar Hirani"/>
    <s v="Timothée Chalamet"/>
    <m/>
    <n v="117"/>
    <n v="233.6"/>
    <s v="Flop"/>
    <s v="Popular"/>
    <s v="Yes"/>
    <s v="High"/>
    <n v="116.6"/>
    <n v="199.65811965811966"/>
  </r>
  <r>
    <s v="NFX-100136"/>
    <s v="Shadow Archive"/>
    <s v="Movie"/>
    <x v="3"/>
    <n v="2004"/>
    <x v="3"/>
    <s v="2020-12-30"/>
    <n v="155"/>
    <s v="PG"/>
    <n v="7.7"/>
    <n v="343.9"/>
    <s v="English"/>
    <s v="James Cameron"/>
    <s v="Deepika Padukone"/>
    <m/>
    <n v="36"/>
    <n v="170.8"/>
    <s v="Average"/>
    <s v="Popular"/>
    <s v="Yes"/>
    <s v="Low"/>
    <n v="134.80000000000001"/>
    <n v="474.44444444444446"/>
  </r>
  <r>
    <s v="NFX-100137"/>
    <s v="Crystal Chronicles"/>
    <s v="TV Show"/>
    <x v="3"/>
    <n v="2022"/>
    <x v="5"/>
    <s v="2023-06-01"/>
    <n v="40"/>
    <s v="PG-13"/>
    <n v="4.9000000000000004"/>
    <n v="517.1"/>
    <s v="Spanish"/>
    <s v="Steven Spielberg"/>
    <s v="Jennifer Lawrence"/>
    <n v="6"/>
    <n v="57"/>
    <n v="217.6"/>
    <s v="Flop"/>
    <s v="Blockbuster"/>
    <s v="No"/>
    <s v="Low"/>
    <n v="160.6"/>
    <n v="381.75438596491227"/>
  </r>
  <r>
    <s v="NFX-100138"/>
    <s v="Golden Journey 2"/>
    <s v="Movie"/>
    <x v="5"/>
    <n v="2001"/>
    <x v="3"/>
    <s v="2021-06-20"/>
    <n v="156"/>
    <s v="18+"/>
    <n v="6.9"/>
    <n v="12.1"/>
    <s v="Hindi"/>
    <s v="Denis Villeneuve"/>
    <s v="Scarlett Johansson"/>
    <m/>
    <n v="86"/>
    <n v="484.1"/>
    <s v="Average"/>
    <s v="Normal"/>
    <s v="No"/>
    <s v="Low"/>
    <n v="398.1"/>
    <n v="562.90697674418607"/>
  </r>
  <r>
    <s v="NFX-100139"/>
    <s v="Broken Empire 5"/>
    <s v="TV Show"/>
    <x v="2"/>
    <n v="2022"/>
    <x v="0"/>
    <s v="2024-06-17"/>
    <n v="35"/>
    <s v="16+"/>
    <n v="7.3"/>
    <n v="573"/>
    <s v="Korean"/>
    <s v="James Cameron"/>
    <s v="Ryan Gosling"/>
    <n v="1"/>
    <n v="197"/>
    <n v="346.1"/>
    <s v="Average"/>
    <s v="Blockbuster"/>
    <s v="No"/>
    <s v="High"/>
    <n v="149.10000000000002"/>
    <n v="175.68527918781726"/>
  </r>
  <r>
    <s v="NFX-100140"/>
    <s v="Dark Odyssey"/>
    <s v="Movie"/>
    <x v="5"/>
    <n v="2004"/>
    <x v="3"/>
    <s v="2021-09-04"/>
    <n v="168"/>
    <s v="PG-13"/>
    <n v="9.1"/>
    <n v="162.30000000000001"/>
    <s v="English"/>
    <s v="Bong Joon-ho"/>
    <s v="Deepika Padukone"/>
    <m/>
    <n v="12"/>
    <n v="54.1"/>
    <s v="Hit"/>
    <s v="Normal"/>
    <s v="No"/>
    <s v="Low"/>
    <n v="42.1"/>
    <n v="450.83333333333337"/>
  </r>
  <r>
    <s v="NFX-100141"/>
    <s v="Shadow Archive 6"/>
    <s v="Movie"/>
    <x v="2"/>
    <n v="2013"/>
    <x v="1"/>
    <s v="2024-08-29"/>
    <n v="162"/>
    <s v="PG"/>
    <n v="4.8"/>
    <n v="91"/>
    <s v="Hindi"/>
    <s v="Christopher Nolan"/>
    <s v="Tom Hardy"/>
    <m/>
    <n v="134"/>
    <n v="662.9"/>
    <s v="Flop"/>
    <s v="Normal"/>
    <s v="Yes"/>
    <s v="High"/>
    <n v="528.9"/>
    <n v="494.70149253731341"/>
  </r>
  <r>
    <s v="NFX-100142"/>
    <s v="Broken Storm"/>
    <s v="TV Show"/>
    <x v="10"/>
    <n v="2019"/>
    <x v="8"/>
    <s v="2023-10-21"/>
    <n v="54"/>
    <s v="16+"/>
    <n v="9.6"/>
    <n v="189"/>
    <s v="Korean"/>
    <s v="James Cameron"/>
    <s v="Tom Hardy"/>
    <n v="1"/>
    <n v="138"/>
    <n v="598.1"/>
    <s v="Hit"/>
    <s v="Normal"/>
    <s v="No"/>
    <s v="High"/>
    <n v="460.1"/>
    <n v="433.40579710144931"/>
  </r>
  <r>
    <s v="NFX-100143"/>
    <s v="Dark Journey 5"/>
    <s v="TV Show"/>
    <x v="4"/>
    <n v="2014"/>
    <x v="4"/>
    <s v="2020-04-30"/>
    <n v="30"/>
    <s v="G"/>
    <n v="6.4"/>
    <n v="595.29999999999995"/>
    <s v="German"/>
    <s v="Sanjay Leela Bhansali"/>
    <s v="Scarlett Johansson"/>
    <n v="6"/>
    <n v="149"/>
    <n v="652"/>
    <s v="Average"/>
    <s v="Blockbuster"/>
    <s v="Yes"/>
    <s v="High"/>
    <n v="503"/>
    <n v="437.58389261744969"/>
  </r>
  <r>
    <s v="NFX-100144"/>
    <s v="Silent Valley"/>
    <s v="TV Show"/>
    <x v="2"/>
    <n v="2003"/>
    <x v="3"/>
    <s v="2024-07-31"/>
    <n v="37"/>
    <s v="PG-13"/>
    <n v="7.6"/>
    <n v="281.8"/>
    <s v="Hindi"/>
    <s v="Christopher Nolan"/>
    <s v="Tom Hardy"/>
    <n v="1"/>
    <n v="148"/>
    <n v="805.8"/>
    <s v="Average"/>
    <s v="Popular"/>
    <s v="No"/>
    <s v="High"/>
    <n v="657.8"/>
    <n v="544.45945945945948"/>
  </r>
  <r>
    <s v="NFX-100145"/>
    <s v="Rising Echo"/>
    <s v="TV Show"/>
    <x v="4"/>
    <n v="2021"/>
    <x v="1"/>
    <s v="2022-07-16"/>
    <n v="46"/>
    <s v="PG"/>
    <n v="6.4"/>
    <n v="363.8"/>
    <s v="Spanish"/>
    <s v="Quentin Tarantino"/>
    <s v="Robert Downey Jr."/>
    <n v="7"/>
    <n v="82"/>
    <n v="449.1"/>
    <s v="Average"/>
    <s v="Popular"/>
    <s v="Yes"/>
    <s v="Low"/>
    <n v="367.1"/>
    <n v="547.68292682926835"/>
  </r>
  <r>
    <s v="NFX-100146"/>
    <s v="Midnight Frontier"/>
    <s v="Movie"/>
    <x v="3"/>
    <n v="2016"/>
    <x v="8"/>
    <s v="2022-12-09"/>
    <n v="174"/>
    <s v="PG"/>
    <n v="5.9"/>
    <n v="82.6"/>
    <s v="German"/>
    <s v="Greta Gerwig"/>
    <s v="Brad Pitt"/>
    <m/>
    <n v="129"/>
    <n v="463.3"/>
    <s v="Flop"/>
    <s v="Normal"/>
    <s v="Yes"/>
    <s v="High"/>
    <n v="334.3"/>
    <n v="359.14728682170545"/>
  </r>
  <r>
    <s v="NFX-100147"/>
    <s v="Golden Echo 9"/>
    <s v="TV Show"/>
    <x v="8"/>
    <n v="2025"/>
    <x v="4"/>
    <s v="2024-07-22"/>
    <n v="57"/>
    <s v="G"/>
    <n v="5.8"/>
    <n v="97.1"/>
    <s v="French"/>
    <s v="Zoya Akhtar"/>
    <s v="Scarlett Johansson"/>
    <n v="1"/>
    <n v="67"/>
    <n v="409.4"/>
    <s v="Flop"/>
    <s v="Normal"/>
    <s v="Yes"/>
    <s v="Low"/>
    <n v="342.4"/>
    <n v="611.04477611940297"/>
  </r>
  <r>
    <s v="NFX-100148"/>
    <s v="Hidden Frontier 5"/>
    <s v="TV Show"/>
    <x v="4"/>
    <n v="2025"/>
    <x v="5"/>
    <s v="2018-10-02"/>
    <n v="40"/>
    <s v="16+"/>
    <n v="8.1999999999999993"/>
    <n v="550.4"/>
    <s v="English"/>
    <s v="Guillermo del Toro"/>
    <s v="Robert Downey Jr."/>
    <n v="6"/>
    <n v="130"/>
    <n v="212.8"/>
    <s v="Hit"/>
    <s v="Blockbuster"/>
    <s v="No"/>
    <s v="High"/>
    <n v="82.800000000000011"/>
    <n v="163.69230769230768"/>
  </r>
  <r>
    <s v="NFX-100149"/>
    <s v="Iron Horizon 9"/>
    <s v="Movie"/>
    <x v="8"/>
    <n v="2019"/>
    <x v="8"/>
    <s v="2019-10-23"/>
    <n v="127"/>
    <s v="PG-13"/>
    <n v="4.7"/>
    <n v="163.5"/>
    <s v="English"/>
    <s v="Guillermo del Toro"/>
    <s v="Ranbir Kapoor"/>
    <m/>
    <n v="11"/>
    <n v="46.1"/>
    <s v="Flop"/>
    <s v="Normal"/>
    <s v="No"/>
    <s v="Low"/>
    <n v="35.1"/>
    <n v="419.09090909090912"/>
  </r>
  <r>
    <s v="NFX-100150"/>
    <s v="Crystal Code"/>
    <s v="TV Show"/>
    <x v="1"/>
    <n v="2011"/>
    <x v="5"/>
    <s v="2023-05-24"/>
    <n v="35"/>
    <s v="16+"/>
    <n v="7.1"/>
    <n v="487.6"/>
    <s v="Spanish"/>
    <s v="Steven Spielberg"/>
    <s v="Jennifer Lawrence"/>
    <n v="8"/>
    <n v="16"/>
    <n v="22.7"/>
    <s v="Average"/>
    <s v="Blockbuster"/>
    <s v="No"/>
    <s v="Low"/>
    <n v="6.6999999999999993"/>
    <n v="141.875"/>
  </r>
  <r>
    <s v="NFX-100151"/>
    <s v="Crystal Legacy"/>
    <s v="Movie"/>
    <x v="4"/>
    <n v="2014"/>
    <x v="7"/>
    <s v="2019-08-12"/>
    <n v="92"/>
    <s v="16+"/>
    <n v="9"/>
    <n v="514.70000000000005"/>
    <s v="Hindi"/>
    <s v="Martin Scorsese"/>
    <s v="Tom Hardy"/>
    <m/>
    <n v="42"/>
    <n v="200.1"/>
    <s v="Hit"/>
    <s v="Blockbuster"/>
    <s v="No"/>
    <s v="Low"/>
    <n v="158.1"/>
    <n v="476.42857142857144"/>
  </r>
  <r>
    <s v="NFX-100152"/>
    <s v="Rising Signal 4"/>
    <s v="TV Show"/>
    <x v="6"/>
    <n v="2000"/>
    <x v="2"/>
    <s v="2019-01-15"/>
    <n v="60"/>
    <s v="PG-13"/>
    <n v="5.0999999999999996"/>
    <n v="101.9"/>
    <s v="Korean"/>
    <s v="Sanjay Leela Bhansali"/>
    <s v="Deepika Padukone"/>
    <n v="1"/>
    <n v="68"/>
    <n v="387"/>
    <s v="Flop"/>
    <s v="Normal"/>
    <s v="No"/>
    <s v="Low"/>
    <n v="319"/>
    <n v="569.11764705882354"/>
  </r>
  <r>
    <s v="NFX-100153"/>
    <s v="Last Archive"/>
    <s v="TV Show"/>
    <x v="5"/>
    <n v="2013"/>
    <x v="7"/>
    <s v="2024-03-07"/>
    <n v="38"/>
    <s v="PG"/>
    <n v="5.4"/>
    <n v="182"/>
    <s v="Hindi"/>
    <s v="Rajkumar Hirani"/>
    <s v="Leonardo DiCaprio"/>
    <n v="3"/>
    <n v="58"/>
    <n v="88.1"/>
    <s v="Flop"/>
    <s v="Normal"/>
    <s v="Yes"/>
    <s v="Low"/>
    <n v="30.099999999999994"/>
    <n v="151.89655172413791"/>
  </r>
  <r>
    <s v="NFX-100154"/>
    <s v="Rising Valley"/>
    <s v="Movie"/>
    <x v="7"/>
    <n v="2008"/>
    <x v="3"/>
    <s v="2023-06-25"/>
    <n v="167"/>
    <s v="PG"/>
    <n v="8.1999999999999993"/>
    <n v="143.4"/>
    <s v="Spanish"/>
    <s v="Ridley Scott"/>
    <s v="Chris Evans"/>
    <m/>
    <n v="178"/>
    <n v="477.4"/>
    <s v="Hit"/>
    <s v="Normal"/>
    <s v="Yes"/>
    <s v="High"/>
    <n v="299.39999999999998"/>
    <n v="268.20224719101122"/>
  </r>
  <r>
    <s v="NFX-100155"/>
    <s v="Secret Chronicles"/>
    <s v="TV Show"/>
    <x v="9"/>
    <n v="2011"/>
    <x v="6"/>
    <s v="2024-07-31"/>
    <n v="31"/>
    <s v="16+"/>
    <n v="5.4"/>
    <n v="187.2"/>
    <s v="German"/>
    <s v="Quentin Tarantino"/>
    <s v="Timothée Chalamet"/>
    <n v="7"/>
    <n v="118"/>
    <n v="331.4"/>
    <s v="Flop"/>
    <s v="Normal"/>
    <s v="No"/>
    <s v="High"/>
    <n v="213.39999999999998"/>
    <n v="280.84745762711862"/>
  </r>
  <r>
    <s v="NFX-100156"/>
    <s v="Last Odyssey 9"/>
    <s v="TV Show"/>
    <x v="10"/>
    <n v="2004"/>
    <x v="5"/>
    <s v="2022-01-01"/>
    <n v="33"/>
    <s v="16+"/>
    <n v="6.8"/>
    <n v="531.9"/>
    <s v="German"/>
    <s v="Zoya Akhtar"/>
    <s v="Chris Evans"/>
    <n v="8"/>
    <n v="61"/>
    <n v="283.5"/>
    <s v="Average"/>
    <s v="Blockbuster"/>
    <s v="No"/>
    <s v="Low"/>
    <n v="222.5"/>
    <n v="464.75409836065575"/>
  </r>
  <r>
    <s v="NFX-100157"/>
    <s v="Lost Empire"/>
    <s v="Movie"/>
    <x v="1"/>
    <n v="2003"/>
    <x v="7"/>
    <s v="2018-12-04"/>
    <n v="161"/>
    <s v="PG-13"/>
    <n v="7.7"/>
    <n v="523.6"/>
    <s v="Korean"/>
    <s v="Park Chan-wook"/>
    <s v="Ranbir Kapoor"/>
    <m/>
    <n v="159"/>
    <n v="556.4"/>
    <s v="Average"/>
    <s v="Blockbuster"/>
    <s v="No"/>
    <s v="High"/>
    <n v="397.4"/>
    <n v="349.93710691823895"/>
  </r>
  <r>
    <s v="NFX-100158"/>
    <s v="Rising Code"/>
    <s v="TV Show"/>
    <x v="7"/>
    <n v="2004"/>
    <x v="7"/>
    <s v="2023-05-18"/>
    <n v="37"/>
    <s v="16+"/>
    <n v="4.7"/>
    <n v="469.7"/>
    <s v="German"/>
    <s v="Rajkumar Hirani"/>
    <s v="Scarlett Johansson"/>
    <n v="2"/>
    <n v="28"/>
    <n v="62.7"/>
    <s v="Flop"/>
    <s v="Blockbuster"/>
    <s v="No"/>
    <s v="Low"/>
    <n v="34.700000000000003"/>
    <n v="223.92857142857144"/>
  </r>
  <r>
    <s v="NFX-100159"/>
    <s v="Fading City"/>
    <s v="TV Show"/>
    <x v="9"/>
    <n v="2025"/>
    <x v="7"/>
    <s v="2022-10-30"/>
    <n v="49"/>
    <s v="16+"/>
    <n v="6.7"/>
    <n v="499.1"/>
    <s v="German"/>
    <s v="Sanjay Leela Bhansali"/>
    <s v="Emma Stone"/>
    <n v="2"/>
    <n v="174"/>
    <n v="298.7"/>
    <s v="Average"/>
    <s v="Blockbuster"/>
    <s v="No"/>
    <s v="High"/>
    <n v="124.69999999999999"/>
    <n v="171.66666666666666"/>
  </r>
  <r>
    <s v="NFX-100160"/>
    <s v="Burning Valley"/>
    <s v="Movie"/>
    <x v="4"/>
    <n v="2006"/>
    <x v="9"/>
    <s v="2019-05-01"/>
    <n v="145"/>
    <s v="PG-13"/>
    <n v="5.4"/>
    <n v="23.6"/>
    <s v="Hindi"/>
    <s v="Quentin Tarantino"/>
    <s v="Jennifer Lawrence"/>
    <m/>
    <n v="15"/>
    <n v="31.8"/>
    <s v="Flop"/>
    <s v="Normal"/>
    <s v="No"/>
    <s v="Low"/>
    <n v="16.8"/>
    <n v="212"/>
  </r>
  <r>
    <s v="NFX-100161"/>
    <s v="Golden Empire"/>
    <s v="TV Show"/>
    <x v="7"/>
    <n v="2006"/>
    <x v="7"/>
    <s v="2019-10-03"/>
    <n v="59"/>
    <s v="16+"/>
    <n v="7.4"/>
    <n v="79.599999999999994"/>
    <s v="German"/>
    <s v="Steven Spielberg"/>
    <s v="Scarlett Johansson"/>
    <n v="8"/>
    <n v="166"/>
    <n v="646.6"/>
    <s v="Average"/>
    <s v="Normal"/>
    <s v="No"/>
    <s v="High"/>
    <n v="480.6"/>
    <n v="389.51807228915663"/>
  </r>
  <r>
    <s v="NFX-100162"/>
    <s v="Last Chronicles 3"/>
    <s v="Movie"/>
    <x v="5"/>
    <n v="2013"/>
    <x v="0"/>
    <s v="2022-09-06"/>
    <n v="152"/>
    <s v="18+"/>
    <n v="7"/>
    <n v="338.6"/>
    <s v="French"/>
    <s v="Park Chan-wook"/>
    <s v="Shah Rukh Khan"/>
    <m/>
    <n v="62"/>
    <n v="249.6"/>
    <s v="Average"/>
    <s v="Popular"/>
    <s v="No"/>
    <s v="Low"/>
    <n v="187.6"/>
    <n v="402.58064516129031"/>
  </r>
  <r>
    <s v="NFX-100163"/>
    <s v="Hidden Empire 4"/>
    <s v="Movie"/>
    <x v="8"/>
    <n v="2019"/>
    <x v="6"/>
    <s v="2020-08-11"/>
    <n v="122"/>
    <s v="G"/>
    <n v="7.4"/>
    <n v="469.1"/>
    <s v="German"/>
    <s v="Quentin Tarantino"/>
    <s v="Chris Evans"/>
    <m/>
    <n v="119"/>
    <n v="555"/>
    <s v="Average"/>
    <s v="Blockbuster"/>
    <s v="Yes"/>
    <s v="High"/>
    <n v="436"/>
    <n v="466.38655462184875"/>
  </r>
  <r>
    <s v="NFX-100164"/>
    <s v="Rising Frontier"/>
    <s v="Movie"/>
    <x v="10"/>
    <n v="2018"/>
    <x v="4"/>
    <s v="2021-02-19"/>
    <n v="125"/>
    <s v="PG-13"/>
    <n v="9.6"/>
    <n v="188.3"/>
    <s v="Spanish"/>
    <s v="James Cameron"/>
    <s v="Ryan Gosling"/>
    <m/>
    <n v="12"/>
    <n v="54.7"/>
    <s v="Hit"/>
    <s v="Normal"/>
    <s v="No"/>
    <s v="Low"/>
    <n v="42.7"/>
    <n v="455.83333333333337"/>
  </r>
  <r>
    <s v="NFX-100165"/>
    <s v="Fading Journey"/>
    <s v="Movie"/>
    <x v="5"/>
    <n v="2007"/>
    <x v="6"/>
    <s v="2018-09-22"/>
    <n v="179"/>
    <s v="16+"/>
    <n v="9.6"/>
    <n v="122.9"/>
    <s v="Spanish"/>
    <s v="Christopher Nolan"/>
    <s v="Tom Hardy"/>
    <m/>
    <n v="75"/>
    <n v="330.2"/>
    <s v="Hit"/>
    <s v="Normal"/>
    <s v="No"/>
    <s v="Low"/>
    <n v="255.2"/>
    <n v="440.26666666666665"/>
  </r>
  <r>
    <s v="NFX-100166"/>
    <s v="Fading Storm"/>
    <s v="Movie"/>
    <x v="10"/>
    <n v="2005"/>
    <x v="1"/>
    <s v="2023-09-16"/>
    <n v="172"/>
    <s v="18+"/>
    <n v="8.9"/>
    <n v="595.9"/>
    <s v="Korean"/>
    <s v="Guillermo del Toro"/>
    <s v="Ryan Gosling"/>
    <m/>
    <n v="74"/>
    <n v="161.80000000000001"/>
    <s v="Hit"/>
    <s v="Blockbuster"/>
    <s v="No"/>
    <s v="Low"/>
    <n v="87.800000000000011"/>
    <n v="218.64864864864865"/>
  </r>
  <r>
    <s v="NFX-100167"/>
    <s v="Broken Protocol 4"/>
    <s v="Movie"/>
    <x v="4"/>
    <n v="2016"/>
    <x v="2"/>
    <s v="2022-11-04"/>
    <n v="137"/>
    <s v="PG-13"/>
    <n v="7.8"/>
    <n v="330.8"/>
    <s v="Hindi"/>
    <s v="Anurag Kashyap"/>
    <s v="Lee Jung-jae"/>
    <m/>
    <n v="44"/>
    <n v="250"/>
    <s v="Average"/>
    <s v="Popular"/>
    <s v="No"/>
    <s v="Low"/>
    <n v="206"/>
    <n v="568.18181818181813"/>
  </r>
  <r>
    <s v="NFX-100168"/>
    <s v="Burning Archive"/>
    <s v="TV Show"/>
    <x v="0"/>
    <n v="2017"/>
    <x v="7"/>
    <s v="2019-09-13"/>
    <n v="54"/>
    <s v="PG-13"/>
    <n v="8.1"/>
    <n v="109.5"/>
    <s v="English"/>
    <s v="Greta Gerwig"/>
    <s v="Emma Stone"/>
    <n v="1"/>
    <n v="139"/>
    <n v="852.3"/>
    <s v="Hit"/>
    <s v="Normal"/>
    <s v="No"/>
    <s v="High"/>
    <n v="713.3"/>
    <n v="613.16546762589917"/>
  </r>
  <r>
    <s v="NFX-100169"/>
    <s v="Golden Code"/>
    <s v="TV Show"/>
    <x v="2"/>
    <n v="2014"/>
    <x v="6"/>
    <s v="2018-07-08"/>
    <n v="54"/>
    <s v="G"/>
    <n v="8.5"/>
    <n v="387.3"/>
    <s v="French"/>
    <s v="Quentin Tarantino"/>
    <s v="Shah Rukh Khan"/>
    <n v="8"/>
    <n v="142"/>
    <n v="659.9"/>
    <s v="Hit"/>
    <s v="Popular"/>
    <s v="Yes"/>
    <s v="High"/>
    <n v="517.9"/>
    <n v="464.71830985915494"/>
  </r>
  <r>
    <s v="NFX-100170"/>
    <s v="Iron Chronicles 3"/>
    <s v="TV Show"/>
    <x v="1"/>
    <n v="2009"/>
    <x v="7"/>
    <s v="2019-07-11"/>
    <n v="58"/>
    <s v="G"/>
    <n v="4.8"/>
    <n v="296.8"/>
    <s v="German"/>
    <s v="Rajkumar Hirani"/>
    <s v="Tom Hardy"/>
    <n v="6"/>
    <n v="99"/>
    <n v="305.2"/>
    <s v="Flop"/>
    <s v="Popular"/>
    <s v="Yes"/>
    <s v="Low"/>
    <n v="206.2"/>
    <n v="308.28282828282829"/>
  </r>
  <r>
    <s v="NFX-100171"/>
    <s v="Fading Chronicles 8"/>
    <s v="TV Show"/>
    <x v="9"/>
    <n v="2011"/>
    <x v="3"/>
    <s v="2023-04-06"/>
    <n v="34"/>
    <s v="16+"/>
    <n v="4.9000000000000004"/>
    <n v="502"/>
    <s v="English"/>
    <s v="Denis Villeneuve"/>
    <s v="Deepika Padukone"/>
    <n v="7"/>
    <n v="131"/>
    <n v="446.3"/>
    <s v="Flop"/>
    <s v="Blockbuster"/>
    <s v="No"/>
    <s v="High"/>
    <n v="315.3"/>
    <n v="340.6870229007634"/>
  </r>
  <r>
    <s v="NFX-100172"/>
    <s v="Midnight Odyssey 2"/>
    <s v="Movie"/>
    <x v="6"/>
    <n v="2023"/>
    <x v="9"/>
    <s v="2024-06-15"/>
    <n v="137"/>
    <s v="18+"/>
    <n v="7"/>
    <n v="187.2"/>
    <s v="Japanese"/>
    <s v="Guillermo del Toro"/>
    <s v="Emma Stone"/>
    <m/>
    <n v="110"/>
    <n v="628.29999999999995"/>
    <s v="Average"/>
    <s v="Normal"/>
    <s v="No"/>
    <s v="High"/>
    <n v="518.29999999999995"/>
    <n v="571.18181818181813"/>
  </r>
  <r>
    <s v="NFX-100173"/>
    <s v="Secret Empire"/>
    <s v="TV Show"/>
    <x v="8"/>
    <n v="2022"/>
    <x v="1"/>
    <s v="2020-11-11"/>
    <n v="47"/>
    <s v="PG"/>
    <n v="7.7"/>
    <n v="570.5"/>
    <s v="Spanish"/>
    <s v="Sanjay Leela Bhansali"/>
    <s v="Scarlett Johansson"/>
    <n v="5"/>
    <n v="128"/>
    <n v="724.1"/>
    <s v="Average"/>
    <s v="Blockbuster"/>
    <s v="Yes"/>
    <s v="High"/>
    <n v="596.1"/>
    <n v="565.703125"/>
  </r>
  <r>
    <s v="NFX-100174"/>
    <s v="Midnight Frontier 3"/>
    <s v="TV Show"/>
    <x v="10"/>
    <n v="2015"/>
    <x v="7"/>
    <s v="2024-03-18"/>
    <n v="47"/>
    <s v="G"/>
    <n v="6"/>
    <n v="143.30000000000001"/>
    <s v="Korean"/>
    <s v="James Cameron"/>
    <s v="Lee Jung-jae"/>
    <n v="5"/>
    <n v="5"/>
    <n v="9.6"/>
    <s v="Average"/>
    <s v="Normal"/>
    <s v="Yes"/>
    <s v="Low"/>
    <n v="4.5999999999999996"/>
    <n v="192"/>
  </r>
  <r>
    <s v="NFX-100175"/>
    <s v="Hidden Horizon 5"/>
    <s v="Movie"/>
    <x v="9"/>
    <n v="2005"/>
    <x v="1"/>
    <s v="2020-01-01"/>
    <n v="171"/>
    <s v="16+"/>
    <n v="4.7"/>
    <n v="60.5"/>
    <s v="English"/>
    <s v="Anurag Kashyap"/>
    <s v="Shah Rukh Khan"/>
    <m/>
    <n v="73"/>
    <n v="148.5"/>
    <s v="Flop"/>
    <s v="Normal"/>
    <s v="No"/>
    <s v="Low"/>
    <n v="75.5"/>
    <n v="203.42465753424656"/>
  </r>
  <r>
    <s v="NFX-100176"/>
    <s v="Midnight Empire 9"/>
    <s v="Movie"/>
    <x v="4"/>
    <n v="2019"/>
    <x v="2"/>
    <s v="2024-10-23"/>
    <n v="150"/>
    <s v="16+"/>
    <n v="8.1999999999999993"/>
    <n v="395.9"/>
    <s v="Korean"/>
    <s v="Park Chan-wook"/>
    <s v="Brad Pitt"/>
    <m/>
    <n v="17"/>
    <n v="93.6"/>
    <s v="Hit"/>
    <s v="Popular"/>
    <s v="No"/>
    <s v="Low"/>
    <n v="76.599999999999994"/>
    <n v="550.58823529411768"/>
  </r>
  <r>
    <s v="NFX-100177"/>
    <s v="Shadow Valley 3"/>
    <s v="TV Show"/>
    <x v="6"/>
    <n v="2025"/>
    <x v="9"/>
    <s v="2023-05-29"/>
    <n v="40"/>
    <s v="PG-13"/>
    <n v="6"/>
    <n v="95.1"/>
    <s v="French"/>
    <s v="Rajkumar Hirani"/>
    <s v="Scarlett Johansson"/>
    <n v="7"/>
    <n v="122"/>
    <n v="280.5"/>
    <s v="Average"/>
    <s v="Normal"/>
    <s v="No"/>
    <s v="High"/>
    <n v="158.5"/>
    <n v="229.91803278688522"/>
  </r>
  <r>
    <s v="NFX-100178"/>
    <s v="Midnight Protocol"/>
    <s v="TV Show"/>
    <x v="5"/>
    <n v="2016"/>
    <x v="2"/>
    <s v="2018-01-17"/>
    <n v="40"/>
    <s v="G"/>
    <n v="5.0999999999999996"/>
    <n v="319.5"/>
    <s v="German"/>
    <s v="Ridley Scott"/>
    <s v="Jennifer Lawrence"/>
    <n v="5"/>
    <n v="175"/>
    <n v="569.6"/>
    <s v="Flop"/>
    <s v="Popular"/>
    <s v="Yes"/>
    <s v="High"/>
    <n v="394.6"/>
    <n v="325.48571428571427"/>
  </r>
  <r>
    <s v="NFX-100179"/>
    <s v="Silent Empire 2"/>
    <s v="TV Show"/>
    <x v="10"/>
    <n v="2019"/>
    <x v="2"/>
    <s v="2024-02-11"/>
    <n v="58"/>
    <s v="18+"/>
    <n v="7.9"/>
    <n v="167.9"/>
    <s v="English"/>
    <s v="Zoya Akhtar"/>
    <s v="Ranbir Kapoor"/>
    <n v="6"/>
    <n v="10"/>
    <n v="30.3"/>
    <s v="Average"/>
    <s v="Normal"/>
    <s v="No"/>
    <s v="Low"/>
    <n v="20.3"/>
    <n v="303"/>
  </r>
  <r>
    <s v="NFX-100180"/>
    <s v="Rising Echo 8"/>
    <s v="TV Show"/>
    <x v="4"/>
    <n v="2009"/>
    <x v="5"/>
    <s v="2023-05-09"/>
    <n v="59"/>
    <s v="PG-13"/>
    <n v="6.1"/>
    <n v="211.5"/>
    <s v="German"/>
    <s v="Anurag Kashyap"/>
    <s v="Leonardo DiCaprio"/>
    <n v="5"/>
    <n v="195"/>
    <n v="544"/>
    <s v="Average"/>
    <s v="Popular"/>
    <s v="No"/>
    <s v="High"/>
    <n v="349"/>
    <n v="278.97435897435895"/>
  </r>
  <r>
    <s v="NFX-100181"/>
    <s v="Shadow Legacy"/>
    <s v="Movie"/>
    <x v="6"/>
    <n v="2007"/>
    <x v="4"/>
    <s v="2019-09-20"/>
    <n v="176"/>
    <s v="18+"/>
    <n v="5.4"/>
    <n v="73.8"/>
    <s v="German"/>
    <s v="Steven Spielberg"/>
    <s v="Ryan Gosling"/>
    <m/>
    <n v="124"/>
    <n v="368.4"/>
    <s v="Flop"/>
    <s v="Normal"/>
    <s v="No"/>
    <s v="High"/>
    <n v="244.39999999999998"/>
    <n v="297.09677419354836"/>
  </r>
  <r>
    <s v="NFX-100182"/>
    <s v="Golden Legacy"/>
    <s v="TV Show"/>
    <x v="10"/>
    <n v="2003"/>
    <x v="9"/>
    <s v="2024-06-14"/>
    <n v="47"/>
    <s v="16+"/>
    <n v="6.4"/>
    <n v="287.60000000000002"/>
    <s v="Korean"/>
    <s v="Martin Scorsese"/>
    <s v="Tom Hardy"/>
    <n v="8"/>
    <n v="135"/>
    <n v="758.9"/>
    <s v="Average"/>
    <s v="Popular"/>
    <s v="No"/>
    <s v="High"/>
    <n v="623.9"/>
    <n v="562.14814814814815"/>
  </r>
  <r>
    <s v="NFX-100183"/>
    <s v="Shadow Frontier 3"/>
    <s v="TV Show"/>
    <x v="0"/>
    <n v="2010"/>
    <x v="3"/>
    <s v="2019-11-19"/>
    <n v="52"/>
    <s v="PG-13"/>
    <n v="5.9"/>
    <n v="231.6"/>
    <s v="French"/>
    <s v="Park Chan-wook"/>
    <s v="Ranbir Kapoor"/>
    <n v="7"/>
    <n v="135"/>
    <n v="727.7"/>
    <s v="Flop"/>
    <s v="Popular"/>
    <s v="No"/>
    <s v="High"/>
    <n v="592.70000000000005"/>
    <n v="539.03703703703707"/>
  </r>
  <r>
    <s v="NFX-100184"/>
    <s v="Midnight Journey"/>
    <s v="Movie"/>
    <x v="7"/>
    <n v="2007"/>
    <x v="6"/>
    <s v="2021-04-26"/>
    <n v="96"/>
    <s v="18+"/>
    <n v="8"/>
    <n v="517"/>
    <s v="German"/>
    <s v="Park Chan-wook"/>
    <s v="Brad Pitt"/>
    <m/>
    <n v="22"/>
    <n v="37.6"/>
    <s v="Hit"/>
    <s v="Blockbuster"/>
    <s v="No"/>
    <s v="Low"/>
    <n v="15.600000000000001"/>
    <n v="170.90909090909093"/>
  </r>
  <r>
    <s v="NFX-100185"/>
    <s v="Last Code 5"/>
    <s v="TV Show"/>
    <x v="10"/>
    <n v="2014"/>
    <x v="6"/>
    <s v="2019-08-24"/>
    <n v="53"/>
    <s v="PG-13"/>
    <n v="6.3"/>
    <n v="442.9"/>
    <s v="Korean"/>
    <s v="Ridley Scott"/>
    <s v="Robert Downey Jr."/>
    <n v="7"/>
    <n v="156"/>
    <n v="852.6"/>
    <s v="Average"/>
    <s v="Blockbuster"/>
    <s v="No"/>
    <s v="High"/>
    <n v="696.6"/>
    <n v="546.53846153846155"/>
  </r>
  <r>
    <s v="NFX-100186"/>
    <s v="Golden Horizon"/>
    <s v="Movie"/>
    <x v="7"/>
    <n v="2021"/>
    <x v="0"/>
    <s v="2024-07-13"/>
    <n v="108"/>
    <s v="PG"/>
    <n v="8.3000000000000007"/>
    <n v="268.7"/>
    <s v="Korean"/>
    <s v="Bong Joon-ho"/>
    <s v="Song Kang-ho"/>
    <m/>
    <n v="83"/>
    <n v="505.2"/>
    <s v="Hit"/>
    <s v="Popular"/>
    <s v="Yes"/>
    <s v="Low"/>
    <n v="422.2"/>
    <n v="608.67469879518069"/>
  </r>
  <r>
    <s v="NFX-100187"/>
    <s v="Crystal Empire 9"/>
    <s v="Movie"/>
    <x v="6"/>
    <n v="2019"/>
    <x v="8"/>
    <s v="2019-12-03"/>
    <n v="176"/>
    <s v="G"/>
    <n v="7.1"/>
    <n v="392.4"/>
    <s v="French"/>
    <s v="Greta Gerwig"/>
    <s v="Robert Downey Jr."/>
    <m/>
    <n v="200"/>
    <n v="687.7"/>
    <s v="Average"/>
    <s v="Popular"/>
    <s v="Yes"/>
    <s v="High"/>
    <n v="487.70000000000005"/>
    <n v="343.85"/>
  </r>
  <r>
    <s v="NFX-100188"/>
    <s v="Rising Code 4"/>
    <s v="TV Show"/>
    <x v="1"/>
    <n v="2006"/>
    <x v="1"/>
    <s v="2018-11-20"/>
    <n v="37"/>
    <s v="18+"/>
    <n v="7.5"/>
    <n v="251.4"/>
    <s v="English"/>
    <s v="Bong Joon-ho"/>
    <s v="Jennifer Lawrence"/>
    <n v="2"/>
    <n v="190"/>
    <n v="1023.7"/>
    <s v="Average"/>
    <s v="Popular"/>
    <s v="No"/>
    <s v="High"/>
    <n v="833.7"/>
    <n v="538.78947368421052"/>
  </r>
  <r>
    <s v="NFX-100189"/>
    <s v="Fading Journey 7"/>
    <s v="Movie"/>
    <x v="1"/>
    <n v="2001"/>
    <x v="3"/>
    <s v="2023-11-10"/>
    <n v="112"/>
    <s v="PG-13"/>
    <n v="5"/>
    <n v="419.6"/>
    <s v="Spanish"/>
    <s v="Ridley Scott"/>
    <s v="Song Kang-ho"/>
    <m/>
    <n v="40"/>
    <n v="195.7"/>
    <s v="Flop"/>
    <s v="Blockbuster"/>
    <s v="No"/>
    <s v="Low"/>
    <n v="155.69999999999999"/>
    <n v="489.25"/>
  </r>
  <r>
    <s v="NFX-100190"/>
    <s v="Fading Echo"/>
    <s v="Movie"/>
    <x v="7"/>
    <n v="2004"/>
    <x v="3"/>
    <s v="2023-05-18"/>
    <n v="133"/>
    <s v="18+"/>
    <n v="7.2"/>
    <n v="163.19999999999999"/>
    <s v="Hindi"/>
    <s v="Anurag Kashyap"/>
    <s v="Ryan Gosling"/>
    <m/>
    <n v="87"/>
    <n v="550.20000000000005"/>
    <s v="Average"/>
    <s v="Normal"/>
    <s v="No"/>
    <s v="Low"/>
    <n v="463.20000000000005"/>
    <n v="632.41379310344837"/>
  </r>
  <r>
    <s v="NFX-100191"/>
    <s v="Rising Storm 4"/>
    <s v="TV Show"/>
    <x v="5"/>
    <n v="2007"/>
    <x v="4"/>
    <s v="2018-05-25"/>
    <n v="42"/>
    <s v="16+"/>
    <n v="6.1"/>
    <n v="132.9"/>
    <s v="English"/>
    <s v="Zoya Akhtar"/>
    <s v="Emma Stone"/>
    <n v="7"/>
    <n v="10"/>
    <n v="56.2"/>
    <s v="Average"/>
    <s v="Normal"/>
    <s v="No"/>
    <s v="Low"/>
    <n v="46.2"/>
    <n v="562"/>
  </r>
  <r>
    <s v="NFX-100192"/>
    <s v="Burning Journey 7"/>
    <s v="Movie"/>
    <x v="4"/>
    <n v="2002"/>
    <x v="2"/>
    <s v="2023-06-02"/>
    <n v="161"/>
    <s v="PG"/>
    <n v="5.5"/>
    <n v="517.9"/>
    <s v="Korean"/>
    <s v="Greta Gerwig"/>
    <s v="Shah Rukh Khan"/>
    <m/>
    <n v="165"/>
    <n v="875.5"/>
    <s v="Flop"/>
    <s v="Blockbuster"/>
    <s v="Yes"/>
    <s v="High"/>
    <n v="710.5"/>
    <n v="530.60606060606062"/>
  </r>
  <r>
    <s v="NFX-100193"/>
    <s v="Burning Valley 7"/>
    <s v="TV Show"/>
    <x v="2"/>
    <n v="2006"/>
    <x v="6"/>
    <s v="2021-01-01"/>
    <n v="34"/>
    <s v="16+"/>
    <n v="6.3"/>
    <n v="52.1"/>
    <s v="French"/>
    <s v="Quentin Tarantino"/>
    <s v="Tom Hardy"/>
    <n v="4"/>
    <n v="131"/>
    <n v="158.6"/>
    <s v="Average"/>
    <s v="Normal"/>
    <s v="No"/>
    <s v="High"/>
    <n v="27.599999999999994"/>
    <n v="121.06870229007633"/>
  </r>
  <r>
    <s v="NFX-100194"/>
    <s v="Lost Valley"/>
    <s v="TV Show"/>
    <x v="0"/>
    <n v="2004"/>
    <x v="9"/>
    <s v="2020-03-24"/>
    <n v="59"/>
    <s v="18+"/>
    <n v="6.7"/>
    <n v="549.5"/>
    <s v="Japanese"/>
    <s v="Denis Villeneuve"/>
    <s v="Emma Stone"/>
    <n v="4"/>
    <n v="123"/>
    <n v="397"/>
    <s v="Average"/>
    <s v="Blockbuster"/>
    <s v="No"/>
    <s v="High"/>
    <n v="274"/>
    <n v="322.76422764227641"/>
  </r>
  <r>
    <s v="NFX-100195"/>
    <s v="Shadow Storm 3"/>
    <s v="TV Show"/>
    <x v="1"/>
    <n v="2014"/>
    <x v="2"/>
    <s v="2018-03-19"/>
    <n v="58"/>
    <s v="PG"/>
    <n v="8.3000000000000007"/>
    <n v="254.9"/>
    <s v="Korean"/>
    <s v="Steven Spielberg"/>
    <s v="Lee Jung-jae"/>
    <n v="2"/>
    <n v="16"/>
    <n v="21.9"/>
    <s v="Hit"/>
    <s v="Popular"/>
    <s v="Yes"/>
    <s v="Low"/>
    <n v="5.8999999999999986"/>
    <n v="136.875"/>
  </r>
  <r>
    <s v="NFX-100196"/>
    <s v="Burning Chronicles"/>
    <s v="Movie"/>
    <x v="5"/>
    <n v="2007"/>
    <x v="6"/>
    <s v="2023-04-22"/>
    <n v="135"/>
    <s v="PG-13"/>
    <n v="7.9"/>
    <n v="528.29999999999995"/>
    <s v="Korean"/>
    <s v="Greta Gerwig"/>
    <s v="Tom Hardy"/>
    <m/>
    <n v="109"/>
    <n v="464"/>
    <s v="Average"/>
    <s v="Blockbuster"/>
    <s v="No"/>
    <s v="High"/>
    <n v="355"/>
    <n v="425.68807339449546"/>
  </r>
  <r>
    <s v="NFX-100197"/>
    <s v="Crystal Storm"/>
    <s v="Movie"/>
    <x v="1"/>
    <n v="2013"/>
    <x v="2"/>
    <s v="2018-06-05"/>
    <n v="88"/>
    <s v="PG"/>
    <n v="4.9000000000000004"/>
    <n v="102.7"/>
    <s v="English"/>
    <s v="Denis Villeneuve"/>
    <s v="Emma Stone"/>
    <m/>
    <n v="78"/>
    <n v="142.6"/>
    <s v="Flop"/>
    <s v="Normal"/>
    <s v="Yes"/>
    <s v="Low"/>
    <n v="64.599999999999994"/>
    <n v="182.82051282051282"/>
  </r>
  <r>
    <s v="NFX-100198"/>
    <s v="Dark Storm"/>
    <s v="TV Show"/>
    <x v="4"/>
    <n v="2000"/>
    <x v="9"/>
    <s v="2018-07-13"/>
    <n v="42"/>
    <s v="16+"/>
    <n v="6.1"/>
    <n v="423.6"/>
    <s v="Japanese"/>
    <s v="Park Chan-wook"/>
    <s v="Song Kang-ho"/>
    <n v="5"/>
    <n v="13"/>
    <n v="31.5"/>
    <s v="Average"/>
    <s v="Blockbuster"/>
    <s v="No"/>
    <s v="Low"/>
    <n v="18.5"/>
    <n v="242.30769230769229"/>
  </r>
  <r>
    <s v="NFX-100199"/>
    <s v="Secret City 2"/>
    <s v="Movie"/>
    <x v="3"/>
    <n v="2014"/>
    <x v="8"/>
    <s v="2023-08-28"/>
    <n v="136"/>
    <s v="PG-13"/>
    <n v="6.3"/>
    <n v="28.3"/>
    <s v="Hindi"/>
    <s v="Greta Gerwig"/>
    <s v="Tom Hardy"/>
    <m/>
    <n v="132"/>
    <n v="821.9"/>
    <s v="Average"/>
    <s v="Normal"/>
    <s v="No"/>
    <s v="High"/>
    <n v="689.9"/>
    <n v="622.65151515151513"/>
  </r>
  <r>
    <s v="NFX-100200"/>
    <s v="Shadow Signal 2"/>
    <s v="TV Show"/>
    <x v="8"/>
    <n v="2002"/>
    <x v="0"/>
    <s v="2022-06-29"/>
    <n v="30"/>
    <s v="G"/>
    <n v="9.5"/>
    <n v="298"/>
    <s v="Korean"/>
    <s v="Ridley Scott"/>
    <s v="Lee Jung-jae"/>
    <n v="3"/>
    <n v="69"/>
    <n v="357"/>
    <s v="Hit"/>
    <s v="Popular"/>
    <s v="Yes"/>
    <s v="Low"/>
    <n v="288"/>
    <n v="517.39130434782612"/>
  </r>
  <r>
    <s v="NFX-100201"/>
    <s v="Broken City"/>
    <s v="TV Show"/>
    <x v="2"/>
    <n v="2024"/>
    <x v="2"/>
    <s v="2022-09-30"/>
    <n v="45"/>
    <s v="PG"/>
    <n v="6.7"/>
    <n v="304.39999999999998"/>
    <s v="Hindi"/>
    <s v="Greta Gerwig"/>
    <s v="Deepika Padukone"/>
    <n v="4"/>
    <n v="104"/>
    <n v="259.39999999999998"/>
    <s v="Average"/>
    <s v="Popular"/>
    <s v="Yes"/>
    <s v="High"/>
    <n v="155.39999999999998"/>
    <n v="249.42307692307688"/>
  </r>
  <r>
    <s v="NFX-100202"/>
    <s v="Hidden Signal"/>
    <s v="TV Show"/>
    <x v="8"/>
    <n v="2020"/>
    <x v="7"/>
    <s v="2024-10-16"/>
    <n v="42"/>
    <s v="PG-13"/>
    <n v="6.3"/>
    <n v="124"/>
    <s v="French"/>
    <s v="Sanjay Leela Bhansali"/>
    <s v="Brad Pitt"/>
    <n v="7"/>
    <n v="63"/>
    <n v="271.5"/>
    <s v="Average"/>
    <s v="Normal"/>
    <s v="No"/>
    <s v="Low"/>
    <n v="208.5"/>
    <n v="430.95238095238091"/>
  </r>
  <r>
    <s v="NFX-100203"/>
    <s v="Fading Legacy"/>
    <s v="Movie"/>
    <x v="8"/>
    <n v="2023"/>
    <x v="9"/>
    <s v="2020-02-14"/>
    <n v="135"/>
    <s v="G"/>
    <n v="4.8"/>
    <n v="136.69999999999999"/>
    <s v="Spanish"/>
    <s v="Quentin Tarantino"/>
    <s v="Shah Rukh Khan"/>
    <m/>
    <n v="198"/>
    <n v="1004.3"/>
    <s v="Flop"/>
    <s v="Normal"/>
    <s v="Yes"/>
    <s v="High"/>
    <n v="806.3"/>
    <n v="507.22222222222217"/>
  </r>
  <r>
    <s v="NFX-100204"/>
    <s v="Burning Legacy 2"/>
    <s v="TV Show"/>
    <x v="5"/>
    <n v="2014"/>
    <x v="9"/>
    <s v="2023-02-04"/>
    <n v="36"/>
    <s v="PG-13"/>
    <n v="5.9"/>
    <n v="161.1"/>
    <s v="German"/>
    <s v="Greta Gerwig"/>
    <s v="Deepika Padukone"/>
    <n v="8"/>
    <n v="130"/>
    <n v="720.8"/>
    <s v="Flop"/>
    <s v="Normal"/>
    <s v="No"/>
    <s v="High"/>
    <n v="590.79999999999995"/>
    <n v="554.46153846153845"/>
  </r>
  <r>
    <s v="NFX-100205"/>
    <s v="Hidden Echo 7"/>
    <s v="Movie"/>
    <x v="9"/>
    <n v="2004"/>
    <x v="7"/>
    <s v="2018-06-29"/>
    <n v="138"/>
    <s v="PG-13"/>
    <n v="9.3000000000000007"/>
    <n v="592.70000000000005"/>
    <s v="Hindi"/>
    <s v="Christopher Nolan"/>
    <s v="Brad Pitt"/>
    <m/>
    <n v="158"/>
    <n v="797.8"/>
    <s v="Hit"/>
    <s v="Blockbuster"/>
    <s v="No"/>
    <s v="High"/>
    <n v="639.79999999999995"/>
    <n v="504.93670886075944"/>
  </r>
  <r>
    <s v="NFX-100206"/>
    <s v="Golden Signal 9"/>
    <s v="Movie"/>
    <x v="4"/>
    <n v="2020"/>
    <x v="5"/>
    <s v="2018-12-26"/>
    <n v="167"/>
    <s v="PG-13"/>
    <n v="5.5"/>
    <n v="445.1"/>
    <s v="German"/>
    <s v="Park Chan-wook"/>
    <s v="Shah Rukh Khan"/>
    <m/>
    <n v="149"/>
    <n v="447.4"/>
    <s v="Flop"/>
    <s v="Blockbuster"/>
    <s v="No"/>
    <s v="High"/>
    <n v="298.39999999999998"/>
    <n v="300.26845637583892"/>
  </r>
  <r>
    <s v="NFX-100207"/>
    <s v="Dark Horizon"/>
    <s v="Movie"/>
    <x v="8"/>
    <n v="2018"/>
    <x v="7"/>
    <s v="2019-07-06"/>
    <n v="121"/>
    <s v="G"/>
    <n v="8.1999999999999993"/>
    <n v="543.79999999999995"/>
    <s v="French"/>
    <s v="Sanjay Leela Bhansali"/>
    <s v="Scarlett Johansson"/>
    <m/>
    <n v="14"/>
    <n v="54.5"/>
    <s v="Hit"/>
    <s v="Blockbuster"/>
    <s v="Yes"/>
    <s v="Low"/>
    <n v="40.5"/>
    <n v="389.28571428571428"/>
  </r>
  <r>
    <s v="NFX-100208"/>
    <s v="Burning Empire"/>
    <s v="Movie"/>
    <x v="10"/>
    <n v="2004"/>
    <x v="3"/>
    <s v="2022-01-19"/>
    <n v="121"/>
    <s v="18+"/>
    <n v="5.7"/>
    <n v="343.3"/>
    <s v="French"/>
    <s v="Steven Spielberg"/>
    <s v="Brad Pitt"/>
    <m/>
    <n v="115"/>
    <n v="280.10000000000002"/>
    <s v="Flop"/>
    <s v="Popular"/>
    <s v="No"/>
    <s v="High"/>
    <n v="165.10000000000002"/>
    <n v="243.56521739130437"/>
  </r>
  <r>
    <s v="NFX-100209"/>
    <s v="Iron Protocol"/>
    <s v="TV Show"/>
    <x v="3"/>
    <n v="2008"/>
    <x v="4"/>
    <s v="2022-12-22"/>
    <n v="56"/>
    <s v="18+"/>
    <n v="6.1"/>
    <n v="452.9"/>
    <s v="English"/>
    <s v="Greta Gerwig"/>
    <s v="Lee Jung-jae"/>
    <n v="2"/>
    <n v="59"/>
    <n v="173.3"/>
    <s v="Average"/>
    <s v="Blockbuster"/>
    <s v="No"/>
    <s v="Low"/>
    <n v="114.30000000000001"/>
    <n v="293.72881355932202"/>
  </r>
  <r>
    <s v="NFX-100210"/>
    <s v="Hidden Echo 4"/>
    <s v="Movie"/>
    <x v="1"/>
    <n v="2003"/>
    <x v="9"/>
    <s v="2020-04-13"/>
    <n v="87"/>
    <s v="G"/>
    <n v="6.1"/>
    <n v="385.8"/>
    <s v="Japanese"/>
    <s v="Anurag Kashyap"/>
    <s v="Brad Pitt"/>
    <m/>
    <n v="127"/>
    <n v="246.5"/>
    <s v="Average"/>
    <s v="Popular"/>
    <s v="Yes"/>
    <s v="High"/>
    <n v="119.5"/>
    <n v="194.09448818897638"/>
  </r>
  <r>
    <s v="NFX-100211"/>
    <s v="Broken Valley"/>
    <s v="Movie"/>
    <x v="7"/>
    <n v="2003"/>
    <x v="9"/>
    <s v="2020-10-29"/>
    <n v="110"/>
    <s v="18+"/>
    <n v="4.8"/>
    <n v="460.9"/>
    <s v="Korean"/>
    <s v="Rajkumar Hirani"/>
    <s v="Song Kang-ho"/>
    <m/>
    <n v="44"/>
    <n v="226.3"/>
    <s v="Flop"/>
    <s v="Blockbuster"/>
    <s v="No"/>
    <s v="Low"/>
    <n v="182.3"/>
    <n v="514.31818181818187"/>
  </r>
  <r>
    <s v="NFX-100212"/>
    <s v="Rising Storm 1"/>
    <s v="Movie"/>
    <x v="4"/>
    <n v="2007"/>
    <x v="4"/>
    <s v="2020-01-07"/>
    <n v="166"/>
    <s v="PG"/>
    <n v="8.3000000000000007"/>
    <n v="499.9"/>
    <s v="Japanese"/>
    <s v="Sanjay Leela Bhansali"/>
    <s v="Ranbir Kapoor"/>
    <m/>
    <n v="124"/>
    <n v="226.8"/>
    <s v="Hit"/>
    <s v="Blockbuster"/>
    <s v="Yes"/>
    <s v="High"/>
    <n v="102.80000000000001"/>
    <n v="182.90322580645162"/>
  </r>
  <r>
    <s v="NFX-100213"/>
    <s v="Fading Protocol 9"/>
    <s v="Movie"/>
    <x v="8"/>
    <n v="2024"/>
    <x v="5"/>
    <s v="2018-01-14"/>
    <n v="142"/>
    <s v="PG-13"/>
    <n v="4.7"/>
    <n v="298.7"/>
    <s v="French"/>
    <s v="Bong Joon-ho"/>
    <s v="Robert Downey Jr."/>
    <m/>
    <n v="47"/>
    <n v="90.1"/>
    <s v="Flop"/>
    <s v="Popular"/>
    <s v="No"/>
    <s v="Low"/>
    <n v="43.099999999999994"/>
    <n v="191.70212765957447"/>
  </r>
  <r>
    <s v="NFX-100214"/>
    <s v="Dark City 6"/>
    <s v="TV Show"/>
    <x v="4"/>
    <n v="2002"/>
    <x v="7"/>
    <s v="2020-08-08"/>
    <n v="39"/>
    <s v="G"/>
    <n v="6.2"/>
    <n v="198.1"/>
    <s v="English"/>
    <s v="Zoya Akhtar"/>
    <s v="Jennifer Lawrence"/>
    <n v="4"/>
    <n v="171"/>
    <n v="901.1"/>
    <s v="Average"/>
    <s v="Normal"/>
    <s v="Yes"/>
    <s v="High"/>
    <n v="730.1"/>
    <n v="526.95906432748541"/>
  </r>
  <r>
    <s v="NFX-100215"/>
    <s v="Burning Echo"/>
    <s v="TV Show"/>
    <x v="0"/>
    <n v="2009"/>
    <x v="8"/>
    <s v="2018-04-11"/>
    <n v="48"/>
    <s v="G"/>
    <n v="4.5999999999999996"/>
    <n v="224.8"/>
    <s v="Hindi"/>
    <s v="Ridley Scott"/>
    <s v="Lee Jung-jae"/>
    <n v="2"/>
    <n v="49"/>
    <n v="295.8"/>
    <s v="Flop"/>
    <s v="Popular"/>
    <s v="Yes"/>
    <s v="Low"/>
    <n v="246.8"/>
    <n v="603.67346938775506"/>
  </r>
  <r>
    <s v="NFX-100216"/>
    <s v="Midnight Storm 2"/>
    <s v="Movie"/>
    <x v="10"/>
    <n v="2010"/>
    <x v="4"/>
    <s v="2020-10-09"/>
    <n v="120"/>
    <s v="PG-13"/>
    <n v="6.9"/>
    <n v="230.5"/>
    <s v="German"/>
    <s v="Christopher Nolan"/>
    <s v="Tom Hardy"/>
    <m/>
    <n v="117"/>
    <n v="538.79999999999995"/>
    <s v="Average"/>
    <s v="Popular"/>
    <s v="No"/>
    <s v="High"/>
    <n v="421.79999999999995"/>
    <n v="460.5128205128205"/>
  </r>
  <r>
    <s v="NFX-100217"/>
    <s v="Crystal City"/>
    <s v="Movie"/>
    <x v="8"/>
    <n v="2000"/>
    <x v="1"/>
    <s v="2021-06-11"/>
    <n v="179"/>
    <s v="PG"/>
    <n v="5.9"/>
    <n v="528.70000000000005"/>
    <s v="Hindi"/>
    <s v="Bong Joon-ho"/>
    <s v="Emma Stone"/>
    <m/>
    <n v="22"/>
    <n v="83.2"/>
    <s v="Flop"/>
    <s v="Blockbuster"/>
    <s v="Yes"/>
    <s v="Low"/>
    <n v="61.2"/>
    <n v="378.18181818181819"/>
  </r>
  <r>
    <s v="NFX-100218"/>
    <s v="Midnight Horizon 5"/>
    <s v="Movie"/>
    <x v="1"/>
    <n v="2007"/>
    <x v="4"/>
    <s v="2022-11-13"/>
    <n v="165"/>
    <s v="PG-13"/>
    <n v="8.8000000000000007"/>
    <n v="332"/>
    <s v="French"/>
    <s v="James Cameron"/>
    <s v="Chris Evans"/>
    <m/>
    <n v="21"/>
    <n v="120.5"/>
    <s v="Hit"/>
    <s v="Popular"/>
    <s v="No"/>
    <s v="Low"/>
    <n v="99.5"/>
    <n v="573.80952380952385"/>
  </r>
  <r>
    <s v="NFX-100219"/>
    <s v="Broken Valley 3"/>
    <s v="TV Show"/>
    <x v="9"/>
    <n v="2022"/>
    <x v="2"/>
    <s v="2020-03-26"/>
    <n v="38"/>
    <s v="PG-13"/>
    <n v="8.9"/>
    <n v="180.7"/>
    <s v="German"/>
    <s v="Greta Gerwig"/>
    <s v="Jennifer Lawrence"/>
    <n v="1"/>
    <n v="104"/>
    <n v="151.19999999999999"/>
    <s v="Hit"/>
    <s v="Normal"/>
    <s v="No"/>
    <s v="High"/>
    <n v="47.199999999999989"/>
    <n v="145.38461538461539"/>
  </r>
  <r>
    <s v="NFX-100220"/>
    <s v="Golden Archive 4"/>
    <s v="Movie"/>
    <x v="3"/>
    <n v="2006"/>
    <x v="1"/>
    <s v="2020-02-18"/>
    <n v="169"/>
    <s v="18+"/>
    <n v="9.6"/>
    <n v="149"/>
    <s v="Korean"/>
    <s v="Steven Spielberg"/>
    <s v="Chris Evans"/>
    <m/>
    <n v="97"/>
    <n v="546.20000000000005"/>
    <s v="Hit"/>
    <s v="Normal"/>
    <s v="No"/>
    <s v="Low"/>
    <n v="449.20000000000005"/>
    <n v="563.09278350515467"/>
  </r>
  <r>
    <s v="NFX-100221"/>
    <s v="Rising Odyssey 9"/>
    <s v="Movie"/>
    <x v="3"/>
    <n v="2022"/>
    <x v="5"/>
    <s v="2022-08-12"/>
    <n v="175"/>
    <s v="PG-13"/>
    <n v="8.3000000000000007"/>
    <n v="216.9"/>
    <s v="French"/>
    <s v="Bong Joon-ho"/>
    <s v="Chris Evans"/>
    <m/>
    <n v="59"/>
    <n v="351.7"/>
    <s v="Hit"/>
    <s v="Popular"/>
    <s v="No"/>
    <s v="Low"/>
    <n v="292.7"/>
    <n v="596.10169491525426"/>
  </r>
  <r>
    <s v="NFX-100222"/>
    <s v="Secret Horizon 4"/>
    <s v="Movie"/>
    <x v="9"/>
    <n v="2003"/>
    <x v="2"/>
    <s v="2018-10-13"/>
    <n v="131"/>
    <s v="18+"/>
    <n v="6.1"/>
    <n v="384.6"/>
    <s v="French"/>
    <s v="Christopher Nolan"/>
    <s v="Robert Downey Jr."/>
    <m/>
    <n v="138"/>
    <n v="817.6"/>
    <s v="Average"/>
    <s v="Popular"/>
    <s v="No"/>
    <s v="High"/>
    <n v="679.6"/>
    <n v="592.463768115942"/>
  </r>
  <r>
    <s v="NFX-100223"/>
    <s v="Lost Legacy 2"/>
    <s v="TV Show"/>
    <x v="5"/>
    <n v="2010"/>
    <x v="6"/>
    <s v="2018-09-22"/>
    <n v="36"/>
    <s v="16+"/>
    <n v="5.3"/>
    <n v="174.5"/>
    <s v="English"/>
    <s v="Sanjay Leela Bhansali"/>
    <s v="Shah Rukh Khan"/>
    <n v="1"/>
    <n v="124"/>
    <n v="707.9"/>
    <s v="Flop"/>
    <s v="Normal"/>
    <s v="No"/>
    <s v="High"/>
    <n v="583.9"/>
    <n v="570.88709677419354"/>
  </r>
  <r>
    <s v="NFX-100224"/>
    <s v="Secret Storm"/>
    <s v="Movie"/>
    <x v="6"/>
    <n v="2011"/>
    <x v="4"/>
    <s v="2022-07-12"/>
    <n v="143"/>
    <s v="G"/>
    <n v="4.7"/>
    <n v="30.1"/>
    <s v="French"/>
    <s v="Guillermo del Toro"/>
    <s v="Brad Pitt"/>
    <m/>
    <n v="105"/>
    <n v="442.1"/>
    <s v="Flop"/>
    <s v="Normal"/>
    <s v="Yes"/>
    <s v="High"/>
    <n v="337.1"/>
    <n v="421.04761904761904"/>
  </r>
  <r>
    <s v="NFX-100225"/>
    <s v="Last Signal 5"/>
    <s v="TV Show"/>
    <x v="9"/>
    <n v="2004"/>
    <x v="9"/>
    <s v="2022-08-21"/>
    <n v="52"/>
    <s v="G"/>
    <n v="9.1999999999999993"/>
    <n v="424.6"/>
    <s v="English"/>
    <s v="Denis Villeneuve"/>
    <s v="Lee Jung-jae"/>
    <n v="3"/>
    <n v="136"/>
    <n v="737.9"/>
    <s v="Hit"/>
    <s v="Blockbuster"/>
    <s v="Yes"/>
    <s v="High"/>
    <n v="601.9"/>
    <n v="542.57352941176475"/>
  </r>
  <r>
    <s v="NFX-100226"/>
    <s v="Burning Frontier 3"/>
    <s v="TV Show"/>
    <x v="0"/>
    <n v="2024"/>
    <x v="7"/>
    <s v="2020-02-26"/>
    <n v="53"/>
    <s v="16+"/>
    <n v="8.8000000000000007"/>
    <n v="55.2"/>
    <s v="German"/>
    <s v="Anurag Kashyap"/>
    <s v="Tom Hardy"/>
    <n v="4"/>
    <n v="174"/>
    <n v="342.4"/>
    <s v="Hit"/>
    <s v="Normal"/>
    <s v="No"/>
    <s v="High"/>
    <n v="168.39999999999998"/>
    <n v="196.7816091954023"/>
  </r>
  <r>
    <s v="NFX-100227"/>
    <s v="Fading Frontier 4"/>
    <s v="Movie"/>
    <x v="6"/>
    <n v="2006"/>
    <x v="3"/>
    <s v="2019-06-29"/>
    <n v="169"/>
    <s v="16+"/>
    <n v="4.9000000000000004"/>
    <n v="141.9"/>
    <s v="German"/>
    <s v="Greta Gerwig"/>
    <s v="Emma Stone"/>
    <m/>
    <n v="121"/>
    <n v="372.3"/>
    <s v="Flop"/>
    <s v="Normal"/>
    <s v="No"/>
    <s v="High"/>
    <n v="251.3"/>
    <n v="307.68595041322311"/>
  </r>
  <r>
    <s v="NFX-100228"/>
    <s v="Lost Odyssey 5"/>
    <s v="Movie"/>
    <x v="8"/>
    <n v="2019"/>
    <x v="0"/>
    <s v="2022-12-11"/>
    <n v="168"/>
    <s v="G"/>
    <n v="4.5999999999999996"/>
    <n v="461.6"/>
    <s v="English"/>
    <s v="Greta Gerwig"/>
    <s v="Emma Stone"/>
    <m/>
    <n v="173"/>
    <n v="436.3"/>
    <s v="Flop"/>
    <s v="Blockbuster"/>
    <s v="Yes"/>
    <s v="High"/>
    <n v="263.3"/>
    <n v="252.19653179190752"/>
  </r>
  <r>
    <s v="NFX-100229"/>
    <s v="Dark Archive 5"/>
    <s v="TV Show"/>
    <x v="1"/>
    <n v="2014"/>
    <x v="8"/>
    <s v="2020-09-08"/>
    <n v="42"/>
    <s v="16+"/>
    <n v="8.5"/>
    <n v="354.5"/>
    <s v="Japanese"/>
    <s v="Rajkumar Hirani"/>
    <s v="Tom Hardy"/>
    <n v="2"/>
    <n v="155"/>
    <n v="946.6"/>
    <s v="Hit"/>
    <s v="Popular"/>
    <s v="No"/>
    <s v="High"/>
    <n v="791.6"/>
    <n v="610.70967741935488"/>
  </r>
  <r>
    <s v="NFX-100230"/>
    <s v="Hidden Archive 5"/>
    <s v="TV Show"/>
    <x v="4"/>
    <n v="2006"/>
    <x v="8"/>
    <s v="2020-10-08"/>
    <n v="42"/>
    <s v="18+"/>
    <n v="5.2"/>
    <n v="513.1"/>
    <s v="Korean"/>
    <s v="Quentin Tarantino"/>
    <s v="Emma Stone"/>
    <n v="4"/>
    <n v="105"/>
    <n v="175.3"/>
    <s v="Flop"/>
    <s v="Blockbuster"/>
    <s v="No"/>
    <s v="High"/>
    <n v="70.300000000000011"/>
    <n v="166.95238095238096"/>
  </r>
  <r>
    <s v="NFX-100231"/>
    <s v="Golden Chronicles 3"/>
    <s v="Movie"/>
    <x v="7"/>
    <n v="2003"/>
    <x v="3"/>
    <s v="2018-12-15"/>
    <n v="109"/>
    <s v="PG"/>
    <n v="8.8000000000000007"/>
    <n v="243.9"/>
    <s v="French"/>
    <s v="Anurag Kashyap"/>
    <s v="Jennifer Lawrence"/>
    <m/>
    <n v="32"/>
    <n v="131.80000000000001"/>
    <s v="Hit"/>
    <s v="Popular"/>
    <s v="Yes"/>
    <s v="Low"/>
    <n v="99.800000000000011"/>
    <n v="411.87500000000006"/>
  </r>
  <r>
    <s v="NFX-100232"/>
    <s v="Last Horizon"/>
    <s v="Movie"/>
    <x v="8"/>
    <n v="2017"/>
    <x v="5"/>
    <s v="2019-07-07"/>
    <n v="168"/>
    <s v="18+"/>
    <n v="4.7"/>
    <n v="487.1"/>
    <s v="Korean"/>
    <s v="Steven Spielberg"/>
    <s v="Emma Stone"/>
    <m/>
    <n v="99"/>
    <n v="436.6"/>
    <s v="Flop"/>
    <s v="Blockbuster"/>
    <s v="No"/>
    <s v="Low"/>
    <n v="337.6"/>
    <n v="441.0101010101011"/>
  </r>
  <r>
    <s v="NFX-100233"/>
    <s v="Midnight Signal"/>
    <s v="TV Show"/>
    <x v="3"/>
    <n v="2023"/>
    <x v="5"/>
    <s v="2024-09-06"/>
    <n v="38"/>
    <s v="16+"/>
    <n v="4.5"/>
    <n v="524.9"/>
    <s v="Spanish"/>
    <s v="James Cameron"/>
    <s v="Scarlett Johansson"/>
    <n v="1"/>
    <n v="167"/>
    <n v="260.7"/>
    <s v="Flop"/>
    <s v="Blockbuster"/>
    <s v="No"/>
    <s v="High"/>
    <n v="93.699999999999989"/>
    <n v="156.1077844311377"/>
  </r>
  <r>
    <s v="NFX-100234"/>
    <s v="Burning Frontier"/>
    <s v="Movie"/>
    <x v="2"/>
    <n v="2016"/>
    <x v="3"/>
    <s v="2021-11-27"/>
    <n v="107"/>
    <s v="G"/>
    <n v="6.2"/>
    <n v="73.900000000000006"/>
    <s v="French"/>
    <s v="Quentin Tarantino"/>
    <s v="Leonardo DiCaprio"/>
    <m/>
    <n v="38"/>
    <n v="119.1"/>
    <s v="Average"/>
    <s v="Normal"/>
    <s v="Yes"/>
    <s v="Low"/>
    <n v="81.099999999999994"/>
    <n v="313.4210526315789"/>
  </r>
  <r>
    <s v="NFX-100235"/>
    <s v="Secret City"/>
    <s v="Movie"/>
    <x v="8"/>
    <n v="2025"/>
    <x v="2"/>
    <s v="2021-02-27"/>
    <n v="146"/>
    <s v="18+"/>
    <n v="5.8"/>
    <n v="270.5"/>
    <s v="English"/>
    <s v="Denis Villeneuve"/>
    <s v="Brad Pitt"/>
    <m/>
    <n v="76"/>
    <n v="297.7"/>
    <s v="Flop"/>
    <s v="Popular"/>
    <s v="No"/>
    <s v="Low"/>
    <n v="221.7"/>
    <n v="391.71052631578942"/>
  </r>
  <r>
    <s v="NFX-100236"/>
    <s v="Broken Archive"/>
    <s v="Movie"/>
    <x v="10"/>
    <n v="2015"/>
    <x v="7"/>
    <s v="2024-04-13"/>
    <n v="153"/>
    <s v="18+"/>
    <n v="7.4"/>
    <n v="593"/>
    <s v="French"/>
    <s v="Denis Villeneuve"/>
    <s v="Jennifer Lawrence"/>
    <m/>
    <n v="16"/>
    <n v="100.4"/>
    <s v="Average"/>
    <s v="Blockbuster"/>
    <s v="No"/>
    <s v="Low"/>
    <n v="84.4"/>
    <n v="627.5"/>
  </r>
  <r>
    <s v="NFX-100237"/>
    <s v="Midnight Archive"/>
    <s v="TV Show"/>
    <x v="6"/>
    <n v="2016"/>
    <x v="3"/>
    <s v="2023-09-07"/>
    <n v="38"/>
    <s v="G"/>
    <n v="7.5"/>
    <n v="340.2"/>
    <s v="Hindi"/>
    <s v="Bong Joon-ho"/>
    <s v="Brad Pitt"/>
    <n v="8"/>
    <n v="125"/>
    <n v="723.5"/>
    <s v="Average"/>
    <s v="Popular"/>
    <s v="Yes"/>
    <s v="High"/>
    <n v="598.5"/>
    <n v="578.80000000000007"/>
  </r>
  <r>
    <s v="NFX-100238"/>
    <s v="Silent Odyssey 6"/>
    <s v="TV Show"/>
    <x v="1"/>
    <n v="2009"/>
    <x v="0"/>
    <s v="2019-07-01"/>
    <n v="30"/>
    <s v="18+"/>
    <n v="5.3"/>
    <n v="112.4"/>
    <s v="French"/>
    <s v="James Cameron"/>
    <s v="Scarlett Johansson"/>
    <n v="6"/>
    <n v="99"/>
    <n v="461.7"/>
    <s v="Flop"/>
    <s v="Normal"/>
    <s v="No"/>
    <s v="Low"/>
    <n v="362.7"/>
    <n v="466.36363636363632"/>
  </r>
  <r>
    <s v="NFX-100239"/>
    <s v="Broken Legacy 2"/>
    <s v="TV Show"/>
    <x v="5"/>
    <n v="2000"/>
    <x v="0"/>
    <s v="2022-03-30"/>
    <n v="33"/>
    <s v="18+"/>
    <n v="6.1"/>
    <n v="99"/>
    <s v="French"/>
    <s v="Sanjay Leela Bhansali"/>
    <s v="Lee Jung-jae"/>
    <n v="7"/>
    <n v="74"/>
    <n v="479.1"/>
    <s v="Average"/>
    <s v="Normal"/>
    <s v="No"/>
    <s v="Low"/>
    <n v="405.1"/>
    <n v="647.43243243243251"/>
  </r>
  <r>
    <s v="NFX-100240"/>
    <s v="Midnight Signal 2"/>
    <s v="TV Show"/>
    <x v="3"/>
    <n v="2007"/>
    <x v="0"/>
    <s v="2023-03-22"/>
    <n v="31"/>
    <s v="G"/>
    <n v="5.4"/>
    <n v="446.5"/>
    <s v="German"/>
    <s v="Anurag Kashyap"/>
    <s v="Shah Rukh Khan"/>
    <n v="7"/>
    <n v="61"/>
    <n v="250.3"/>
    <s v="Flop"/>
    <s v="Blockbuster"/>
    <s v="Yes"/>
    <s v="Low"/>
    <n v="189.3"/>
    <n v="410.32786885245906"/>
  </r>
  <r>
    <s v="NFX-100241"/>
    <s v="Broken Code"/>
    <s v="Movie"/>
    <x v="0"/>
    <n v="2024"/>
    <x v="9"/>
    <s v="2018-01-23"/>
    <n v="99"/>
    <s v="G"/>
    <n v="8.1999999999999993"/>
    <n v="569.6"/>
    <s v="Spanish"/>
    <s v="James Cameron"/>
    <s v="Jennifer Lawrence"/>
    <m/>
    <n v="198"/>
    <n v="607.79999999999995"/>
    <s v="Hit"/>
    <s v="Blockbuster"/>
    <s v="Yes"/>
    <s v="High"/>
    <n v="409.79999999999995"/>
    <n v="306.96969696969694"/>
  </r>
  <r>
    <s v="NFX-100242"/>
    <s v="Fading Archive 6"/>
    <s v="Movie"/>
    <x v="3"/>
    <n v="2011"/>
    <x v="7"/>
    <s v="2024-04-24"/>
    <n v="167"/>
    <s v="18+"/>
    <n v="9.5"/>
    <n v="192.3"/>
    <s v="German"/>
    <s v="Ridley Scott"/>
    <s v="Emma Stone"/>
    <m/>
    <n v="20"/>
    <n v="120.9"/>
    <s v="Hit"/>
    <s v="Normal"/>
    <s v="No"/>
    <s v="Low"/>
    <n v="100.9"/>
    <n v="604.5"/>
  </r>
  <r>
    <s v="NFX-100243"/>
    <s v="Last Protocol"/>
    <s v="TV Show"/>
    <x v="3"/>
    <n v="2014"/>
    <x v="3"/>
    <s v="2020-04-10"/>
    <n v="41"/>
    <s v="PG-13"/>
    <n v="4.8"/>
    <n v="429.9"/>
    <s v="German"/>
    <s v="Christopher Nolan"/>
    <s v="Scarlett Johansson"/>
    <n v="1"/>
    <n v="92"/>
    <n v="254.8"/>
    <s v="Flop"/>
    <s v="Blockbuster"/>
    <s v="No"/>
    <s v="Low"/>
    <n v="162.80000000000001"/>
    <n v="276.95652173913044"/>
  </r>
  <r>
    <s v="NFX-100244"/>
    <s v="Silent Horizon 2"/>
    <s v="TV Show"/>
    <x v="3"/>
    <n v="2009"/>
    <x v="2"/>
    <s v="2023-11-18"/>
    <n v="39"/>
    <s v="PG-13"/>
    <n v="6.3"/>
    <n v="461.5"/>
    <s v="English"/>
    <s v="Greta Gerwig"/>
    <s v="Tom Hardy"/>
    <n v="3"/>
    <n v="62"/>
    <n v="355.4"/>
    <s v="Average"/>
    <s v="Blockbuster"/>
    <s v="No"/>
    <s v="Low"/>
    <n v="293.39999999999998"/>
    <n v="573.22580645161281"/>
  </r>
  <r>
    <s v="NFX-100245"/>
    <s v="Burning Journey 1"/>
    <s v="Movie"/>
    <x v="7"/>
    <n v="2023"/>
    <x v="4"/>
    <s v="2023-10-20"/>
    <n v="152"/>
    <s v="16+"/>
    <n v="6.7"/>
    <n v="99.8"/>
    <s v="Spanish"/>
    <s v="Zoya Akhtar"/>
    <s v="Tom Hardy"/>
    <m/>
    <n v="197"/>
    <n v="671.9"/>
    <s v="Average"/>
    <s v="Normal"/>
    <s v="No"/>
    <s v="High"/>
    <n v="474.9"/>
    <n v="341.06598984771574"/>
  </r>
  <r>
    <s v="NFX-100246"/>
    <s v="Broken Archive 1"/>
    <s v="TV Show"/>
    <x v="1"/>
    <n v="2017"/>
    <x v="5"/>
    <s v="2020-07-26"/>
    <n v="51"/>
    <s v="16+"/>
    <n v="7.7"/>
    <n v="262.10000000000002"/>
    <s v="Hindi"/>
    <s v="James Cameron"/>
    <s v="Ryan Gosling"/>
    <n v="5"/>
    <n v="130"/>
    <n v="579.29999999999995"/>
    <s v="Average"/>
    <s v="Popular"/>
    <s v="No"/>
    <s v="High"/>
    <n v="449.29999999999995"/>
    <n v="445.61538461538464"/>
  </r>
  <r>
    <s v="NFX-100247"/>
    <s v="Rising Legacy 3"/>
    <s v="Movie"/>
    <x v="1"/>
    <n v="2022"/>
    <x v="8"/>
    <s v="2024-02-16"/>
    <n v="162"/>
    <s v="16+"/>
    <n v="4.9000000000000004"/>
    <n v="41.9"/>
    <s v="Spanish"/>
    <s v="Martin Scorsese"/>
    <s v="Ranbir Kapoor"/>
    <m/>
    <n v="192"/>
    <n v="906"/>
    <s v="Flop"/>
    <s v="Normal"/>
    <s v="No"/>
    <s v="High"/>
    <n v="714"/>
    <n v="471.875"/>
  </r>
  <r>
    <s v="NFX-100248"/>
    <s v="Shadow Valley"/>
    <s v="TV Show"/>
    <x v="2"/>
    <n v="2025"/>
    <x v="7"/>
    <s v="2018-04-14"/>
    <n v="36"/>
    <s v="16+"/>
    <n v="9.1"/>
    <n v="328.5"/>
    <s v="Korean"/>
    <s v="Martin Scorsese"/>
    <s v="Jennifer Lawrence"/>
    <n v="8"/>
    <n v="136"/>
    <n v="556.4"/>
    <s v="Hit"/>
    <s v="Popular"/>
    <s v="No"/>
    <s v="High"/>
    <n v="420.4"/>
    <n v="409.11764705882348"/>
  </r>
  <r>
    <s v="NFX-100249"/>
    <s v="Crystal Echo 6"/>
    <s v="TV Show"/>
    <x v="1"/>
    <n v="2013"/>
    <x v="3"/>
    <s v="2020-02-23"/>
    <n v="55"/>
    <s v="16+"/>
    <n v="7.6"/>
    <n v="479.2"/>
    <s v="Japanese"/>
    <s v="Park Chan-wook"/>
    <s v="Lee Jung-jae"/>
    <n v="4"/>
    <n v="158"/>
    <n v="979.9"/>
    <s v="Average"/>
    <s v="Blockbuster"/>
    <s v="No"/>
    <s v="High"/>
    <n v="821.9"/>
    <n v="620.18987341772151"/>
  </r>
  <r>
    <s v="NFX-100250"/>
    <s v="Silent City"/>
    <s v="Movie"/>
    <x v="0"/>
    <n v="2021"/>
    <x v="0"/>
    <s v="2024-01-04"/>
    <n v="120"/>
    <s v="PG"/>
    <n v="9"/>
    <n v="502.8"/>
    <s v="Japanese"/>
    <s v="Greta Gerwig"/>
    <s v="Brad Pitt"/>
    <m/>
    <n v="172"/>
    <n v="1064.4000000000001"/>
    <s v="Hit"/>
    <s v="Blockbuster"/>
    <s v="Yes"/>
    <s v="High"/>
    <n v="892.40000000000009"/>
    <n v="618.83720930232562"/>
  </r>
  <r>
    <s v="NFX-100251"/>
    <s v="Dark City"/>
    <s v="Movie"/>
    <x v="0"/>
    <n v="2019"/>
    <x v="7"/>
    <s v="2020-07-14"/>
    <n v="101"/>
    <s v="16+"/>
    <n v="6.7"/>
    <n v="176"/>
    <s v="German"/>
    <s v="Ridley Scott"/>
    <s v="Timothée Chalamet"/>
    <m/>
    <n v="129"/>
    <n v="249.4"/>
    <s v="Average"/>
    <s v="Normal"/>
    <s v="No"/>
    <s v="High"/>
    <n v="120.4"/>
    <n v="193.33333333333334"/>
  </r>
  <r>
    <s v="NFX-100252"/>
    <s v="Rising Frontier 7"/>
    <s v="Movie"/>
    <x v="6"/>
    <n v="2025"/>
    <x v="4"/>
    <s v="2024-07-04"/>
    <n v="171"/>
    <s v="16+"/>
    <n v="9"/>
    <n v="161.69999999999999"/>
    <s v="French"/>
    <s v="Greta Gerwig"/>
    <s v="Timothée Chalamet"/>
    <m/>
    <n v="49"/>
    <n v="164.5"/>
    <s v="Hit"/>
    <s v="Normal"/>
    <s v="No"/>
    <s v="Low"/>
    <n v="115.5"/>
    <n v="335.71428571428572"/>
  </r>
  <r>
    <s v="NFX-100253"/>
    <s v="Silent Chronicles"/>
    <s v="TV Show"/>
    <x v="1"/>
    <n v="2008"/>
    <x v="1"/>
    <s v="2019-04-18"/>
    <n v="35"/>
    <s v="G"/>
    <n v="9.1999999999999993"/>
    <n v="469.6"/>
    <s v="French"/>
    <s v="Greta Gerwig"/>
    <s v="Emma Stone"/>
    <n v="7"/>
    <n v="87"/>
    <n v="439.4"/>
    <s v="Hit"/>
    <s v="Blockbuster"/>
    <s v="Yes"/>
    <s v="Low"/>
    <n v="352.4"/>
    <n v="505.05747126436773"/>
  </r>
  <r>
    <s v="NFX-100254"/>
    <s v="Golden Archive"/>
    <s v="Movie"/>
    <x v="0"/>
    <n v="2011"/>
    <x v="0"/>
    <s v="2021-05-29"/>
    <n v="160"/>
    <s v="18+"/>
    <n v="9.1999999999999993"/>
    <n v="13.6"/>
    <s v="Japanese"/>
    <s v="James Cameron"/>
    <s v="Tom Hardy"/>
    <m/>
    <n v="133"/>
    <n v="334.9"/>
    <s v="Hit"/>
    <s v="Normal"/>
    <s v="No"/>
    <s v="High"/>
    <n v="201.89999999999998"/>
    <n v="251.80451127819546"/>
  </r>
  <r>
    <s v="NFX-100255"/>
    <s v="Lost Signal"/>
    <s v="TV Show"/>
    <x v="10"/>
    <n v="2017"/>
    <x v="3"/>
    <s v="2020-12-31"/>
    <n v="59"/>
    <s v="18+"/>
    <n v="6.8"/>
    <n v="255.1"/>
    <s v="Korean"/>
    <s v="Greta Gerwig"/>
    <s v="Scarlett Johansson"/>
    <n v="2"/>
    <n v="95"/>
    <n v="473.4"/>
    <s v="Average"/>
    <s v="Popular"/>
    <s v="No"/>
    <s v="Low"/>
    <n v="378.4"/>
    <n v="498.31578947368422"/>
  </r>
  <r>
    <s v="NFX-100256"/>
    <s v="Hidden Echo"/>
    <s v="Movie"/>
    <x v="5"/>
    <n v="2019"/>
    <x v="4"/>
    <s v="2018-02-15"/>
    <n v="156"/>
    <s v="16+"/>
    <n v="6.7"/>
    <n v="16"/>
    <s v="Spanish"/>
    <s v="Park Chan-wook"/>
    <s v="Timothée Chalamet"/>
    <m/>
    <n v="81"/>
    <n v="254.2"/>
    <s v="Average"/>
    <s v="Normal"/>
    <s v="No"/>
    <s v="Low"/>
    <n v="173.2"/>
    <n v="313.82716049382714"/>
  </r>
  <r>
    <s v="NFX-100257"/>
    <s v="Last Valley"/>
    <s v="Movie"/>
    <x v="7"/>
    <n v="2019"/>
    <x v="9"/>
    <s v="2020-10-23"/>
    <n v="155"/>
    <s v="PG"/>
    <n v="7.9"/>
    <n v="201.6"/>
    <s v="French"/>
    <s v="Anurag Kashyap"/>
    <s v="Jennifer Lawrence"/>
    <m/>
    <n v="193"/>
    <n v="859.3"/>
    <s v="Average"/>
    <s v="Popular"/>
    <s v="Yes"/>
    <s v="High"/>
    <n v="666.3"/>
    <n v="445.23316062176167"/>
  </r>
  <r>
    <s v="NFX-100258"/>
    <s v="Hidden Code 5"/>
    <s v="TV Show"/>
    <x v="1"/>
    <n v="2015"/>
    <x v="1"/>
    <s v="2021-10-05"/>
    <n v="59"/>
    <s v="G"/>
    <n v="5.9"/>
    <n v="162.9"/>
    <s v="Hindi"/>
    <s v="Ridley Scott"/>
    <s v="Deepika Padukone"/>
    <n v="8"/>
    <n v="171"/>
    <n v="608.29999999999995"/>
    <s v="Flop"/>
    <s v="Normal"/>
    <s v="Yes"/>
    <s v="High"/>
    <n v="437.29999999999995"/>
    <n v="355.73099415204672"/>
  </r>
  <r>
    <s v="NFX-100259"/>
    <s v="Hidden Legacy 5"/>
    <s v="Movie"/>
    <x v="7"/>
    <n v="2011"/>
    <x v="0"/>
    <s v="2019-12-09"/>
    <n v="114"/>
    <s v="PG"/>
    <n v="8.8000000000000007"/>
    <n v="430.7"/>
    <s v="Hindi"/>
    <s v="Ridley Scott"/>
    <s v="Shah Rukh Khan"/>
    <m/>
    <n v="130"/>
    <n v="763.5"/>
    <s v="Hit"/>
    <s v="Blockbuster"/>
    <s v="Yes"/>
    <s v="High"/>
    <n v="633.5"/>
    <n v="587.30769230769226"/>
  </r>
  <r>
    <s v="NFX-100260"/>
    <s v="Midnight Odyssey 9"/>
    <s v="TV Show"/>
    <x v="8"/>
    <n v="2023"/>
    <x v="9"/>
    <s v="2018-01-01"/>
    <n v="44"/>
    <s v="PG"/>
    <n v="6.2"/>
    <n v="345.1"/>
    <s v="Spanish"/>
    <s v="James Cameron"/>
    <s v="Jennifer Lawrence"/>
    <n v="7"/>
    <n v="62"/>
    <n v="310.2"/>
    <s v="Average"/>
    <s v="Popular"/>
    <s v="Yes"/>
    <s v="Low"/>
    <n v="248.2"/>
    <n v="500.32258064516128"/>
  </r>
  <r>
    <s v="NFX-100261"/>
    <s v="Last Code 7"/>
    <s v="Movie"/>
    <x v="1"/>
    <n v="2001"/>
    <x v="2"/>
    <s v="2023-10-08"/>
    <n v="134"/>
    <s v="18+"/>
    <n v="7.3"/>
    <n v="99.4"/>
    <s v="Japanese"/>
    <s v="Park Chan-wook"/>
    <s v="Emma Stone"/>
    <m/>
    <n v="157"/>
    <n v="305.8"/>
    <s v="Average"/>
    <s v="Normal"/>
    <s v="No"/>
    <s v="High"/>
    <n v="148.80000000000001"/>
    <n v="194.77707006369428"/>
  </r>
  <r>
    <s v="NFX-100262"/>
    <s v="Fading Journey 3"/>
    <s v="TV Show"/>
    <x v="5"/>
    <n v="2009"/>
    <x v="0"/>
    <s v="2019-09-28"/>
    <n v="43"/>
    <s v="G"/>
    <n v="8.1999999999999993"/>
    <n v="108.6"/>
    <s v="French"/>
    <s v="Steven Spielberg"/>
    <s v="Shah Rukh Khan"/>
    <n v="8"/>
    <n v="147"/>
    <n v="467.6"/>
    <s v="Hit"/>
    <s v="Normal"/>
    <s v="Yes"/>
    <s v="High"/>
    <n v="320.60000000000002"/>
    <n v="318.09523809523813"/>
  </r>
  <r>
    <s v="NFX-100263"/>
    <s v="Broken Horizon"/>
    <s v="TV Show"/>
    <x v="10"/>
    <n v="2025"/>
    <x v="4"/>
    <s v="2022-11-27"/>
    <n v="56"/>
    <s v="PG"/>
    <n v="5.0999999999999996"/>
    <n v="259.3"/>
    <s v="Hindi"/>
    <s v="Steven Spielberg"/>
    <s v="Ranbir Kapoor"/>
    <n v="7"/>
    <n v="198"/>
    <n v="436.3"/>
    <s v="Flop"/>
    <s v="Popular"/>
    <s v="Yes"/>
    <s v="High"/>
    <n v="238.3"/>
    <n v="220.35353535353534"/>
  </r>
  <r>
    <s v="NFX-100264"/>
    <s v="Dark Code"/>
    <s v="TV Show"/>
    <x v="3"/>
    <n v="2003"/>
    <x v="0"/>
    <s v="2019-08-06"/>
    <n v="39"/>
    <s v="16+"/>
    <n v="6.1"/>
    <n v="105.1"/>
    <s v="French"/>
    <s v="Greta Gerwig"/>
    <s v="Lee Jung-jae"/>
    <n v="6"/>
    <n v="40"/>
    <n v="86.2"/>
    <s v="Average"/>
    <s v="Normal"/>
    <s v="No"/>
    <s v="Low"/>
    <n v="46.2"/>
    <n v="215.50000000000003"/>
  </r>
  <r>
    <s v="NFX-100265"/>
    <s v="Burning Storm 4"/>
    <s v="TV Show"/>
    <x v="0"/>
    <n v="2006"/>
    <x v="2"/>
    <s v="2024-10-12"/>
    <n v="40"/>
    <s v="16+"/>
    <n v="8.4"/>
    <n v="485.1"/>
    <s v="Korean"/>
    <s v="Ridley Scott"/>
    <s v="Timothée Chalamet"/>
    <n v="3"/>
    <n v="38"/>
    <n v="84.5"/>
    <s v="Hit"/>
    <s v="Blockbuster"/>
    <s v="No"/>
    <s v="Low"/>
    <n v="46.5"/>
    <n v="222.36842105263159"/>
  </r>
  <r>
    <s v="NFX-100266"/>
    <s v="Rising Protocol 9"/>
    <s v="TV Show"/>
    <x v="7"/>
    <n v="2025"/>
    <x v="1"/>
    <s v="2021-11-01"/>
    <n v="51"/>
    <s v="PG-13"/>
    <n v="6"/>
    <n v="559.79999999999995"/>
    <s v="Hindi"/>
    <s v="Steven Spielberg"/>
    <s v="Jennifer Lawrence"/>
    <n v="7"/>
    <n v="105"/>
    <n v="310.8"/>
    <s v="Average"/>
    <s v="Blockbuster"/>
    <s v="No"/>
    <s v="High"/>
    <n v="205.8"/>
    <n v="296"/>
  </r>
  <r>
    <s v="NFX-100267"/>
    <s v="Broken Protocol"/>
    <s v="Movie"/>
    <x v="2"/>
    <n v="2023"/>
    <x v="5"/>
    <s v="2021-10-02"/>
    <n v="82"/>
    <s v="18+"/>
    <n v="8.9"/>
    <n v="187"/>
    <s v="Spanish"/>
    <s v="Steven Spielberg"/>
    <s v="Chris Evans"/>
    <m/>
    <n v="174"/>
    <n v="426.7"/>
    <s v="Hit"/>
    <s v="Normal"/>
    <s v="No"/>
    <s v="High"/>
    <n v="252.7"/>
    <n v="245.22988505747128"/>
  </r>
  <r>
    <s v="NFX-100268"/>
    <s v="Rising Valley 9"/>
    <s v="TV Show"/>
    <x v="1"/>
    <n v="2002"/>
    <x v="1"/>
    <s v="2024-03-07"/>
    <n v="43"/>
    <s v="18+"/>
    <n v="4.9000000000000004"/>
    <n v="210"/>
    <s v="French"/>
    <s v="Anurag Kashyap"/>
    <s v="Ranbir Kapoor"/>
    <n v="7"/>
    <n v="146"/>
    <n v="948.2"/>
    <s v="Flop"/>
    <s v="Popular"/>
    <s v="No"/>
    <s v="High"/>
    <n v="802.2"/>
    <n v="649.45205479452056"/>
  </r>
  <r>
    <s v="NFX-100269"/>
    <s v="Hidden Journey"/>
    <s v="TV Show"/>
    <x v="1"/>
    <n v="2014"/>
    <x v="6"/>
    <s v="2021-05-10"/>
    <n v="42"/>
    <s v="PG"/>
    <n v="7.7"/>
    <n v="255.3"/>
    <s v="Hindi"/>
    <s v="Anurag Kashyap"/>
    <s v="Leonardo DiCaprio"/>
    <n v="7"/>
    <n v="135"/>
    <n v="664.5"/>
    <s v="Average"/>
    <s v="Popular"/>
    <s v="Yes"/>
    <s v="High"/>
    <n v="529.5"/>
    <n v="492.22222222222223"/>
  </r>
  <r>
    <s v="NFX-100270"/>
    <s v="Hidden Protocol 3"/>
    <s v="Movie"/>
    <x v="1"/>
    <n v="2017"/>
    <x v="7"/>
    <s v="2019-05-01"/>
    <n v="145"/>
    <s v="PG-13"/>
    <n v="5.9"/>
    <n v="74.900000000000006"/>
    <s v="Korean"/>
    <s v="James Cameron"/>
    <s v="Shah Rukh Khan"/>
    <m/>
    <n v="78"/>
    <n v="113.9"/>
    <s v="Flop"/>
    <s v="Normal"/>
    <s v="No"/>
    <s v="Low"/>
    <n v="35.900000000000006"/>
    <n v="146.02564102564105"/>
  </r>
  <r>
    <s v="NFX-100271"/>
    <s v="Lost Odyssey"/>
    <s v="TV Show"/>
    <x v="9"/>
    <n v="2011"/>
    <x v="8"/>
    <s v="2019-06-16"/>
    <n v="38"/>
    <s v="18+"/>
    <n v="9.1999999999999993"/>
    <n v="315.3"/>
    <s v="English"/>
    <s v="Ridley Scott"/>
    <s v="Brad Pitt"/>
    <n v="3"/>
    <n v="97"/>
    <n v="266.7"/>
    <s v="Hit"/>
    <s v="Popular"/>
    <s v="No"/>
    <s v="Low"/>
    <n v="169.7"/>
    <n v="274.94845360824741"/>
  </r>
  <r>
    <s v="NFX-100272"/>
    <s v="Silent Echo 3"/>
    <s v="TV Show"/>
    <x v="3"/>
    <n v="2003"/>
    <x v="2"/>
    <s v="2018-09-13"/>
    <n v="60"/>
    <s v="PG-13"/>
    <n v="6.8"/>
    <n v="507.2"/>
    <s v="Hindi"/>
    <s v="Christopher Nolan"/>
    <s v="Brad Pitt"/>
    <n v="3"/>
    <n v="67"/>
    <n v="123.5"/>
    <s v="Average"/>
    <s v="Blockbuster"/>
    <s v="No"/>
    <s v="Low"/>
    <n v="56.5"/>
    <n v="184.32835820895522"/>
  </r>
  <r>
    <s v="NFX-100273"/>
    <s v="Burning Signal 9"/>
    <s v="Movie"/>
    <x v="9"/>
    <n v="2005"/>
    <x v="9"/>
    <s v="2021-12-16"/>
    <n v="166"/>
    <s v="18+"/>
    <n v="5.6"/>
    <n v="27"/>
    <s v="English"/>
    <s v="Steven Spielberg"/>
    <s v="Scarlett Johansson"/>
    <m/>
    <n v="31"/>
    <n v="159"/>
    <s v="Flop"/>
    <s v="Normal"/>
    <s v="No"/>
    <s v="Low"/>
    <n v="128"/>
    <n v="512.90322580645159"/>
  </r>
  <r>
    <s v="NFX-100274"/>
    <s v="Midnight Frontier 4"/>
    <s v="Movie"/>
    <x v="1"/>
    <n v="2015"/>
    <x v="8"/>
    <s v="2023-03-31"/>
    <n v="176"/>
    <s v="18+"/>
    <n v="6.7"/>
    <n v="359.4"/>
    <s v="English"/>
    <s v="Denis Villeneuve"/>
    <s v="Tom Hardy"/>
    <m/>
    <n v="169"/>
    <n v="800.5"/>
    <s v="Average"/>
    <s v="Popular"/>
    <s v="No"/>
    <s v="High"/>
    <n v="631.5"/>
    <n v="473.66863905325448"/>
  </r>
  <r>
    <s v="NFX-100275"/>
    <s v="Secret Legacy"/>
    <s v="TV Show"/>
    <x v="0"/>
    <n v="2015"/>
    <x v="9"/>
    <s v="2020-01-30"/>
    <n v="40"/>
    <s v="G"/>
    <n v="4.8"/>
    <n v="593.5"/>
    <s v="Japanese"/>
    <s v="Ridley Scott"/>
    <s v="Scarlett Johansson"/>
    <n v="2"/>
    <n v="109"/>
    <n v="456.3"/>
    <s v="Flop"/>
    <s v="Blockbuster"/>
    <s v="Yes"/>
    <s v="High"/>
    <n v="347.3"/>
    <n v="418.62385321100913"/>
  </r>
  <r>
    <s v="NFX-100276"/>
    <s v="Hidden Storm"/>
    <s v="Movie"/>
    <x v="0"/>
    <n v="2015"/>
    <x v="4"/>
    <s v="2019-01-11"/>
    <n v="128"/>
    <s v="G"/>
    <n v="9.4"/>
    <n v="347"/>
    <s v="Korean"/>
    <s v="Rajkumar Hirani"/>
    <s v="Jennifer Lawrence"/>
    <m/>
    <n v="46"/>
    <n v="201"/>
    <s v="Hit"/>
    <s v="Popular"/>
    <s v="Yes"/>
    <s v="Low"/>
    <n v="155"/>
    <n v="436.95652173913049"/>
  </r>
  <r>
    <s v="NFX-100277"/>
    <s v="Lost City 8"/>
    <s v="Movie"/>
    <x v="10"/>
    <n v="2023"/>
    <x v="7"/>
    <s v="2020-02-20"/>
    <n v="87"/>
    <s v="PG"/>
    <n v="9.4"/>
    <n v="179.2"/>
    <s v="French"/>
    <s v="Anurag Kashyap"/>
    <s v="Shah Rukh Khan"/>
    <m/>
    <n v="147"/>
    <n v="638.29999999999995"/>
    <s v="Hit"/>
    <s v="Normal"/>
    <s v="Yes"/>
    <s v="High"/>
    <n v="491.29999999999995"/>
    <n v="434.21768707482988"/>
  </r>
  <r>
    <s v="NFX-100278"/>
    <s v="Dark Code 7"/>
    <s v="Movie"/>
    <x v="7"/>
    <n v="2003"/>
    <x v="3"/>
    <s v="2021-08-16"/>
    <n v="136"/>
    <s v="18+"/>
    <n v="5.7"/>
    <n v="299.89999999999998"/>
    <s v="English"/>
    <s v="Martin Scorsese"/>
    <s v="Jennifer Lawrence"/>
    <m/>
    <n v="5"/>
    <n v="30.5"/>
    <s v="Flop"/>
    <s v="Popular"/>
    <s v="No"/>
    <s v="Low"/>
    <n v="25.5"/>
    <n v="610"/>
  </r>
  <r>
    <s v="NFX-100279"/>
    <s v="Secret Code 3"/>
    <s v="Movie"/>
    <x v="6"/>
    <n v="2020"/>
    <x v="4"/>
    <s v="2021-12-03"/>
    <n v="88"/>
    <s v="PG-13"/>
    <n v="7.1"/>
    <n v="35.5"/>
    <s v="German"/>
    <s v="Greta Gerwig"/>
    <s v="Emma Stone"/>
    <m/>
    <n v="95"/>
    <n v="295"/>
    <s v="Average"/>
    <s v="Normal"/>
    <s v="No"/>
    <s v="Low"/>
    <n v="200"/>
    <n v="310.5263157894737"/>
  </r>
  <r>
    <s v="NFX-100280"/>
    <s v="Last Code"/>
    <s v="TV Show"/>
    <x v="8"/>
    <n v="2018"/>
    <x v="6"/>
    <s v="2022-08-16"/>
    <n v="33"/>
    <s v="G"/>
    <n v="7.7"/>
    <n v="465.1"/>
    <s v="Hindi"/>
    <s v="Christopher Nolan"/>
    <s v="Ryan Gosling"/>
    <n v="7"/>
    <n v="93"/>
    <n v="127.8"/>
    <s v="Average"/>
    <s v="Blockbuster"/>
    <s v="Yes"/>
    <s v="Low"/>
    <n v="34.799999999999997"/>
    <n v="137.41935483870969"/>
  </r>
  <r>
    <s v="NFX-100281"/>
    <s v="Silent Echo 1"/>
    <s v="TV Show"/>
    <x v="5"/>
    <n v="2024"/>
    <x v="3"/>
    <s v="2021-03-19"/>
    <n v="31"/>
    <s v="PG-13"/>
    <n v="9.4"/>
    <n v="55.8"/>
    <s v="Spanish"/>
    <s v="Ridley Scott"/>
    <s v="Timothée Chalamet"/>
    <n v="8"/>
    <n v="6"/>
    <n v="24.3"/>
    <s v="Hit"/>
    <s v="Normal"/>
    <s v="No"/>
    <s v="Low"/>
    <n v="18.3"/>
    <n v="405"/>
  </r>
  <r>
    <s v="NFX-100282"/>
    <s v="Silent Storm"/>
    <s v="TV Show"/>
    <x v="10"/>
    <n v="2003"/>
    <x v="6"/>
    <s v="2019-08-23"/>
    <n v="53"/>
    <s v="G"/>
    <n v="8.6"/>
    <n v="373.3"/>
    <s v="German"/>
    <s v="Sanjay Leela Bhansali"/>
    <s v="Deepika Padukone"/>
    <n v="3"/>
    <n v="22"/>
    <n v="124.8"/>
    <s v="Hit"/>
    <s v="Popular"/>
    <s v="Yes"/>
    <s v="Low"/>
    <n v="102.8"/>
    <n v="567.27272727272725"/>
  </r>
  <r>
    <s v="NFX-100283"/>
    <s v="Silent City 3"/>
    <s v="TV Show"/>
    <x v="1"/>
    <n v="2006"/>
    <x v="3"/>
    <s v="2024-07-14"/>
    <n v="45"/>
    <s v="16+"/>
    <n v="8.6999999999999993"/>
    <n v="377.4"/>
    <s v="Spanish"/>
    <s v="Christopher Nolan"/>
    <s v="Shah Rukh Khan"/>
    <n v="1"/>
    <n v="111"/>
    <n v="139.1"/>
    <s v="Hit"/>
    <s v="Popular"/>
    <s v="No"/>
    <s v="High"/>
    <n v="28.099999999999994"/>
    <n v="125.3153153153153"/>
  </r>
  <r>
    <s v="NFX-100284"/>
    <s v="Burning Echo 1"/>
    <s v="TV Show"/>
    <x v="5"/>
    <n v="2003"/>
    <x v="5"/>
    <s v="2018-10-10"/>
    <n v="36"/>
    <s v="G"/>
    <n v="8.6999999999999993"/>
    <n v="506.8"/>
    <s v="English"/>
    <s v="Steven Spielberg"/>
    <s v="Leonardo DiCaprio"/>
    <n v="3"/>
    <n v="92"/>
    <n v="135.6"/>
    <s v="Hit"/>
    <s v="Blockbuster"/>
    <s v="Yes"/>
    <s v="Low"/>
    <n v="43.599999999999994"/>
    <n v="147.39130434782609"/>
  </r>
  <r>
    <s v="NFX-100285"/>
    <s v="Fading Protocol 2"/>
    <s v="TV Show"/>
    <x v="5"/>
    <n v="2016"/>
    <x v="5"/>
    <s v="2023-02-02"/>
    <n v="40"/>
    <s v="16+"/>
    <n v="4.9000000000000004"/>
    <n v="558.20000000000005"/>
    <s v="English"/>
    <s v="Anurag Kashyap"/>
    <s v="Scarlett Johansson"/>
    <n v="5"/>
    <n v="138"/>
    <n v="385"/>
    <s v="Flop"/>
    <s v="Blockbuster"/>
    <s v="No"/>
    <s v="High"/>
    <n v="247"/>
    <n v="278.98550724637681"/>
  </r>
  <r>
    <s v="NFX-100286"/>
    <s v="Golden Horizon 8"/>
    <s v="Movie"/>
    <x v="6"/>
    <n v="2009"/>
    <x v="2"/>
    <s v="2019-06-02"/>
    <n v="95"/>
    <s v="16+"/>
    <n v="7.1"/>
    <n v="400.1"/>
    <s v="Korean"/>
    <s v="Bong Joon-ho"/>
    <s v="Ryan Gosling"/>
    <m/>
    <n v="96"/>
    <n v="438.2"/>
    <s v="Average"/>
    <s v="Blockbuster"/>
    <s v="No"/>
    <s v="Low"/>
    <n v="342.2"/>
    <n v="456.45833333333331"/>
  </r>
  <r>
    <s v="NFX-100287"/>
    <s v="Rising Code 2"/>
    <s v="TV Show"/>
    <x v="0"/>
    <n v="2021"/>
    <x v="8"/>
    <s v="2023-01-28"/>
    <n v="55"/>
    <s v="18+"/>
    <n v="4.7"/>
    <n v="556.29999999999995"/>
    <s v="Japanese"/>
    <s v="Zoya Akhtar"/>
    <s v="Jennifer Lawrence"/>
    <n v="7"/>
    <n v="73"/>
    <n v="375.3"/>
    <s v="Flop"/>
    <s v="Blockbuster"/>
    <s v="No"/>
    <s v="Low"/>
    <n v="302.3"/>
    <n v="514.10958904109589"/>
  </r>
  <r>
    <s v="NFX-100288"/>
    <s v="Broken Signal 5"/>
    <s v="TV Show"/>
    <x v="3"/>
    <n v="2013"/>
    <x v="3"/>
    <s v="2021-06-12"/>
    <n v="46"/>
    <s v="PG-13"/>
    <n v="5"/>
    <n v="241.4"/>
    <s v="Hindi"/>
    <s v="Ridley Scott"/>
    <s v="Ryan Gosling"/>
    <n v="3"/>
    <n v="58"/>
    <n v="265.5"/>
    <s v="Flop"/>
    <s v="Popular"/>
    <s v="No"/>
    <s v="Low"/>
    <n v="207.5"/>
    <n v="457.75862068965517"/>
  </r>
  <r>
    <s v="NFX-100289"/>
    <s v="Iron City 6"/>
    <s v="Movie"/>
    <x v="8"/>
    <n v="2009"/>
    <x v="6"/>
    <s v="2021-01-18"/>
    <n v="103"/>
    <s v="16+"/>
    <n v="6"/>
    <n v="577.20000000000005"/>
    <s v="French"/>
    <s v="Ridley Scott"/>
    <s v="Deepika Padukone"/>
    <m/>
    <n v="189"/>
    <n v="467.9"/>
    <s v="Average"/>
    <s v="Blockbuster"/>
    <s v="No"/>
    <s v="High"/>
    <n v="278.89999999999998"/>
    <n v="247.56613756613754"/>
  </r>
  <r>
    <s v="NFX-100290"/>
    <s v="Lost Echo 9"/>
    <s v="Movie"/>
    <x v="4"/>
    <n v="2011"/>
    <x v="8"/>
    <s v="2023-05-06"/>
    <n v="166"/>
    <s v="PG"/>
    <n v="8.3000000000000007"/>
    <n v="509.2"/>
    <s v="English"/>
    <s v="Steven Spielberg"/>
    <s v="Ryan Gosling"/>
    <m/>
    <n v="112"/>
    <n v="274.10000000000002"/>
    <s v="Hit"/>
    <s v="Blockbuster"/>
    <s v="Yes"/>
    <s v="High"/>
    <n v="162.10000000000002"/>
    <n v="244.73214285714286"/>
  </r>
  <r>
    <s v="NFX-100291"/>
    <s v="Silent Code"/>
    <s v="TV Show"/>
    <x v="4"/>
    <n v="2019"/>
    <x v="1"/>
    <s v="2024-04-12"/>
    <n v="46"/>
    <s v="PG-13"/>
    <n v="8.9"/>
    <n v="52"/>
    <s v="Hindi"/>
    <s v="James Cameron"/>
    <s v="Emma Stone"/>
    <n v="3"/>
    <n v="128"/>
    <n v="332.4"/>
    <s v="Hit"/>
    <s v="Normal"/>
    <s v="No"/>
    <s v="High"/>
    <n v="204.39999999999998"/>
    <n v="259.6875"/>
  </r>
  <r>
    <s v="NFX-100292"/>
    <s v="Silent Protocol"/>
    <s v="TV Show"/>
    <x v="4"/>
    <n v="2008"/>
    <x v="9"/>
    <s v="2018-03-10"/>
    <n v="58"/>
    <s v="G"/>
    <n v="6.4"/>
    <n v="3.4"/>
    <s v="French"/>
    <s v="James Cameron"/>
    <s v="Ryan Gosling"/>
    <n v="1"/>
    <n v="111"/>
    <n v="491.8"/>
    <s v="Average"/>
    <s v="Normal"/>
    <s v="Yes"/>
    <s v="High"/>
    <n v="380.8"/>
    <n v="443.06306306306311"/>
  </r>
  <r>
    <s v="NFX-100293"/>
    <s v="Shadow Protocol 8"/>
    <s v="TV Show"/>
    <x v="5"/>
    <n v="2002"/>
    <x v="1"/>
    <s v="2018-11-19"/>
    <n v="49"/>
    <s v="16+"/>
    <n v="5.6"/>
    <n v="212.1"/>
    <s v="English"/>
    <s v="Rajkumar Hirani"/>
    <s v="Jennifer Lawrence"/>
    <n v="6"/>
    <n v="34"/>
    <n v="158"/>
    <s v="Flop"/>
    <s v="Popular"/>
    <s v="No"/>
    <s v="Low"/>
    <n v="124"/>
    <n v="464.70588235294122"/>
  </r>
  <r>
    <s v="NFX-100294"/>
    <s v="Silent Frontier"/>
    <s v="Movie"/>
    <x v="2"/>
    <n v="2024"/>
    <x v="7"/>
    <s v="2024-08-19"/>
    <n v="170"/>
    <s v="PG"/>
    <n v="6.3"/>
    <n v="487.3"/>
    <s v="Japanese"/>
    <s v="Rajkumar Hirani"/>
    <s v="Chris Evans"/>
    <m/>
    <n v="165"/>
    <n v="410.4"/>
    <s v="Average"/>
    <s v="Blockbuster"/>
    <s v="Yes"/>
    <s v="High"/>
    <n v="245.39999999999998"/>
    <n v="248.72727272727272"/>
  </r>
  <r>
    <s v="NFX-100295"/>
    <s v="Fading Empire 7"/>
    <s v="TV Show"/>
    <x v="7"/>
    <n v="2012"/>
    <x v="1"/>
    <s v="2019-07-08"/>
    <n v="58"/>
    <s v="PG-13"/>
    <n v="6.3"/>
    <n v="299"/>
    <s v="Spanish"/>
    <s v="Steven Spielberg"/>
    <s v="Tom Hardy"/>
    <n v="5"/>
    <n v="58"/>
    <n v="374"/>
    <s v="Average"/>
    <s v="Popular"/>
    <s v="No"/>
    <s v="Low"/>
    <n v="316"/>
    <n v="644.82758620689651"/>
  </r>
  <r>
    <s v="NFX-100296"/>
    <s v="Hidden Valley"/>
    <s v="Movie"/>
    <x v="6"/>
    <n v="2021"/>
    <x v="2"/>
    <s v="2024-10-28"/>
    <n v="134"/>
    <s v="PG-13"/>
    <n v="8.6999999999999993"/>
    <n v="20.6"/>
    <s v="English"/>
    <s v="Ridley Scott"/>
    <s v="Emma Stone"/>
    <m/>
    <n v="89"/>
    <n v="280.60000000000002"/>
    <s v="Hit"/>
    <s v="Normal"/>
    <s v="No"/>
    <s v="Low"/>
    <n v="191.60000000000002"/>
    <n v="315.28089887640454"/>
  </r>
  <r>
    <s v="NFX-100297"/>
    <s v="Secret Horizon 3"/>
    <s v="TV Show"/>
    <x v="6"/>
    <n v="2009"/>
    <x v="4"/>
    <s v="2022-06-25"/>
    <n v="52"/>
    <s v="16+"/>
    <n v="9"/>
    <n v="361"/>
    <s v="French"/>
    <s v="Steven Spielberg"/>
    <s v="Jennifer Lawrence"/>
    <n v="2"/>
    <n v="10"/>
    <n v="50.6"/>
    <s v="Hit"/>
    <s v="Popular"/>
    <s v="No"/>
    <s v="Low"/>
    <n v="40.6"/>
    <n v="506.00000000000006"/>
  </r>
  <r>
    <s v="NFX-100298"/>
    <s v="Hidden Horizon 2"/>
    <s v="TV Show"/>
    <x v="7"/>
    <n v="2019"/>
    <x v="5"/>
    <s v="2021-12-26"/>
    <n v="30"/>
    <s v="16+"/>
    <n v="8"/>
    <n v="291.89999999999998"/>
    <s v="French"/>
    <s v="Quentin Tarantino"/>
    <s v="Timothée Chalamet"/>
    <n v="7"/>
    <n v="175"/>
    <n v="1012.4"/>
    <s v="Hit"/>
    <s v="Popular"/>
    <s v="No"/>
    <s v="High"/>
    <n v="837.4"/>
    <n v="578.51428571428562"/>
  </r>
  <r>
    <s v="NFX-100299"/>
    <s v="Golden Valley 5"/>
    <s v="Movie"/>
    <x v="7"/>
    <n v="2017"/>
    <x v="5"/>
    <s v="2018-06-25"/>
    <n v="115"/>
    <s v="16+"/>
    <n v="4.9000000000000004"/>
    <n v="27.7"/>
    <s v="English"/>
    <s v="Sanjay Leela Bhansali"/>
    <s v="Tom Hardy"/>
    <m/>
    <n v="41"/>
    <n v="106.2"/>
    <s v="Flop"/>
    <s v="Normal"/>
    <s v="No"/>
    <s v="Low"/>
    <n v="65.2"/>
    <n v="259.02439024390247"/>
  </r>
  <r>
    <s v="NFX-100300"/>
    <s v="Fading Legacy 7"/>
    <s v="TV Show"/>
    <x v="0"/>
    <n v="2016"/>
    <x v="6"/>
    <s v="2023-11-29"/>
    <n v="36"/>
    <s v="PG"/>
    <n v="4.7"/>
    <n v="414.3"/>
    <s v="English"/>
    <s v="Anurag Kashyap"/>
    <s v="Lee Jung-jae"/>
    <n v="6"/>
    <n v="112"/>
    <n v="212.6"/>
    <s v="Flop"/>
    <s v="Blockbuster"/>
    <s v="Yes"/>
    <s v="High"/>
    <n v="100.6"/>
    <n v="189.82142857142856"/>
  </r>
  <r>
    <s v="NFX-100301"/>
    <s v="Hidden Chronicles 8"/>
    <s v="Movie"/>
    <x v="9"/>
    <n v="2014"/>
    <x v="7"/>
    <s v="2024-01-14"/>
    <n v="176"/>
    <s v="PG-13"/>
    <n v="8.8000000000000007"/>
    <n v="562.6"/>
    <s v="Japanese"/>
    <s v="Quentin Tarantino"/>
    <s v="Ranbir Kapoor"/>
    <m/>
    <n v="167"/>
    <n v="1033.3"/>
    <s v="Hit"/>
    <s v="Blockbuster"/>
    <s v="No"/>
    <s v="High"/>
    <n v="866.3"/>
    <n v="618.74251497005991"/>
  </r>
  <r>
    <s v="NFX-100302"/>
    <s v="Silent Storm 7"/>
    <s v="Movie"/>
    <x v="5"/>
    <n v="2014"/>
    <x v="5"/>
    <s v="2018-02-26"/>
    <n v="158"/>
    <s v="18+"/>
    <n v="8.1"/>
    <n v="8.6"/>
    <s v="Spanish"/>
    <s v="Park Chan-wook"/>
    <s v="Emma Stone"/>
    <m/>
    <n v="149"/>
    <n v="876.4"/>
    <s v="Hit"/>
    <s v="Normal"/>
    <s v="No"/>
    <s v="High"/>
    <n v="727.4"/>
    <n v="588.18791946308716"/>
  </r>
  <r>
    <s v="NFX-100303"/>
    <s v="Crystal Empire"/>
    <s v="TV Show"/>
    <x v="10"/>
    <n v="2016"/>
    <x v="2"/>
    <s v="2020-11-25"/>
    <n v="49"/>
    <s v="PG-13"/>
    <n v="6.5"/>
    <n v="424.5"/>
    <s v="Korean"/>
    <s v="Greta Gerwig"/>
    <s v="Tom Hardy"/>
    <n v="5"/>
    <n v="19"/>
    <n v="26.3"/>
    <s v="Average"/>
    <s v="Blockbuster"/>
    <s v="No"/>
    <s v="Low"/>
    <n v="7.3000000000000007"/>
    <n v="138.42105263157896"/>
  </r>
  <r>
    <s v="NFX-100304"/>
    <s v="Rising Legacy 1"/>
    <s v="TV Show"/>
    <x v="4"/>
    <n v="2021"/>
    <x v="6"/>
    <s v="2019-12-27"/>
    <n v="49"/>
    <s v="PG-13"/>
    <n v="8.1"/>
    <n v="285.89999999999998"/>
    <s v="French"/>
    <s v="Christopher Nolan"/>
    <s v="Ranbir Kapoor"/>
    <n v="3"/>
    <n v="15"/>
    <n v="28"/>
    <s v="Hit"/>
    <s v="Popular"/>
    <s v="No"/>
    <s v="Low"/>
    <n v="13"/>
    <n v="186.66666666666666"/>
  </r>
  <r>
    <s v="NFX-100305"/>
    <s v="Last Journey 8"/>
    <s v="Movie"/>
    <x v="9"/>
    <n v="2011"/>
    <x v="0"/>
    <s v="2023-02-25"/>
    <n v="100"/>
    <s v="18+"/>
    <n v="7.4"/>
    <n v="175.6"/>
    <s v="Hindi"/>
    <s v="Bong Joon-ho"/>
    <s v="Tom Hardy"/>
    <m/>
    <n v="198"/>
    <n v="698.1"/>
    <s v="Average"/>
    <s v="Normal"/>
    <s v="No"/>
    <s v="High"/>
    <n v="500.1"/>
    <n v="352.57575757575756"/>
  </r>
  <r>
    <s v="NFX-100306"/>
    <s v="Shadow Empire"/>
    <s v="Movie"/>
    <x v="9"/>
    <n v="2007"/>
    <x v="4"/>
    <s v="2018-11-12"/>
    <n v="144"/>
    <s v="PG"/>
    <n v="6.3"/>
    <n v="21.2"/>
    <s v="Hindi"/>
    <s v="Quentin Tarantino"/>
    <s v="Chris Evans"/>
    <m/>
    <n v="21"/>
    <n v="90.1"/>
    <s v="Average"/>
    <s v="Normal"/>
    <s v="Yes"/>
    <s v="Low"/>
    <n v="69.099999999999994"/>
    <n v="429.04761904761904"/>
  </r>
  <r>
    <s v="NFX-100307"/>
    <s v="Last Empire"/>
    <s v="Movie"/>
    <x v="4"/>
    <n v="2004"/>
    <x v="5"/>
    <s v="2018-10-22"/>
    <n v="98"/>
    <s v="G"/>
    <n v="8.8000000000000007"/>
    <n v="169.4"/>
    <s v="German"/>
    <s v="Ridley Scott"/>
    <s v="Chris Evans"/>
    <m/>
    <n v="123"/>
    <n v="650.9"/>
    <s v="Hit"/>
    <s v="Normal"/>
    <s v="Yes"/>
    <s v="High"/>
    <n v="527.9"/>
    <n v="529.18699186991876"/>
  </r>
  <r>
    <s v="NFX-100308"/>
    <s v="Secret Chronicles 8"/>
    <s v="TV Show"/>
    <x v="1"/>
    <n v="2008"/>
    <x v="5"/>
    <s v="2022-09-26"/>
    <n v="57"/>
    <s v="PG"/>
    <n v="5.7"/>
    <n v="157.4"/>
    <s v="French"/>
    <s v="Denis Villeneuve"/>
    <s v="Ryan Gosling"/>
    <n v="5"/>
    <n v="88"/>
    <n v="140.9"/>
    <s v="Flop"/>
    <s v="Normal"/>
    <s v="Yes"/>
    <s v="Low"/>
    <n v="52.900000000000006"/>
    <n v="160.11363636363637"/>
  </r>
  <r>
    <s v="NFX-100309"/>
    <s v="Hidden City 9"/>
    <s v="TV Show"/>
    <x v="6"/>
    <n v="2023"/>
    <x v="6"/>
    <s v="2020-12-24"/>
    <n v="54"/>
    <s v="G"/>
    <n v="6.2"/>
    <n v="117.8"/>
    <s v="English"/>
    <s v="Park Chan-wook"/>
    <s v="Emma Stone"/>
    <n v="5"/>
    <n v="177"/>
    <n v="545.4"/>
    <s v="Average"/>
    <s v="Normal"/>
    <s v="Yes"/>
    <s v="High"/>
    <n v="368.4"/>
    <n v="308.13559322033899"/>
  </r>
  <r>
    <s v="NFX-100310"/>
    <s v="Rising Journey 2"/>
    <s v="TV Show"/>
    <x v="10"/>
    <n v="2000"/>
    <x v="1"/>
    <s v="2018-03-24"/>
    <n v="52"/>
    <s v="18+"/>
    <n v="6.5"/>
    <n v="114.1"/>
    <s v="English"/>
    <s v="Quentin Tarantino"/>
    <s v="Leonardo DiCaprio"/>
    <n v="5"/>
    <n v="88"/>
    <n v="112.6"/>
    <s v="Average"/>
    <s v="Normal"/>
    <s v="No"/>
    <s v="Low"/>
    <n v="24.599999999999994"/>
    <n v="127.95454545454545"/>
  </r>
  <r>
    <s v="NFX-100311"/>
    <s v="Broken Echo"/>
    <s v="TV Show"/>
    <x v="0"/>
    <n v="2009"/>
    <x v="9"/>
    <s v="2020-12-03"/>
    <n v="59"/>
    <s v="G"/>
    <n v="5"/>
    <n v="344.5"/>
    <s v="German"/>
    <s v="Greta Gerwig"/>
    <s v="Chris Evans"/>
    <n v="7"/>
    <n v="97"/>
    <n v="175.6"/>
    <s v="Flop"/>
    <s v="Popular"/>
    <s v="Yes"/>
    <s v="Low"/>
    <n v="78.599999999999994"/>
    <n v="181.03092783505156"/>
  </r>
  <r>
    <s v="NFX-100312"/>
    <s v="Dark Protocol"/>
    <s v="TV Show"/>
    <x v="8"/>
    <n v="2021"/>
    <x v="7"/>
    <s v="2020-10-13"/>
    <n v="50"/>
    <s v="G"/>
    <n v="7.8"/>
    <n v="89.7"/>
    <s v="German"/>
    <s v="James Cameron"/>
    <s v="Lee Jung-jae"/>
    <n v="1"/>
    <n v="53"/>
    <n v="70.7"/>
    <s v="Average"/>
    <s v="Normal"/>
    <s v="Yes"/>
    <s v="Low"/>
    <n v="17.700000000000003"/>
    <n v="133.39622641509433"/>
  </r>
  <r>
    <s v="NFX-100313"/>
    <s v="Broken Frontier 5"/>
    <s v="Movie"/>
    <x v="4"/>
    <n v="2004"/>
    <x v="4"/>
    <s v="2023-03-19"/>
    <n v="126"/>
    <s v="PG-13"/>
    <n v="6.9"/>
    <n v="513.79999999999995"/>
    <s v="English"/>
    <s v="Steven Spielberg"/>
    <s v="Scarlett Johansson"/>
    <m/>
    <n v="167"/>
    <n v="482.8"/>
    <s v="Average"/>
    <s v="Blockbuster"/>
    <s v="No"/>
    <s v="High"/>
    <n v="315.8"/>
    <n v="289.10179640718565"/>
  </r>
  <r>
    <s v="NFX-100314"/>
    <s v="Silent Odyssey"/>
    <s v="TV Show"/>
    <x v="1"/>
    <n v="2013"/>
    <x v="9"/>
    <s v="2019-09-06"/>
    <n v="56"/>
    <s v="PG-13"/>
    <n v="8.3000000000000007"/>
    <n v="68.599999999999994"/>
    <s v="English"/>
    <s v="Guillermo del Toro"/>
    <s v="Ranbir Kapoor"/>
    <n v="6"/>
    <n v="83"/>
    <n v="452.8"/>
    <s v="Hit"/>
    <s v="Normal"/>
    <s v="No"/>
    <s v="Low"/>
    <n v="369.8"/>
    <n v="545.54216867469881"/>
  </r>
  <r>
    <s v="NFX-100315"/>
    <s v="Dark Archive 4"/>
    <s v="Movie"/>
    <x v="6"/>
    <n v="2005"/>
    <x v="1"/>
    <s v="2020-07-08"/>
    <n v="115"/>
    <s v="G"/>
    <n v="9.1999999999999993"/>
    <n v="347.2"/>
    <s v="French"/>
    <s v="Ridley Scott"/>
    <s v="Robert Downey Jr."/>
    <m/>
    <n v="38"/>
    <n v="64.099999999999994"/>
    <s v="Hit"/>
    <s v="Popular"/>
    <s v="Yes"/>
    <s v="Low"/>
    <n v="26.099999999999994"/>
    <n v="168.68421052631578"/>
  </r>
  <r>
    <s v="NFX-100316"/>
    <s v="Iron Archive 7"/>
    <s v="TV Show"/>
    <x v="10"/>
    <n v="2013"/>
    <x v="6"/>
    <s v="2018-11-06"/>
    <n v="59"/>
    <s v="G"/>
    <n v="6.8"/>
    <n v="502.9"/>
    <s v="French"/>
    <s v="Greta Gerwig"/>
    <s v="Brad Pitt"/>
    <n v="4"/>
    <n v="96"/>
    <n v="487.5"/>
    <s v="Average"/>
    <s v="Blockbuster"/>
    <s v="Yes"/>
    <s v="Low"/>
    <n v="391.5"/>
    <n v="507.8125"/>
  </r>
  <r>
    <s v="NFX-100317"/>
    <s v="Rising Legacy"/>
    <s v="TV Show"/>
    <x v="6"/>
    <n v="2016"/>
    <x v="1"/>
    <s v="2019-04-13"/>
    <n v="55"/>
    <s v="G"/>
    <n v="7.9"/>
    <n v="22.3"/>
    <s v="Korean"/>
    <s v="Zoya Akhtar"/>
    <s v="Timothée Chalamet"/>
    <n v="7"/>
    <n v="16"/>
    <n v="98.1"/>
    <s v="Average"/>
    <s v="Normal"/>
    <s v="Yes"/>
    <s v="Low"/>
    <n v="82.1"/>
    <n v="613.125"/>
  </r>
  <r>
    <s v="NFX-100318"/>
    <s v="Golden Signal"/>
    <s v="TV Show"/>
    <x v="6"/>
    <n v="2024"/>
    <x v="8"/>
    <s v="2019-08-16"/>
    <n v="34"/>
    <s v="G"/>
    <n v="7.4"/>
    <n v="82.6"/>
    <s v="Korean"/>
    <s v="Steven Spielberg"/>
    <s v="Robert Downey Jr."/>
    <n v="2"/>
    <n v="162"/>
    <n v="1051.5"/>
    <s v="Average"/>
    <s v="Normal"/>
    <s v="Yes"/>
    <s v="High"/>
    <n v="889.5"/>
    <n v="649.07407407407402"/>
  </r>
  <r>
    <s v="NFX-100319"/>
    <s v="Dark City 3"/>
    <s v="Movie"/>
    <x v="7"/>
    <n v="2013"/>
    <x v="7"/>
    <s v="2022-11-03"/>
    <n v="94"/>
    <s v="G"/>
    <n v="9.4"/>
    <n v="422.5"/>
    <s v="Japanese"/>
    <s v="Park Chan-wook"/>
    <s v="Deepika Padukone"/>
    <m/>
    <n v="67"/>
    <n v="231.3"/>
    <s v="Hit"/>
    <s v="Blockbuster"/>
    <s v="Yes"/>
    <s v="Low"/>
    <n v="164.3"/>
    <n v="345.2238805970149"/>
  </r>
  <r>
    <s v="NFX-100320"/>
    <s v="Silent Code 1"/>
    <s v="TV Show"/>
    <x v="6"/>
    <n v="2019"/>
    <x v="4"/>
    <s v="2020-10-01"/>
    <n v="33"/>
    <s v="16+"/>
    <n v="5.2"/>
    <n v="458.8"/>
    <s v="English"/>
    <s v="Quentin Tarantino"/>
    <s v="Deepika Padukone"/>
    <n v="6"/>
    <n v="33"/>
    <n v="191.2"/>
    <s v="Flop"/>
    <s v="Blockbuster"/>
    <s v="No"/>
    <s v="Low"/>
    <n v="158.19999999999999"/>
    <n v="579.39393939393938"/>
  </r>
  <r>
    <s v="NFX-100321"/>
    <s v="Broken Frontier"/>
    <s v="Movie"/>
    <x v="10"/>
    <n v="2003"/>
    <x v="6"/>
    <s v="2019-12-29"/>
    <n v="153"/>
    <s v="18+"/>
    <n v="8.6"/>
    <n v="446.9"/>
    <s v="Korean"/>
    <s v="Martin Scorsese"/>
    <s v="Tom Hardy"/>
    <m/>
    <n v="169"/>
    <n v="819.2"/>
    <s v="Hit"/>
    <s v="Blockbuster"/>
    <s v="No"/>
    <s v="High"/>
    <n v="650.20000000000005"/>
    <n v="484.73372781065092"/>
  </r>
  <r>
    <s v="NFX-100322"/>
    <s v="Midnight Journey 8"/>
    <s v="TV Show"/>
    <x v="6"/>
    <n v="2008"/>
    <x v="4"/>
    <s v="2020-05-16"/>
    <n v="56"/>
    <s v="PG"/>
    <n v="9.1"/>
    <n v="181.6"/>
    <s v="Hindi"/>
    <s v="Ridley Scott"/>
    <s v="Ranbir Kapoor"/>
    <n v="4"/>
    <n v="26"/>
    <n v="62.8"/>
    <s v="Hit"/>
    <s v="Normal"/>
    <s v="Yes"/>
    <s v="Low"/>
    <n v="36.799999999999997"/>
    <n v="241.53846153846152"/>
  </r>
  <r>
    <s v="NFX-100323"/>
    <s v="Iron Horizon 5"/>
    <s v="Movie"/>
    <x v="5"/>
    <n v="2018"/>
    <x v="1"/>
    <s v="2023-09-15"/>
    <n v="117"/>
    <s v="16+"/>
    <n v="5.5"/>
    <n v="80.2"/>
    <s v="German"/>
    <s v="Martin Scorsese"/>
    <s v="Scarlett Johansson"/>
    <m/>
    <n v="48"/>
    <n v="264.8"/>
    <s v="Flop"/>
    <s v="Normal"/>
    <s v="No"/>
    <s v="Low"/>
    <n v="216.8"/>
    <n v="551.66666666666663"/>
  </r>
  <r>
    <s v="NFX-100324"/>
    <s v="Hidden Frontier 9"/>
    <s v="TV Show"/>
    <x v="10"/>
    <n v="2016"/>
    <x v="8"/>
    <s v="2023-10-11"/>
    <n v="52"/>
    <s v="G"/>
    <n v="4.5999999999999996"/>
    <n v="5.3"/>
    <s v="Japanese"/>
    <s v="Steven Spielberg"/>
    <s v="Scarlett Johansson"/>
    <n v="1"/>
    <n v="57"/>
    <n v="363.1"/>
    <s v="Flop"/>
    <s v="Normal"/>
    <s v="Yes"/>
    <s v="Low"/>
    <n v="306.10000000000002"/>
    <n v="637.01754385964909"/>
  </r>
  <r>
    <s v="NFX-100325"/>
    <s v="Hidden Valley 8"/>
    <s v="Movie"/>
    <x v="3"/>
    <n v="2007"/>
    <x v="8"/>
    <s v="2023-09-25"/>
    <n v="113"/>
    <s v="16+"/>
    <n v="7.3"/>
    <n v="301.60000000000002"/>
    <s v="Korean"/>
    <s v="Quentin Tarantino"/>
    <s v="Scarlett Johansson"/>
    <m/>
    <n v="97"/>
    <n v="255.3"/>
    <s v="Average"/>
    <s v="Popular"/>
    <s v="No"/>
    <s v="Low"/>
    <n v="158.30000000000001"/>
    <n v="263.1958762886598"/>
  </r>
  <r>
    <s v="NFX-100326"/>
    <s v="Hidden Empire 2"/>
    <s v="Movie"/>
    <x v="10"/>
    <n v="2021"/>
    <x v="9"/>
    <s v="2020-03-28"/>
    <n v="100"/>
    <s v="18+"/>
    <n v="5.3"/>
    <n v="78.8"/>
    <s v="English"/>
    <s v="Christopher Nolan"/>
    <s v="Tom Hardy"/>
    <m/>
    <n v="90"/>
    <n v="421.6"/>
    <s v="Flop"/>
    <s v="Normal"/>
    <s v="No"/>
    <s v="Low"/>
    <n v="331.6"/>
    <n v="468.44444444444446"/>
  </r>
  <r>
    <s v="NFX-100327"/>
    <s v="Rising Empire 4"/>
    <s v="TV Show"/>
    <x v="5"/>
    <n v="2000"/>
    <x v="9"/>
    <s v="2018-12-06"/>
    <n v="54"/>
    <s v="G"/>
    <n v="6.1"/>
    <n v="45.2"/>
    <s v="Japanese"/>
    <s v="Ridley Scott"/>
    <s v="Leonardo DiCaprio"/>
    <n v="2"/>
    <n v="193"/>
    <n v="953.2"/>
    <s v="Average"/>
    <s v="Normal"/>
    <s v="Yes"/>
    <s v="High"/>
    <n v="760.2"/>
    <n v="493.88601036269438"/>
  </r>
  <r>
    <s v="NFX-100328"/>
    <s v="Last Odyssey"/>
    <s v="Movie"/>
    <x v="10"/>
    <n v="2012"/>
    <x v="3"/>
    <s v="2024-01-28"/>
    <n v="140"/>
    <s v="18+"/>
    <n v="5.5"/>
    <n v="101.5"/>
    <s v="German"/>
    <s v="Christopher Nolan"/>
    <s v="Leonardo DiCaprio"/>
    <m/>
    <n v="154"/>
    <n v="773.3"/>
    <s v="Flop"/>
    <s v="Normal"/>
    <s v="No"/>
    <s v="High"/>
    <n v="619.29999999999995"/>
    <n v="502.14285714285711"/>
  </r>
  <r>
    <s v="NFX-100329"/>
    <s v="Secret Code"/>
    <s v="TV Show"/>
    <x v="0"/>
    <n v="2023"/>
    <x v="9"/>
    <s v="2023-01-03"/>
    <n v="55"/>
    <s v="PG-13"/>
    <n v="7"/>
    <n v="468.3"/>
    <s v="Spanish"/>
    <s v="Steven Spielberg"/>
    <s v="Jennifer Lawrence"/>
    <n v="1"/>
    <n v="172"/>
    <n v="569.5"/>
    <s v="Average"/>
    <s v="Blockbuster"/>
    <s v="No"/>
    <s v="High"/>
    <n v="397.5"/>
    <n v="331.10465116279067"/>
  </r>
  <r>
    <s v="NFX-100330"/>
    <s v="Crystal Empire 4"/>
    <s v="TV Show"/>
    <x v="1"/>
    <n v="2019"/>
    <x v="5"/>
    <s v="2020-11-05"/>
    <n v="46"/>
    <s v="G"/>
    <n v="5.6"/>
    <n v="28.3"/>
    <s v="German"/>
    <s v="Anurag Kashyap"/>
    <s v="Timothée Chalamet"/>
    <n v="6"/>
    <n v="186"/>
    <n v="934.4"/>
    <s v="Flop"/>
    <s v="Normal"/>
    <s v="Yes"/>
    <s v="High"/>
    <n v="748.4"/>
    <n v="502.36559139784947"/>
  </r>
  <r>
    <s v="NFX-100331"/>
    <s v="Dark Journey 9"/>
    <s v="Movie"/>
    <x v="0"/>
    <n v="2007"/>
    <x v="4"/>
    <s v="2024-07-20"/>
    <n v="170"/>
    <s v="PG"/>
    <n v="8.1999999999999993"/>
    <n v="204.8"/>
    <s v="Korean"/>
    <s v="Christopher Nolan"/>
    <s v="Jennifer Lawrence"/>
    <m/>
    <n v="52"/>
    <n v="250.8"/>
    <s v="Hit"/>
    <s v="Popular"/>
    <s v="Yes"/>
    <s v="Low"/>
    <n v="198.8"/>
    <n v="482.30769230769238"/>
  </r>
  <r>
    <s v="NFX-100332"/>
    <s v="Silent Journey 5"/>
    <s v="TV Show"/>
    <x v="6"/>
    <n v="2017"/>
    <x v="8"/>
    <s v="2020-04-28"/>
    <n v="39"/>
    <s v="16+"/>
    <n v="5.5"/>
    <n v="593.29999999999995"/>
    <s v="English"/>
    <s v="Martin Scorsese"/>
    <s v="Lee Jung-jae"/>
    <n v="7"/>
    <n v="158"/>
    <n v="768.2"/>
    <s v="Flop"/>
    <s v="Blockbuster"/>
    <s v="No"/>
    <s v="High"/>
    <n v="610.20000000000005"/>
    <n v="486.20253164556965"/>
  </r>
  <r>
    <s v="NFX-100333"/>
    <s v="Broken Horizon 9"/>
    <s v="Movie"/>
    <x v="1"/>
    <n v="2018"/>
    <x v="3"/>
    <s v="2018-08-04"/>
    <n v="149"/>
    <s v="G"/>
    <n v="9.6"/>
    <n v="443.5"/>
    <s v="English"/>
    <s v="Martin Scorsese"/>
    <s v="Jennifer Lawrence"/>
    <m/>
    <n v="124"/>
    <n v="539.6"/>
    <s v="Hit"/>
    <s v="Blockbuster"/>
    <s v="Yes"/>
    <s v="High"/>
    <n v="415.6"/>
    <n v="435.16129032258061"/>
  </r>
  <r>
    <s v="NFX-100334"/>
    <s v="Dark Archive"/>
    <s v="TV Show"/>
    <x v="10"/>
    <n v="2009"/>
    <x v="5"/>
    <s v="2020-09-13"/>
    <n v="30"/>
    <s v="G"/>
    <n v="4.9000000000000004"/>
    <n v="127.4"/>
    <s v="English"/>
    <s v="Quentin Tarantino"/>
    <s v="Chris Evans"/>
    <n v="5"/>
    <n v="116"/>
    <n v="480.1"/>
    <s v="Flop"/>
    <s v="Normal"/>
    <s v="Yes"/>
    <s v="High"/>
    <n v="364.1"/>
    <n v="413.87931034482762"/>
  </r>
  <r>
    <s v="NFX-100335"/>
    <s v="Dark Legacy 3"/>
    <s v="TV Show"/>
    <x v="1"/>
    <n v="2006"/>
    <x v="4"/>
    <s v="2024-04-30"/>
    <n v="30"/>
    <s v="PG-13"/>
    <n v="7.3"/>
    <n v="262"/>
    <s v="Spanish"/>
    <s v="Steven Spielberg"/>
    <s v="Leonardo DiCaprio"/>
    <n v="1"/>
    <n v="189"/>
    <n v="377.9"/>
    <s v="Average"/>
    <s v="Popular"/>
    <s v="No"/>
    <s v="High"/>
    <n v="188.89999999999998"/>
    <n v="199.94708994708995"/>
  </r>
  <r>
    <s v="NFX-100336"/>
    <s v="Silent Journey"/>
    <s v="TV Show"/>
    <x v="9"/>
    <n v="2020"/>
    <x v="0"/>
    <s v="2024-03-24"/>
    <n v="54"/>
    <s v="PG"/>
    <n v="8"/>
    <n v="243.4"/>
    <s v="Spanish"/>
    <s v="Quentin Tarantino"/>
    <s v="Tom Hardy"/>
    <n v="5"/>
    <n v="139"/>
    <n v="285.7"/>
    <s v="Hit"/>
    <s v="Popular"/>
    <s v="Yes"/>
    <s v="High"/>
    <n v="146.69999999999999"/>
    <n v="205.53956834532374"/>
  </r>
  <r>
    <s v="NFX-100337"/>
    <s v="Lost Protocol"/>
    <s v="TV Show"/>
    <x v="2"/>
    <n v="2007"/>
    <x v="1"/>
    <s v="2024-02-17"/>
    <n v="40"/>
    <s v="PG"/>
    <n v="8.6"/>
    <n v="436.8"/>
    <s v="English"/>
    <s v="Ridley Scott"/>
    <s v="Timothée Chalamet"/>
    <n v="3"/>
    <n v="197"/>
    <n v="632.70000000000005"/>
    <s v="Hit"/>
    <s v="Blockbuster"/>
    <s v="Yes"/>
    <s v="High"/>
    <n v="435.70000000000005"/>
    <n v="321.16751269035535"/>
  </r>
  <r>
    <s v="NFX-100338"/>
    <s v="Last Storm"/>
    <s v="TV Show"/>
    <x v="4"/>
    <n v="2013"/>
    <x v="0"/>
    <s v="2024-04-17"/>
    <n v="54"/>
    <s v="G"/>
    <n v="6.9"/>
    <n v="442.1"/>
    <s v="German"/>
    <s v="Rajkumar Hirani"/>
    <s v="Ryan Gosling"/>
    <n v="8"/>
    <n v="172"/>
    <n v="641.1"/>
    <s v="Average"/>
    <s v="Blockbuster"/>
    <s v="Yes"/>
    <s v="High"/>
    <n v="469.1"/>
    <n v="372.73255813953489"/>
  </r>
  <r>
    <s v="NFX-100339"/>
    <s v="Burning Empire 1"/>
    <s v="Movie"/>
    <x v="7"/>
    <n v="2009"/>
    <x v="8"/>
    <s v="2024-03-07"/>
    <n v="87"/>
    <s v="PG-13"/>
    <n v="7.4"/>
    <n v="226.7"/>
    <s v="English"/>
    <s v="Guillermo del Toro"/>
    <s v="Song Kang-ho"/>
    <m/>
    <n v="117"/>
    <n v="579.4"/>
    <s v="Average"/>
    <s v="Popular"/>
    <s v="No"/>
    <s v="High"/>
    <n v="462.4"/>
    <n v="495.21367521367523"/>
  </r>
  <r>
    <s v="NFX-100340"/>
    <s v="Shadow Protocol"/>
    <s v="TV Show"/>
    <x v="10"/>
    <n v="2002"/>
    <x v="0"/>
    <s v="2018-07-09"/>
    <n v="39"/>
    <s v="PG"/>
    <n v="4.9000000000000004"/>
    <n v="489.2"/>
    <s v="French"/>
    <s v="Denis Villeneuve"/>
    <s v="Leonardo DiCaprio"/>
    <n v="5"/>
    <n v="75"/>
    <n v="252.9"/>
    <s v="Flop"/>
    <s v="Blockbuster"/>
    <s v="Yes"/>
    <s v="Low"/>
    <n v="177.9"/>
    <n v="337.2"/>
  </r>
  <r>
    <s v="NFX-100341"/>
    <s v="Fading Storm 7"/>
    <s v="TV Show"/>
    <x v="7"/>
    <n v="2023"/>
    <x v="7"/>
    <s v="2018-01-12"/>
    <n v="43"/>
    <s v="18+"/>
    <n v="6.6"/>
    <n v="487.2"/>
    <s v="French"/>
    <s v="Denis Villeneuve"/>
    <s v="Leonardo DiCaprio"/>
    <n v="7"/>
    <n v="40"/>
    <n v="86.1"/>
    <s v="Average"/>
    <s v="Blockbuster"/>
    <s v="No"/>
    <s v="Low"/>
    <n v="46.099999999999994"/>
    <n v="215.25"/>
  </r>
  <r>
    <s v="NFX-100342"/>
    <s v="Hidden Legacy 4"/>
    <s v="TV Show"/>
    <x v="0"/>
    <n v="2022"/>
    <x v="8"/>
    <s v="2018-06-20"/>
    <n v="33"/>
    <s v="PG"/>
    <n v="6.3"/>
    <n v="43.4"/>
    <s v="French"/>
    <s v="Zoya Akhtar"/>
    <s v="Leonardo DiCaprio"/>
    <n v="8"/>
    <n v="95"/>
    <n v="202.1"/>
    <s v="Average"/>
    <s v="Normal"/>
    <s v="Yes"/>
    <s v="Low"/>
    <n v="107.1"/>
    <n v="212.73684210526315"/>
  </r>
  <r>
    <s v="NFX-100343"/>
    <s v="Midnight Horizon 3"/>
    <s v="Movie"/>
    <x v="6"/>
    <n v="2006"/>
    <x v="5"/>
    <s v="2024-09-20"/>
    <n v="140"/>
    <s v="18+"/>
    <n v="5.6"/>
    <n v="502.6"/>
    <s v="French"/>
    <s v="Zoya Akhtar"/>
    <s v="Ryan Gosling"/>
    <m/>
    <n v="119"/>
    <n v="567.20000000000005"/>
    <s v="Flop"/>
    <s v="Blockbuster"/>
    <s v="No"/>
    <s v="High"/>
    <n v="448.20000000000005"/>
    <n v="476.63865546218489"/>
  </r>
  <r>
    <s v="NFX-100344"/>
    <s v="Silent Archive 1"/>
    <s v="TV Show"/>
    <x v="7"/>
    <n v="2013"/>
    <x v="8"/>
    <s v="2022-10-11"/>
    <n v="54"/>
    <s v="PG"/>
    <n v="8.1"/>
    <n v="556"/>
    <s v="German"/>
    <s v="Guillermo del Toro"/>
    <s v="Lee Jung-jae"/>
    <n v="7"/>
    <n v="30"/>
    <n v="161"/>
    <s v="Hit"/>
    <s v="Blockbuster"/>
    <s v="Yes"/>
    <s v="Low"/>
    <n v="131"/>
    <n v="536.66666666666663"/>
  </r>
  <r>
    <s v="NFX-100345"/>
    <s v="Hidden Code 4"/>
    <s v="Movie"/>
    <x v="9"/>
    <n v="2000"/>
    <x v="4"/>
    <s v="2020-05-25"/>
    <n v="86"/>
    <s v="PG"/>
    <n v="6.3"/>
    <n v="172"/>
    <s v="Hindi"/>
    <s v="Greta Gerwig"/>
    <s v="Lee Jung-jae"/>
    <m/>
    <n v="35"/>
    <n v="93.1"/>
    <s v="Average"/>
    <s v="Normal"/>
    <s v="Yes"/>
    <s v="Low"/>
    <n v="58.099999999999994"/>
    <n v="265.99999999999994"/>
  </r>
  <r>
    <s v="NFX-100346"/>
    <s v="Crystal Empire 1"/>
    <s v="Movie"/>
    <x v="6"/>
    <n v="2018"/>
    <x v="3"/>
    <s v="2019-01-04"/>
    <n v="140"/>
    <s v="G"/>
    <n v="5.3"/>
    <n v="80.5"/>
    <s v="Japanese"/>
    <s v="Sanjay Leela Bhansali"/>
    <s v="Leonardo DiCaprio"/>
    <m/>
    <n v="196"/>
    <n v="655.8"/>
    <s v="Flop"/>
    <s v="Normal"/>
    <s v="Yes"/>
    <s v="High"/>
    <n v="459.79999999999995"/>
    <n v="334.59183673469386"/>
  </r>
  <r>
    <s v="NFX-100347"/>
    <s v="Secret Frontier 4"/>
    <s v="TV Show"/>
    <x v="3"/>
    <n v="2018"/>
    <x v="3"/>
    <s v="2023-02-08"/>
    <n v="54"/>
    <s v="PG-13"/>
    <n v="6.2"/>
    <n v="75"/>
    <s v="German"/>
    <s v="James Cameron"/>
    <s v="Song Kang-ho"/>
    <n v="7"/>
    <n v="195"/>
    <n v="1048.5"/>
    <s v="Average"/>
    <s v="Normal"/>
    <s v="No"/>
    <s v="High"/>
    <n v="853.5"/>
    <n v="537.69230769230774"/>
  </r>
  <r>
    <s v="NFX-100348"/>
    <s v="Secret Empire 2"/>
    <s v="Movie"/>
    <x v="8"/>
    <n v="2025"/>
    <x v="5"/>
    <s v="2023-10-24"/>
    <n v="85"/>
    <s v="PG"/>
    <n v="8.1"/>
    <n v="198.8"/>
    <s v="Spanish"/>
    <s v="Sanjay Leela Bhansali"/>
    <s v="Song Kang-ho"/>
    <m/>
    <n v="73"/>
    <n v="223.8"/>
    <s v="Hit"/>
    <s v="Normal"/>
    <s v="Yes"/>
    <s v="Low"/>
    <n v="150.80000000000001"/>
    <n v="306.57534246575347"/>
  </r>
  <r>
    <s v="NFX-100349"/>
    <s v="Golden Storm"/>
    <s v="Movie"/>
    <x v="4"/>
    <n v="2003"/>
    <x v="6"/>
    <s v="2018-10-12"/>
    <n v="125"/>
    <s v="PG"/>
    <n v="7.8"/>
    <n v="71.900000000000006"/>
    <s v="Spanish"/>
    <s v="Ridley Scott"/>
    <s v="Scarlett Johansson"/>
    <m/>
    <n v="34"/>
    <n v="179.4"/>
    <s v="Average"/>
    <s v="Normal"/>
    <s v="Yes"/>
    <s v="Low"/>
    <n v="145.4"/>
    <n v="527.64705882352939"/>
  </r>
  <r>
    <s v="NFX-100350"/>
    <s v="Crystal Archive"/>
    <s v="TV Show"/>
    <x v="8"/>
    <n v="2013"/>
    <x v="5"/>
    <s v="2019-07-19"/>
    <n v="30"/>
    <s v="G"/>
    <n v="8.5"/>
    <n v="175.2"/>
    <s v="German"/>
    <s v="Steven Spielberg"/>
    <s v="Tom Hardy"/>
    <n v="7"/>
    <n v="182"/>
    <n v="924.6"/>
    <s v="Hit"/>
    <s v="Normal"/>
    <s v="Yes"/>
    <s v="High"/>
    <n v="742.6"/>
    <n v="508.02197802197799"/>
  </r>
  <r>
    <s v="NFX-100351"/>
    <s v="Midnight Valley 7"/>
    <s v="TV Show"/>
    <x v="3"/>
    <n v="2011"/>
    <x v="3"/>
    <s v="2022-01-27"/>
    <n v="34"/>
    <s v="18+"/>
    <n v="6.4"/>
    <n v="375.9"/>
    <s v="Spanish"/>
    <s v="Denis Villeneuve"/>
    <s v="Shah Rukh Khan"/>
    <n v="2"/>
    <n v="158"/>
    <n v="967.4"/>
    <s v="Average"/>
    <s v="Popular"/>
    <s v="No"/>
    <s v="High"/>
    <n v="809.4"/>
    <n v="612.27848101265818"/>
  </r>
  <r>
    <s v="NFX-100352"/>
    <s v="Burning Journey"/>
    <s v="Movie"/>
    <x v="5"/>
    <n v="2001"/>
    <x v="0"/>
    <s v="2019-03-16"/>
    <n v="135"/>
    <s v="18+"/>
    <n v="5.3"/>
    <n v="433"/>
    <s v="Spanish"/>
    <s v="Denis Villeneuve"/>
    <s v="Robert Downey Jr."/>
    <m/>
    <n v="76"/>
    <n v="447.8"/>
    <s v="Flop"/>
    <s v="Blockbuster"/>
    <s v="No"/>
    <s v="Low"/>
    <n v="371.8"/>
    <n v="589.21052631578948"/>
  </r>
  <r>
    <s v="NFX-100353"/>
    <s v="Dark Echo 9"/>
    <s v="TV Show"/>
    <x v="4"/>
    <n v="2008"/>
    <x v="9"/>
    <s v="2023-05-07"/>
    <n v="55"/>
    <s v="PG"/>
    <n v="7.3"/>
    <n v="282.5"/>
    <s v="French"/>
    <s v="Greta Gerwig"/>
    <s v="Timothée Chalamet"/>
    <n v="8"/>
    <n v="47"/>
    <n v="224.5"/>
    <s v="Average"/>
    <s v="Popular"/>
    <s v="Yes"/>
    <s v="Low"/>
    <n v="177.5"/>
    <n v="477.65957446808505"/>
  </r>
  <r>
    <s v="NFX-100354"/>
    <s v="Fading Empire"/>
    <s v="Movie"/>
    <x v="2"/>
    <n v="2009"/>
    <x v="2"/>
    <s v="2018-06-10"/>
    <n v="112"/>
    <s v="PG-13"/>
    <n v="7.8"/>
    <n v="82.7"/>
    <s v="Korean"/>
    <s v="Rajkumar Hirani"/>
    <s v="Timothée Chalamet"/>
    <m/>
    <n v="137"/>
    <n v="509.3"/>
    <s v="Average"/>
    <s v="Normal"/>
    <s v="No"/>
    <s v="High"/>
    <n v="372.3"/>
    <n v="371.7518248175183"/>
  </r>
  <r>
    <s v="NFX-100355"/>
    <s v="Broken Journey 2"/>
    <s v="TV Show"/>
    <x v="10"/>
    <n v="2011"/>
    <x v="4"/>
    <s v="2023-04-27"/>
    <n v="38"/>
    <s v="PG-13"/>
    <n v="9.3000000000000007"/>
    <n v="356.2"/>
    <s v="Hindi"/>
    <s v="Ridley Scott"/>
    <s v="Ranbir Kapoor"/>
    <n v="6"/>
    <n v="43"/>
    <n v="274.3"/>
    <s v="Hit"/>
    <s v="Popular"/>
    <s v="No"/>
    <s v="Low"/>
    <n v="231.3"/>
    <n v="637.90697674418607"/>
  </r>
  <r>
    <s v="NFX-100356"/>
    <s v="Rising Odyssey 6"/>
    <s v="Movie"/>
    <x v="2"/>
    <n v="2006"/>
    <x v="4"/>
    <s v="2024-10-24"/>
    <n v="146"/>
    <s v="18+"/>
    <n v="6.9"/>
    <n v="273.60000000000002"/>
    <s v="Hindi"/>
    <s v="Guillermo del Toro"/>
    <s v="Ranbir Kapoor"/>
    <m/>
    <n v="156"/>
    <n v="1000.8"/>
    <s v="Average"/>
    <s v="Popular"/>
    <s v="No"/>
    <s v="High"/>
    <n v="844.8"/>
    <n v="641.53846153846143"/>
  </r>
  <r>
    <s v="NFX-100357"/>
    <s v="Silent Valley 9"/>
    <s v="Movie"/>
    <x v="10"/>
    <n v="2021"/>
    <x v="0"/>
    <s v="2020-05-25"/>
    <n v="86"/>
    <s v="PG"/>
    <n v="7.8"/>
    <n v="290.2"/>
    <s v="French"/>
    <s v="Park Chan-wook"/>
    <s v="Emma Stone"/>
    <m/>
    <n v="175"/>
    <n v="1127.8"/>
    <s v="Average"/>
    <s v="Popular"/>
    <s v="Yes"/>
    <s v="High"/>
    <n v="952.8"/>
    <n v="644.4571428571428"/>
  </r>
  <r>
    <s v="NFX-100358"/>
    <s v="Golden Journey"/>
    <s v="TV Show"/>
    <x v="7"/>
    <n v="2025"/>
    <x v="3"/>
    <s v="2018-04-03"/>
    <n v="44"/>
    <s v="PG"/>
    <n v="8.6"/>
    <n v="366.5"/>
    <s v="German"/>
    <s v="Guillermo del Toro"/>
    <s v="Jennifer Lawrence"/>
    <n v="5"/>
    <n v="193"/>
    <n v="505.1"/>
    <s v="Hit"/>
    <s v="Popular"/>
    <s v="Yes"/>
    <s v="High"/>
    <n v="312.10000000000002"/>
    <n v="261.70984455958552"/>
  </r>
  <r>
    <s v="NFX-100359"/>
    <s v="Midnight City"/>
    <s v="TV Show"/>
    <x v="8"/>
    <n v="2023"/>
    <x v="5"/>
    <s v="2023-12-09"/>
    <n v="46"/>
    <s v="G"/>
    <n v="6.5"/>
    <n v="493.9"/>
    <s v="English"/>
    <s v="Christopher Nolan"/>
    <s v="Deepika Padukone"/>
    <n v="3"/>
    <n v="69"/>
    <n v="161.6"/>
    <s v="Average"/>
    <s v="Blockbuster"/>
    <s v="Yes"/>
    <s v="Low"/>
    <n v="92.6"/>
    <n v="234.20289855072465"/>
  </r>
  <r>
    <s v="NFX-100360"/>
    <s v="Burning Echo 6"/>
    <s v="Movie"/>
    <x v="2"/>
    <n v="2006"/>
    <x v="6"/>
    <s v="2022-04-26"/>
    <n v="131"/>
    <s v="18+"/>
    <n v="9.5"/>
    <n v="296.7"/>
    <s v="Japanese"/>
    <s v="Rajkumar Hirani"/>
    <s v="Jennifer Lawrence"/>
    <m/>
    <n v="147"/>
    <n v="437"/>
    <s v="Hit"/>
    <s v="Popular"/>
    <s v="No"/>
    <s v="High"/>
    <n v="290"/>
    <n v="297.27891156462584"/>
  </r>
  <r>
    <s v="NFX-100361"/>
    <s v="Hidden Chronicles 6"/>
    <s v="Movie"/>
    <x v="2"/>
    <n v="2011"/>
    <x v="3"/>
    <s v="2022-09-28"/>
    <n v="83"/>
    <s v="PG-13"/>
    <n v="6.3"/>
    <n v="328.7"/>
    <s v="German"/>
    <s v="Steven Spielberg"/>
    <s v="Timothée Chalamet"/>
    <m/>
    <n v="16"/>
    <n v="62.7"/>
    <s v="Average"/>
    <s v="Popular"/>
    <s v="No"/>
    <s v="Low"/>
    <n v="46.7"/>
    <n v="391.875"/>
  </r>
  <r>
    <s v="NFX-100362"/>
    <s v="Golden Echo 2"/>
    <s v="Movie"/>
    <x v="2"/>
    <n v="2024"/>
    <x v="8"/>
    <s v="2020-03-18"/>
    <n v="163"/>
    <s v="G"/>
    <n v="8.3000000000000007"/>
    <n v="4.3"/>
    <s v="German"/>
    <s v="Ridley Scott"/>
    <s v="Shah Rukh Khan"/>
    <m/>
    <n v="191"/>
    <n v="966.2"/>
    <s v="Hit"/>
    <s v="Normal"/>
    <s v="Yes"/>
    <s v="High"/>
    <n v="775.2"/>
    <n v="505.86387434554973"/>
  </r>
  <r>
    <s v="NFX-100363"/>
    <s v="Secret Chronicles 9"/>
    <s v="TV Show"/>
    <x v="2"/>
    <n v="2004"/>
    <x v="0"/>
    <s v="2022-09-28"/>
    <n v="40"/>
    <s v="PG"/>
    <n v="4.8"/>
    <n v="373.2"/>
    <s v="Hindi"/>
    <s v="Anurag Kashyap"/>
    <s v="Brad Pitt"/>
    <n v="3"/>
    <n v="112"/>
    <n v="655.29999999999995"/>
    <s v="Flop"/>
    <s v="Popular"/>
    <s v="Yes"/>
    <s v="High"/>
    <n v="543.29999999999995"/>
    <n v="585.08928571428567"/>
  </r>
  <r>
    <s v="NFX-100364"/>
    <s v="Shadow Legacy 4"/>
    <s v="TV Show"/>
    <x v="6"/>
    <n v="2003"/>
    <x v="5"/>
    <s v="2024-03-02"/>
    <n v="43"/>
    <s v="18+"/>
    <n v="6.7"/>
    <n v="270.8"/>
    <s v="Korean"/>
    <s v="Anurag Kashyap"/>
    <s v="Deepika Padukone"/>
    <n v="8"/>
    <n v="73"/>
    <n v="297.5"/>
    <s v="Average"/>
    <s v="Popular"/>
    <s v="No"/>
    <s v="Low"/>
    <n v="224.5"/>
    <n v="407.53424657534242"/>
  </r>
  <r>
    <s v="NFX-100365"/>
    <s v="Secret Frontier 2"/>
    <s v="TV Show"/>
    <x v="3"/>
    <n v="2003"/>
    <x v="2"/>
    <s v="2018-02-26"/>
    <n v="42"/>
    <s v="16+"/>
    <n v="6.2"/>
    <n v="550.4"/>
    <s v="Korean"/>
    <s v="Anurag Kashyap"/>
    <s v="Brad Pitt"/>
    <n v="7"/>
    <n v="76"/>
    <n v="306.10000000000002"/>
    <s v="Average"/>
    <s v="Blockbuster"/>
    <s v="No"/>
    <s v="Low"/>
    <n v="230.10000000000002"/>
    <n v="402.76315789473688"/>
  </r>
  <r>
    <s v="NFX-100366"/>
    <s v="Iron Valley 1"/>
    <s v="Movie"/>
    <x v="10"/>
    <n v="2001"/>
    <x v="0"/>
    <s v="2022-02-17"/>
    <n v="153"/>
    <s v="16+"/>
    <n v="8.6"/>
    <n v="94.8"/>
    <s v="German"/>
    <s v="Ridley Scott"/>
    <s v="Ryan Gosling"/>
    <m/>
    <n v="54"/>
    <n v="301.3"/>
    <s v="Hit"/>
    <s v="Normal"/>
    <s v="No"/>
    <s v="Low"/>
    <n v="247.3"/>
    <n v="557.96296296296305"/>
  </r>
  <r>
    <s v="NFX-100367"/>
    <s v="Shadow Journey 2"/>
    <s v="Movie"/>
    <x v="10"/>
    <n v="2021"/>
    <x v="4"/>
    <s v="2018-06-09"/>
    <n v="117"/>
    <s v="PG"/>
    <n v="6"/>
    <n v="540.70000000000005"/>
    <s v="English"/>
    <s v="Martin Scorsese"/>
    <s v="Deepika Padukone"/>
    <m/>
    <n v="88"/>
    <n v="373.6"/>
    <s v="Average"/>
    <s v="Blockbuster"/>
    <s v="Yes"/>
    <s v="Low"/>
    <n v="285.60000000000002"/>
    <n v="424.54545454545462"/>
  </r>
  <r>
    <s v="NFX-100368"/>
    <s v="Rising Echo 7"/>
    <s v="TV Show"/>
    <x v="9"/>
    <n v="2019"/>
    <x v="1"/>
    <s v="2022-04-20"/>
    <n v="42"/>
    <s v="PG"/>
    <n v="6.8"/>
    <n v="572.4"/>
    <s v="French"/>
    <s v="Rajkumar Hirani"/>
    <s v="Brad Pitt"/>
    <n v="3"/>
    <n v="106"/>
    <n v="411.3"/>
    <s v="Average"/>
    <s v="Blockbuster"/>
    <s v="Yes"/>
    <s v="High"/>
    <n v="305.3"/>
    <n v="388.01886792452831"/>
  </r>
  <r>
    <s v="NFX-100369"/>
    <s v="Lost Horizon 4"/>
    <s v="Movie"/>
    <x v="0"/>
    <n v="2010"/>
    <x v="1"/>
    <s v="2020-08-12"/>
    <n v="165"/>
    <s v="PG"/>
    <n v="5"/>
    <n v="423.5"/>
    <s v="French"/>
    <s v="Christopher Nolan"/>
    <s v="Chris Evans"/>
    <m/>
    <n v="88"/>
    <n v="311.39999999999998"/>
    <s v="Flop"/>
    <s v="Blockbuster"/>
    <s v="Yes"/>
    <s v="Low"/>
    <n v="223.39999999999998"/>
    <n v="353.86363636363637"/>
  </r>
  <r>
    <s v="NFX-100370"/>
    <s v="Midnight Legacy 5"/>
    <s v="Movie"/>
    <x v="6"/>
    <n v="2013"/>
    <x v="2"/>
    <s v="2018-10-13"/>
    <n v="84"/>
    <s v="16+"/>
    <n v="8.8000000000000007"/>
    <n v="96.9"/>
    <s v="French"/>
    <s v="Steven Spielberg"/>
    <s v="Scarlett Johansson"/>
    <m/>
    <n v="177"/>
    <n v="461.9"/>
    <s v="Hit"/>
    <s v="Normal"/>
    <s v="No"/>
    <s v="High"/>
    <n v="284.89999999999998"/>
    <n v="260.96045197740108"/>
  </r>
  <r>
    <s v="NFX-100371"/>
    <s v="Hidden Signal 9"/>
    <s v="TV Show"/>
    <x v="8"/>
    <n v="2000"/>
    <x v="5"/>
    <s v="2024-09-12"/>
    <n v="42"/>
    <s v="G"/>
    <n v="9.3000000000000007"/>
    <n v="189.9"/>
    <s v="Hindi"/>
    <s v="Sanjay Leela Bhansali"/>
    <s v="Emma Stone"/>
    <n v="5"/>
    <n v="6"/>
    <n v="13.6"/>
    <s v="Hit"/>
    <s v="Normal"/>
    <s v="Yes"/>
    <s v="Low"/>
    <n v="7.6"/>
    <n v="226.66666666666666"/>
  </r>
  <r>
    <s v="NFX-100372"/>
    <s v="Rising City"/>
    <s v="TV Show"/>
    <x v="9"/>
    <n v="2012"/>
    <x v="2"/>
    <s v="2022-12-14"/>
    <n v="49"/>
    <s v="18+"/>
    <n v="8.3000000000000007"/>
    <n v="57.5"/>
    <s v="Japanese"/>
    <s v="Guillermo del Toro"/>
    <s v="Timothée Chalamet"/>
    <n v="2"/>
    <n v="128"/>
    <n v="614.1"/>
    <s v="Hit"/>
    <s v="Normal"/>
    <s v="No"/>
    <s v="High"/>
    <n v="486.1"/>
    <n v="479.765625"/>
  </r>
  <r>
    <s v="NFX-100373"/>
    <s v="Secret Code 1"/>
    <s v="Movie"/>
    <x v="3"/>
    <n v="2016"/>
    <x v="9"/>
    <s v="2024-02-12"/>
    <n v="106"/>
    <s v="16+"/>
    <n v="7.8"/>
    <n v="358.7"/>
    <s v="Japanese"/>
    <s v="Guillermo del Toro"/>
    <s v="Lee Jung-jae"/>
    <m/>
    <n v="62"/>
    <n v="236.9"/>
    <s v="Average"/>
    <s v="Popular"/>
    <s v="No"/>
    <s v="Low"/>
    <n v="174.9"/>
    <n v="382.09677419354841"/>
  </r>
  <r>
    <s v="NFX-100374"/>
    <s v="Midnight Empire 1"/>
    <s v="TV Show"/>
    <x v="4"/>
    <n v="2006"/>
    <x v="2"/>
    <s v="2020-08-29"/>
    <n v="58"/>
    <s v="G"/>
    <n v="7.4"/>
    <n v="237"/>
    <s v="German"/>
    <s v="James Cameron"/>
    <s v="Chris Evans"/>
    <n v="6"/>
    <n v="65"/>
    <n v="126.3"/>
    <s v="Average"/>
    <s v="Popular"/>
    <s v="Yes"/>
    <s v="Low"/>
    <n v="61.3"/>
    <n v="194.30769230769229"/>
  </r>
  <r>
    <s v="NFX-100375"/>
    <s v="Rising Archive"/>
    <s v="TV Show"/>
    <x v="7"/>
    <n v="2000"/>
    <x v="0"/>
    <s v="2018-10-13"/>
    <n v="46"/>
    <s v="16+"/>
    <n v="5.6"/>
    <n v="139"/>
    <s v="English"/>
    <s v="Greta Gerwig"/>
    <s v="Leonardo DiCaprio"/>
    <n v="4"/>
    <n v="93"/>
    <n v="194.8"/>
    <s v="Flop"/>
    <s v="Normal"/>
    <s v="No"/>
    <s v="Low"/>
    <n v="101.80000000000001"/>
    <n v="209.46236559139786"/>
  </r>
  <r>
    <s v="NFX-100376"/>
    <s v="Fading Horizon 5"/>
    <s v="Movie"/>
    <x v="2"/>
    <n v="2012"/>
    <x v="8"/>
    <s v="2018-02-06"/>
    <n v="147"/>
    <s v="PG-13"/>
    <n v="6"/>
    <n v="216.4"/>
    <s v="Korean"/>
    <s v="Zoya Akhtar"/>
    <s v="Jennifer Lawrence"/>
    <m/>
    <n v="98"/>
    <n v="432.2"/>
    <s v="Average"/>
    <s v="Popular"/>
    <s v="No"/>
    <s v="Low"/>
    <n v="334.2"/>
    <n v="441.0204081632653"/>
  </r>
  <r>
    <s v="NFX-100377"/>
    <s v="Rising Odyssey"/>
    <s v="Movie"/>
    <x v="4"/>
    <n v="2022"/>
    <x v="8"/>
    <s v="2022-08-13"/>
    <n v="119"/>
    <s v="PG-13"/>
    <n v="8.5"/>
    <n v="229.6"/>
    <s v="English"/>
    <s v="Quentin Tarantino"/>
    <s v="Shah Rukh Khan"/>
    <m/>
    <n v="56"/>
    <n v="208.5"/>
    <s v="Hit"/>
    <s v="Popular"/>
    <s v="No"/>
    <s v="Low"/>
    <n v="152.5"/>
    <n v="372.32142857142856"/>
  </r>
  <r>
    <s v="NFX-100378"/>
    <s v="Secret Odyssey 3"/>
    <s v="TV Show"/>
    <x v="5"/>
    <n v="2009"/>
    <x v="7"/>
    <s v="2018-10-20"/>
    <n v="58"/>
    <s v="G"/>
    <n v="7.9"/>
    <n v="161.80000000000001"/>
    <s v="French"/>
    <s v="Quentin Tarantino"/>
    <s v="Deepika Padukone"/>
    <n v="8"/>
    <n v="36"/>
    <n v="225.5"/>
    <s v="Average"/>
    <s v="Normal"/>
    <s v="Yes"/>
    <s v="Low"/>
    <n v="189.5"/>
    <n v="626.38888888888891"/>
  </r>
  <r>
    <s v="NFX-100379"/>
    <s v="Shadow Odyssey"/>
    <s v="TV Show"/>
    <x v="1"/>
    <n v="2014"/>
    <x v="5"/>
    <s v="2020-02-21"/>
    <n v="53"/>
    <s v="G"/>
    <n v="5.0999999999999996"/>
    <n v="496.5"/>
    <s v="Spanish"/>
    <s v="Martin Scorsese"/>
    <s v="Ranbir Kapoor"/>
    <n v="6"/>
    <n v="28"/>
    <n v="116.3"/>
    <s v="Flop"/>
    <s v="Blockbuster"/>
    <s v="Yes"/>
    <s v="Low"/>
    <n v="88.3"/>
    <n v="415.35714285714283"/>
  </r>
  <r>
    <s v="NFX-100380"/>
    <s v="Midnight Code 9"/>
    <s v="Movie"/>
    <x v="7"/>
    <n v="2016"/>
    <x v="8"/>
    <s v="2024-01-04"/>
    <n v="141"/>
    <s v="PG-13"/>
    <n v="9.1999999999999993"/>
    <n v="168.1"/>
    <s v="Japanese"/>
    <s v="Quentin Tarantino"/>
    <s v="Shah Rukh Khan"/>
    <m/>
    <n v="38"/>
    <n v="207"/>
    <s v="Hit"/>
    <s v="Normal"/>
    <s v="No"/>
    <s v="Low"/>
    <n v="169"/>
    <n v="544.73684210526324"/>
  </r>
  <r>
    <s v="NFX-100381"/>
    <s v="Rising City 4"/>
    <s v="Movie"/>
    <x v="5"/>
    <n v="2019"/>
    <x v="7"/>
    <s v="2022-11-08"/>
    <n v="154"/>
    <s v="G"/>
    <n v="6.3"/>
    <n v="372.6"/>
    <s v="German"/>
    <s v="Martin Scorsese"/>
    <s v="Chris Evans"/>
    <m/>
    <n v="131"/>
    <n v="786.7"/>
    <s v="Average"/>
    <s v="Popular"/>
    <s v="Yes"/>
    <s v="High"/>
    <n v="655.7"/>
    <n v="600.53435114503827"/>
  </r>
  <r>
    <s v="NFX-100382"/>
    <s v="Fading Empire 1"/>
    <s v="TV Show"/>
    <x v="10"/>
    <n v="2018"/>
    <x v="5"/>
    <s v="2021-08-10"/>
    <n v="33"/>
    <s v="16+"/>
    <n v="7.8"/>
    <n v="452.3"/>
    <s v="German"/>
    <s v="Christopher Nolan"/>
    <s v="Chris Evans"/>
    <n v="2"/>
    <n v="186"/>
    <n v="585.70000000000005"/>
    <s v="Average"/>
    <s v="Blockbuster"/>
    <s v="No"/>
    <s v="High"/>
    <n v="399.70000000000005"/>
    <n v="314.89247311827961"/>
  </r>
  <r>
    <s v="NFX-100383"/>
    <s v="Shadow Echo 1"/>
    <s v="Movie"/>
    <x v="2"/>
    <n v="2012"/>
    <x v="9"/>
    <s v="2018-10-06"/>
    <n v="91"/>
    <s v="PG"/>
    <n v="5.7"/>
    <n v="93.1"/>
    <s v="Japanese"/>
    <s v="Ridley Scott"/>
    <s v="Robert Downey Jr."/>
    <m/>
    <n v="93"/>
    <n v="556.5"/>
    <s v="Flop"/>
    <s v="Normal"/>
    <s v="Yes"/>
    <s v="Low"/>
    <n v="463.5"/>
    <n v="598.38709677419354"/>
  </r>
  <r>
    <s v="NFX-100384"/>
    <s v="Lost Archive"/>
    <s v="TV Show"/>
    <x v="1"/>
    <n v="2012"/>
    <x v="5"/>
    <s v="2023-08-06"/>
    <n v="60"/>
    <s v="18+"/>
    <n v="5"/>
    <n v="530.1"/>
    <s v="German"/>
    <s v="Steven Spielberg"/>
    <s v="Ryan Gosling"/>
    <n v="6"/>
    <n v="26"/>
    <n v="123.9"/>
    <s v="Flop"/>
    <s v="Blockbuster"/>
    <s v="No"/>
    <s v="Low"/>
    <n v="97.9"/>
    <n v="476.53846153846155"/>
  </r>
  <r>
    <s v="NFX-100385"/>
    <s v="Golden Echo"/>
    <s v="Movie"/>
    <x v="8"/>
    <n v="2003"/>
    <x v="7"/>
    <s v="2019-11-01"/>
    <n v="146"/>
    <s v="PG"/>
    <n v="7.9"/>
    <n v="368.7"/>
    <s v="Japanese"/>
    <s v="Steven Spielberg"/>
    <s v="Deepika Padukone"/>
    <m/>
    <n v="98"/>
    <n v="431.3"/>
    <s v="Average"/>
    <s v="Popular"/>
    <s v="Yes"/>
    <s v="Low"/>
    <n v="333.3"/>
    <n v="440.10204081632656"/>
  </r>
  <r>
    <s v="NFX-100386"/>
    <s v="Burning Storm"/>
    <s v="Movie"/>
    <x v="9"/>
    <n v="2001"/>
    <x v="2"/>
    <s v="2024-05-05"/>
    <n v="138"/>
    <s v="PG"/>
    <n v="9"/>
    <n v="457.4"/>
    <s v="French"/>
    <s v="Christopher Nolan"/>
    <s v="Song Kang-ho"/>
    <m/>
    <n v="195"/>
    <n v="910.6"/>
    <s v="Hit"/>
    <s v="Blockbuster"/>
    <s v="Yes"/>
    <s v="High"/>
    <n v="715.6"/>
    <n v="466.97435897435895"/>
  </r>
  <r>
    <s v="NFX-100387"/>
    <s v="Hidden Empire"/>
    <s v="TV Show"/>
    <x v="4"/>
    <n v="2004"/>
    <x v="8"/>
    <s v="2019-06-20"/>
    <n v="31"/>
    <s v="16+"/>
    <n v="8.8000000000000007"/>
    <n v="313.10000000000002"/>
    <s v="French"/>
    <s v="Quentin Tarantino"/>
    <s v="Ranbir Kapoor"/>
    <n v="7"/>
    <n v="164"/>
    <n v="547.4"/>
    <s v="Hit"/>
    <s v="Popular"/>
    <s v="No"/>
    <s v="High"/>
    <n v="383.4"/>
    <n v="333.78048780487808"/>
  </r>
  <r>
    <s v="NFX-100388"/>
    <s v="Midnight Chronicles"/>
    <s v="Movie"/>
    <x v="9"/>
    <n v="2006"/>
    <x v="9"/>
    <s v="2023-06-17"/>
    <n v="86"/>
    <s v="PG-13"/>
    <n v="4.5999999999999996"/>
    <n v="68"/>
    <s v="French"/>
    <s v="Guillermo del Toro"/>
    <s v="Chris Evans"/>
    <m/>
    <n v="157"/>
    <n v="189.7"/>
    <s v="Flop"/>
    <s v="Normal"/>
    <s v="No"/>
    <s v="High"/>
    <n v="32.699999999999989"/>
    <n v="120.82802547770699"/>
  </r>
  <r>
    <s v="NFX-100389"/>
    <s v="Burning Signal 5"/>
    <s v="TV Show"/>
    <x v="7"/>
    <n v="2017"/>
    <x v="2"/>
    <s v="2020-04-22"/>
    <n v="48"/>
    <s v="18+"/>
    <n v="9.1999999999999993"/>
    <n v="401.3"/>
    <s v="French"/>
    <s v="Steven Spielberg"/>
    <s v="Chris Evans"/>
    <n v="3"/>
    <n v="150"/>
    <n v="529.79999999999995"/>
    <s v="Hit"/>
    <s v="Blockbuster"/>
    <s v="No"/>
    <s v="High"/>
    <n v="379.79999999999995"/>
    <n v="353.19999999999993"/>
  </r>
  <r>
    <s v="NFX-100390"/>
    <s v="Midnight Frontier 7"/>
    <s v="Movie"/>
    <x v="3"/>
    <n v="2010"/>
    <x v="4"/>
    <s v="2018-08-04"/>
    <n v="133"/>
    <s v="G"/>
    <n v="6"/>
    <n v="579.4"/>
    <s v="Spanish"/>
    <s v="Quentin Tarantino"/>
    <s v="Timothée Chalamet"/>
    <m/>
    <n v="199"/>
    <n v="352.6"/>
    <s v="Average"/>
    <s v="Blockbuster"/>
    <s v="Yes"/>
    <s v="High"/>
    <n v="153.60000000000002"/>
    <n v="177.18592964824123"/>
  </r>
  <r>
    <s v="NFX-100391"/>
    <s v="Burning City 5"/>
    <s v="Movie"/>
    <x v="0"/>
    <n v="2003"/>
    <x v="6"/>
    <s v="2020-07-14"/>
    <n v="86"/>
    <s v="18+"/>
    <n v="5.3"/>
    <n v="358.5"/>
    <s v="French"/>
    <s v="Park Chan-wook"/>
    <s v="Leonardo DiCaprio"/>
    <m/>
    <n v="134"/>
    <n v="458.4"/>
    <s v="Flop"/>
    <s v="Popular"/>
    <s v="No"/>
    <s v="High"/>
    <n v="324.39999999999998"/>
    <n v="342.08955223880599"/>
  </r>
  <r>
    <s v="NFX-100392"/>
    <s v="Dark Odyssey 3"/>
    <s v="TV Show"/>
    <x v="9"/>
    <n v="2006"/>
    <x v="9"/>
    <s v="2024-09-16"/>
    <n v="41"/>
    <s v="18+"/>
    <n v="4.9000000000000004"/>
    <n v="226.7"/>
    <s v="Spanish"/>
    <s v="Rajkumar Hirani"/>
    <s v="Ryan Gosling"/>
    <n v="4"/>
    <n v="170"/>
    <n v="804.2"/>
    <s v="Flop"/>
    <s v="Popular"/>
    <s v="No"/>
    <s v="High"/>
    <n v="634.20000000000005"/>
    <n v="473.05882352941177"/>
  </r>
  <r>
    <s v="NFX-100393"/>
    <s v="Midnight Frontier 8"/>
    <s v="TV Show"/>
    <x v="5"/>
    <n v="2022"/>
    <x v="5"/>
    <s v="2021-04-15"/>
    <n v="53"/>
    <s v="18+"/>
    <n v="9.5"/>
    <n v="435.7"/>
    <s v="French"/>
    <s v="Guillermo del Toro"/>
    <s v="Jennifer Lawrence"/>
    <n v="5"/>
    <n v="86"/>
    <n v="414.3"/>
    <s v="Hit"/>
    <s v="Blockbuster"/>
    <s v="No"/>
    <s v="Low"/>
    <n v="328.3"/>
    <n v="481.74418604651169"/>
  </r>
  <r>
    <s v="NFX-100394"/>
    <s v="Iron Echo 3"/>
    <s v="Movie"/>
    <x v="5"/>
    <n v="2018"/>
    <x v="9"/>
    <s v="2018-12-08"/>
    <n v="120"/>
    <s v="PG"/>
    <n v="6.1"/>
    <n v="321.5"/>
    <s v="French"/>
    <s v="Martin Scorsese"/>
    <s v="Ranbir Kapoor"/>
    <m/>
    <n v="38"/>
    <n v="222.3"/>
    <s v="Average"/>
    <s v="Popular"/>
    <s v="Yes"/>
    <s v="Low"/>
    <n v="184.3"/>
    <n v="585"/>
  </r>
  <r>
    <s v="NFX-100395"/>
    <s v="Last City"/>
    <s v="TV Show"/>
    <x v="10"/>
    <n v="2001"/>
    <x v="8"/>
    <s v="2021-12-30"/>
    <n v="52"/>
    <s v="G"/>
    <n v="6.1"/>
    <n v="75.400000000000006"/>
    <s v="Hindi"/>
    <s v="Denis Villeneuve"/>
    <s v="Song Kang-ho"/>
    <n v="1"/>
    <n v="186"/>
    <n v="1010"/>
    <s v="Average"/>
    <s v="Normal"/>
    <s v="Yes"/>
    <s v="High"/>
    <n v="824"/>
    <n v="543.01075268817203"/>
  </r>
  <r>
    <s v="NFX-100396"/>
    <s v="Midnight City 7"/>
    <s v="Movie"/>
    <x v="4"/>
    <n v="2000"/>
    <x v="9"/>
    <s v="2018-05-18"/>
    <n v="113"/>
    <s v="G"/>
    <n v="7.6"/>
    <n v="112.9"/>
    <s v="Korean"/>
    <s v="Rajkumar Hirani"/>
    <s v="Leonardo DiCaprio"/>
    <m/>
    <n v="138"/>
    <n v="821.4"/>
    <s v="Average"/>
    <s v="Normal"/>
    <s v="Yes"/>
    <s v="High"/>
    <n v="683.4"/>
    <n v="595.21739130434787"/>
  </r>
  <r>
    <s v="NFX-100397"/>
    <s v="Rising Horizon 5"/>
    <s v="TV Show"/>
    <x v="0"/>
    <n v="2023"/>
    <x v="6"/>
    <s v="2023-02-06"/>
    <n v="58"/>
    <s v="16+"/>
    <n v="4.7"/>
    <n v="357.8"/>
    <s v="Korean"/>
    <s v="Guillermo del Toro"/>
    <s v="Shah Rukh Khan"/>
    <n v="8"/>
    <n v="172"/>
    <n v="1108.2"/>
    <s v="Flop"/>
    <s v="Popular"/>
    <s v="No"/>
    <s v="High"/>
    <n v="936.2"/>
    <n v="644.30232558139539"/>
  </r>
  <r>
    <s v="NFX-100398"/>
    <s v="Broken Frontier 2"/>
    <s v="Movie"/>
    <x v="1"/>
    <n v="2008"/>
    <x v="0"/>
    <s v="2019-08-09"/>
    <n v="180"/>
    <s v="G"/>
    <n v="4.7"/>
    <n v="169.9"/>
    <s v="Korean"/>
    <s v="Christopher Nolan"/>
    <s v="Timothée Chalamet"/>
    <m/>
    <n v="60"/>
    <n v="167.1"/>
    <s v="Flop"/>
    <s v="Normal"/>
    <s v="Yes"/>
    <s v="Low"/>
    <n v="107.1"/>
    <n v="278.49999999999994"/>
  </r>
  <r>
    <s v="NFX-100399"/>
    <s v="Broken Valley 5"/>
    <s v="TV Show"/>
    <x v="1"/>
    <n v="2005"/>
    <x v="2"/>
    <s v="2024-03-12"/>
    <n v="49"/>
    <s v="G"/>
    <n v="6.5"/>
    <n v="510.1"/>
    <s v="Japanese"/>
    <s v="Quentin Tarantino"/>
    <s v="Scarlett Johansson"/>
    <n v="6"/>
    <n v="145"/>
    <n v="516.4"/>
    <s v="Average"/>
    <s v="Blockbuster"/>
    <s v="Yes"/>
    <s v="High"/>
    <n v="371.4"/>
    <n v="356.13793103448273"/>
  </r>
  <r>
    <s v="NFX-100400"/>
    <s v="Burning Protocol"/>
    <s v="Movie"/>
    <x v="9"/>
    <n v="2006"/>
    <x v="3"/>
    <s v="2020-03-25"/>
    <n v="132"/>
    <s v="16+"/>
    <n v="4.7"/>
    <n v="407"/>
    <s v="French"/>
    <s v="Bong Joon-ho"/>
    <s v="Shah Rukh Khan"/>
    <m/>
    <n v="120"/>
    <n v="232.3"/>
    <s v="Flop"/>
    <s v="Blockbuster"/>
    <s v="No"/>
    <s v="High"/>
    <n v="112.30000000000001"/>
    <n v="193.58333333333334"/>
  </r>
  <r>
    <s v="NFX-100401"/>
    <s v="Broken Chronicles 6"/>
    <s v="TV Show"/>
    <x v="0"/>
    <n v="2017"/>
    <x v="1"/>
    <s v="2024-10-08"/>
    <n v="51"/>
    <s v="18+"/>
    <n v="6.9"/>
    <n v="255.6"/>
    <s v="Japanese"/>
    <s v="Christopher Nolan"/>
    <s v="Ranbir Kapoor"/>
    <n v="3"/>
    <n v="122"/>
    <n v="312.89999999999998"/>
    <s v="Average"/>
    <s v="Popular"/>
    <s v="No"/>
    <s v="High"/>
    <n v="190.89999999999998"/>
    <n v="256.47540983606552"/>
  </r>
  <r>
    <s v="NFX-100402"/>
    <s v="Hidden Code 2"/>
    <s v="TV Show"/>
    <x v="6"/>
    <n v="2023"/>
    <x v="5"/>
    <s v="2018-06-22"/>
    <n v="60"/>
    <s v="16+"/>
    <n v="9.6"/>
    <n v="538.6"/>
    <s v="Korean"/>
    <s v="Rajkumar Hirani"/>
    <s v="Chris Evans"/>
    <n v="1"/>
    <n v="160"/>
    <n v="424"/>
    <s v="Hit"/>
    <s v="Blockbuster"/>
    <s v="No"/>
    <s v="High"/>
    <n v="264"/>
    <n v="265"/>
  </r>
  <r>
    <s v="NFX-100403"/>
    <s v="Shadow Code"/>
    <s v="TV Show"/>
    <x v="5"/>
    <n v="2017"/>
    <x v="4"/>
    <s v="2021-09-24"/>
    <n v="45"/>
    <s v="G"/>
    <n v="7.6"/>
    <n v="322.2"/>
    <s v="Hindi"/>
    <s v="Zoya Akhtar"/>
    <s v="Emma Stone"/>
    <n v="6"/>
    <n v="161"/>
    <n v="842.9"/>
    <s v="Average"/>
    <s v="Popular"/>
    <s v="Yes"/>
    <s v="High"/>
    <n v="681.9"/>
    <n v="523.54037267080741"/>
  </r>
  <r>
    <s v="NFX-100404"/>
    <s v="Lost Chronicles 1"/>
    <s v="Movie"/>
    <x v="7"/>
    <n v="2013"/>
    <x v="6"/>
    <s v="2021-12-09"/>
    <n v="118"/>
    <s v="18+"/>
    <n v="9.4"/>
    <n v="304.39999999999998"/>
    <s v="English"/>
    <s v="James Cameron"/>
    <s v="Jennifer Lawrence"/>
    <m/>
    <n v="86"/>
    <n v="317.3"/>
    <s v="Hit"/>
    <s v="Popular"/>
    <s v="No"/>
    <s v="Low"/>
    <n v="231.3"/>
    <n v="368.95348837209303"/>
  </r>
  <r>
    <s v="NFX-100405"/>
    <s v="Golden Valley 8"/>
    <s v="Movie"/>
    <x v="3"/>
    <n v="2004"/>
    <x v="2"/>
    <s v="2018-03-04"/>
    <n v="107"/>
    <s v="16+"/>
    <n v="9.1"/>
    <n v="272.7"/>
    <s v="Hindi"/>
    <s v="Quentin Tarantino"/>
    <s v="Lee Jung-jae"/>
    <m/>
    <n v="106"/>
    <n v="686.3"/>
    <s v="Hit"/>
    <s v="Popular"/>
    <s v="No"/>
    <s v="High"/>
    <n v="580.29999999999995"/>
    <n v="647.45283018867917"/>
  </r>
  <r>
    <s v="NFX-100406"/>
    <s v="Shadow Storm 1"/>
    <s v="Movie"/>
    <x v="8"/>
    <n v="2008"/>
    <x v="1"/>
    <s v="2024-02-12"/>
    <n v="165"/>
    <s v="G"/>
    <n v="8.8000000000000007"/>
    <n v="149.69999999999999"/>
    <s v="English"/>
    <s v="Zoya Akhtar"/>
    <s v="Ryan Gosling"/>
    <m/>
    <n v="45"/>
    <n v="121.4"/>
    <s v="Hit"/>
    <s v="Normal"/>
    <s v="Yes"/>
    <s v="Low"/>
    <n v="76.400000000000006"/>
    <n v="269.77777777777783"/>
  </r>
  <r>
    <s v="NFX-100407"/>
    <s v="Burning Valley 1"/>
    <s v="Movie"/>
    <x v="1"/>
    <n v="2009"/>
    <x v="1"/>
    <s v="2021-08-12"/>
    <n v="179"/>
    <s v="PG-13"/>
    <n v="8.6999999999999993"/>
    <n v="342.6"/>
    <s v="Korean"/>
    <s v="Steven Spielberg"/>
    <s v="Emma Stone"/>
    <m/>
    <n v="38"/>
    <n v="157.6"/>
    <s v="Hit"/>
    <s v="Popular"/>
    <s v="No"/>
    <s v="Low"/>
    <n v="119.6"/>
    <n v="414.73684210526312"/>
  </r>
  <r>
    <s v="NFX-100408"/>
    <s v="Last Chronicles"/>
    <s v="TV Show"/>
    <x v="8"/>
    <n v="2004"/>
    <x v="9"/>
    <s v="2019-04-18"/>
    <n v="42"/>
    <s v="PG"/>
    <n v="6.1"/>
    <n v="343.6"/>
    <s v="Hindi"/>
    <s v="Zoya Akhtar"/>
    <s v="Robert Downey Jr."/>
    <n v="6"/>
    <n v="37"/>
    <n v="53.8"/>
    <s v="Average"/>
    <s v="Popular"/>
    <s v="Yes"/>
    <s v="Low"/>
    <n v="16.799999999999997"/>
    <n v="145.40540540540542"/>
  </r>
  <r>
    <s v="NFX-100409"/>
    <s v="Secret City 9"/>
    <s v="TV Show"/>
    <x v="0"/>
    <n v="2021"/>
    <x v="5"/>
    <s v="2018-10-13"/>
    <n v="33"/>
    <s v="PG"/>
    <n v="5.0999999999999996"/>
    <n v="584.9"/>
    <s v="Korean"/>
    <s v="Christopher Nolan"/>
    <s v="Chris Evans"/>
    <n v="7"/>
    <n v="12"/>
    <n v="21.2"/>
    <s v="Flop"/>
    <s v="Blockbuster"/>
    <s v="Yes"/>
    <s v="Low"/>
    <n v="9.1999999999999993"/>
    <n v="176.66666666666666"/>
  </r>
  <r>
    <s v="NFX-100410"/>
    <s v="Golden Signal 2"/>
    <s v="Movie"/>
    <x v="7"/>
    <n v="2007"/>
    <x v="8"/>
    <s v="2019-10-15"/>
    <n v="91"/>
    <s v="16+"/>
    <n v="5.5"/>
    <n v="573.4"/>
    <s v="French"/>
    <s v="Sanjay Leela Bhansali"/>
    <s v="Shah Rukh Khan"/>
    <m/>
    <n v="188"/>
    <n v="1136.4000000000001"/>
    <s v="Flop"/>
    <s v="Blockbuster"/>
    <s v="No"/>
    <s v="High"/>
    <n v="948.40000000000009"/>
    <n v="604.46808510638311"/>
  </r>
  <r>
    <s v="NFX-100411"/>
    <s v="Rising Journey"/>
    <s v="TV Show"/>
    <x v="1"/>
    <n v="2023"/>
    <x v="7"/>
    <s v="2024-02-26"/>
    <n v="36"/>
    <s v="16+"/>
    <n v="6.9"/>
    <n v="565.70000000000005"/>
    <s v="Spanish"/>
    <s v="Bong Joon-ho"/>
    <s v="Ranbir Kapoor"/>
    <n v="6"/>
    <n v="93"/>
    <n v="350.9"/>
    <s v="Average"/>
    <s v="Blockbuster"/>
    <s v="No"/>
    <s v="Low"/>
    <n v="257.89999999999998"/>
    <n v="377.31182795698925"/>
  </r>
  <r>
    <s v="NFX-100412"/>
    <s v="Burning Valley 2"/>
    <s v="TV Show"/>
    <x v="6"/>
    <n v="2012"/>
    <x v="6"/>
    <s v="2021-06-29"/>
    <n v="36"/>
    <s v="PG"/>
    <n v="5.9"/>
    <n v="268.8"/>
    <s v="Japanese"/>
    <s v="Quentin Tarantino"/>
    <s v="Shah Rukh Khan"/>
    <n v="3"/>
    <n v="183"/>
    <n v="483.2"/>
    <s v="Flop"/>
    <s v="Popular"/>
    <s v="Yes"/>
    <s v="High"/>
    <n v="300.2"/>
    <n v="264.04371584699453"/>
  </r>
  <r>
    <s v="NFX-100413"/>
    <s v="Dark Journey 4"/>
    <s v="TV Show"/>
    <x v="0"/>
    <n v="2021"/>
    <x v="7"/>
    <s v="2022-11-13"/>
    <n v="33"/>
    <s v="18+"/>
    <n v="7.1"/>
    <n v="30.2"/>
    <s v="Korean"/>
    <s v="Anurag Kashyap"/>
    <s v="Scarlett Johansson"/>
    <n v="3"/>
    <n v="50"/>
    <n v="123"/>
    <s v="Average"/>
    <s v="Normal"/>
    <s v="No"/>
    <s v="Low"/>
    <n v="73"/>
    <n v="246"/>
  </r>
  <r>
    <s v="NFX-100414"/>
    <s v="Fading Frontier 9"/>
    <s v="TV Show"/>
    <x v="6"/>
    <n v="2003"/>
    <x v="4"/>
    <s v="2023-04-25"/>
    <n v="37"/>
    <s v="18+"/>
    <n v="6.1"/>
    <n v="363.9"/>
    <s v="French"/>
    <s v="Rajkumar Hirani"/>
    <s v="Jennifer Lawrence"/>
    <n v="4"/>
    <n v="175"/>
    <n v="993.4"/>
    <s v="Average"/>
    <s v="Popular"/>
    <s v="No"/>
    <s v="High"/>
    <n v="818.4"/>
    <n v="567.65714285714284"/>
  </r>
  <r>
    <s v="NFX-100415"/>
    <s v="Dark Protocol 1"/>
    <s v="Movie"/>
    <x v="3"/>
    <n v="2000"/>
    <x v="1"/>
    <s v="2023-12-17"/>
    <n v="99"/>
    <s v="G"/>
    <n v="6.7"/>
    <n v="79.400000000000006"/>
    <s v="Spanish"/>
    <s v="Denis Villeneuve"/>
    <s v="Jennifer Lawrence"/>
    <m/>
    <n v="134"/>
    <n v="435.8"/>
    <s v="Average"/>
    <s v="Normal"/>
    <s v="Yes"/>
    <s v="High"/>
    <n v="301.8"/>
    <n v="325.22388059701495"/>
  </r>
  <r>
    <s v="NFX-100416"/>
    <s v="Lost City 9"/>
    <s v="Movie"/>
    <x v="10"/>
    <n v="2000"/>
    <x v="7"/>
    <s v="2024-05-14"/>
    <n v="120"/>
    <s v="18+"/>
    <n v="8.5"/>
    <n v="181.7"/>
    <s v="Japanese"/>
    <s v="Zoya Akhtar"/>
    <s v="Emma Stone"/>
    <m/>
    <n v="41"/>
    <n v="127.4"/>
    <s v="Hit"/>
    <s v="Normal"/>
    <s v="No"/>
    <s v="Low"/>
    <n v="86.4"/>
    <n v="310.73170731707319"/>
  </r>
  <r>
    <s v="NFX-100417"/>
    <s v="Golden Protocol 2"/>
    <s v="Movie"/>
    <x v="10"/>
    <n v="2001"/>
    <x v="7"/>
    <s v="2022-07-28"/>
    <n v="147"/>
    <s v="G"/>
    <n v="9.6"/>
    <n v="596"/>
    <s v="Japanese"/>
    <s v="Rajkumar Hirani"/>
    <s v="Deepika Padukone"/>
    <m/>
    <n v="89"/>
    <n v="279"/>
    <s v="Hit"/>
    <s v="Blockbuster"/>
    <s v="Yes"/>
    <s v="Low"/>
    <n v="190"/>
    <n v="313.4831460674157"/>
  </r>
  <r>
    <s v="NFX-100418"/>
    <s v="Crystal City 1"/>
    <s v="TV Show"/>
    <x v="3"/>
    <n v="2009"/>
    <x v="8"/>
    <s v="2019-02-03"/>
    <n v="43"/>
    <s v="PG-13"/>
    <n v="7.1"/>
    <n v="446.6"/>
    <s v="Hindi"/>
    <s v="Steven Spielberg"/>
    <s v="Song Kang-ho"/>
    <n v="5"/>
    <n v="57"/>
    <n v="352.6"/>
    <s v="Average"/>
    <s v="Blockbuster"/>
    <s v="No"/>
    <s v="Low"/>
    <n v="295.60000000000002"/>
    <n v="618.59649122807014"/>
  </r>
  <r>
    <s v="NFX-100419"/>
    <s v="Broken Horizon 7"/>
    <s v="Movie"/>
    <x v="4"/>
    <n v="2012"/>
    <x v="5"/>
    <s v="2021-01-13"/>
    <n v="154"/>
    <s v="16+"/>
    <n v="7.1"/>
    <n v="543.4"/>
    <s v="English"/>
    <s v="Anurag Kashyap"/>
    <s v="Scarlett Johansson"/>
    <m/>
    <n v="52"/>
    <n v="310.10000000000002"/>
    <s v="Average"/>
    <s v="Blockbuster"/>
    <s v="No"/>
    <s v="Low"/>
    <n v="258.10000000000002"/>
    <n v="596.34615384615392"/>
  </r>
  <r>
    <s v="NFX-100420"/>
    <s v="Shadow Signal 1"/>
    <s v="TV Show"/>
    <x v="1"/>
    <n v="2008"/>
    <x v="1"/>
    <s v="2019-05-22"/>
    <n v="43"/>
    <s v="16+"/>
    <n v="7.5"/>
    <n v="252.8"/>
    <s v="German"/>
    <s v="Ridley Scott"/>
    <s v="Robert Downey Jr."/>
    <n v="1"/>
    <n v="84"/>
    <n v="179.4"/>
    <s v="Average"/>
    <s v="Popular"/>
    <s v="No"/>
    <s v="Low"/>
    <n v="95.4"/>
    <n v="213.57142857142856"/>
  </r>
  <r>
    <s v="NFX-100421"/>
    <s v="Secret Horizon"/>
    <s v="TV Show"/>
    <x v="6"/>
    <n v="2010"/>
    <x v="3"/>
    <s v="2020-07-11"/>
    <n v="50"/>
    <s v="18+"/>
    <n v="8.6"/>
    <n v="535.79999999999995"/>
    <s v="German"/>
    <s v="Anurag Kashyap"/>
    <s v="Shah Rukh Khan"/>
    <n v="3"/>
    <n v="116"/>
    <n v="249.4"/>
    <s v="Hit"/>
    <s v="Blockbuster"/>
    <s v="No"/>
    <s v="High"/>
    <n v="133.4"/>
    <n v="215"/>
  </r>
  <r>
    <s v="NFX-100422"/>
    <s v="Midnight Journey 5"/>
    <s v="TV Show"/>
    <x v="3"/>
    <n v="2011"/>
    <x v="3"/>
    <s v="2018-01-21"/>
    <n v="41"/>
    <s v="16+"/>
    <n v="5.0999999999999996"/>
    <n v="185.3"/>
    <s v="Korean"/>
    <s v="Quentin Tarantino"/>
    <s v="Robert Downey Jr."/>
    <n v="7"/>
    <n v="92"/>
    <n v="179.8"/>
    <s v="Flop"/>
    <s v="Normal"/>
    <s v="No"/>
    <s v="Low"/>
    <n v="87.800000000000011"/>
    <n v="195.43478260869566"/>
  </r>
  <r>
    <s v="NFX-100423"/>
    <s v="Lost Horizon"/>
    <s v="TV Show"/>
    <x v="5"/>
    <n v="2023"/>
    <x v="7"/>
    <s v="2018-04-19"/>
    <n v="39"/>
    <s v="G"/>
    <n v="9.1999999999999993"/>
    <n v="157.4"/>
    <s v="German"/>
    <s v="Christopher Nolan"/>
    <s v="Emma Stone"/>
    <n v="6"/>
    <n v="34"/>
    <n v="48.2"/>
    <s v="Hit"/>
    <s v="Normal"/>
    <s v="Yes"/>
    <s v="Low"/>
    <n v="14.200000000000003"/>
    <n v="141.76470588235296"/>
  </r>
  <r>
    <s v="NFX-100424"/>
    <s v="Fading Journey 2"/>
    <s v="Movie"/>
    <x v="4"/>
    <n v="2017"/>
    <x v="7"/>
    <s v="2022-11-20"/>
    <n v="158"/>
    <s v="PG"/>
    <n v="6.3"/>
    <n v="115.1"/>
    <s v="Korean"/>
    <s v="Sanjay Leela Bhansali"/>
    <s v="Robert Downey Jr."/>
    <m/>
    <n v="59"/>
    <n v="243.5"/>
    <s v="Average"/>
    <s v="Normal"/>
    <s v="Yes"/>
    <s v="Low"/>
    <n v="184.5"/>
    <n v="412.71186440677968"/>
  </r>
  <r>
    <s v="NFX-100425"/>
    <s v="Lost Storm 3"/>
    <s v="Movie"/>
    <x v="4"/>
    <n v="2000"/>
    <x v="3"/>
    <s v="2021-10-18"/>
    <n v="85"/>
    <s v="16+"/>
    <n v="8.6999999999999993"/>
    <n v="158.30000000000001"/>
    <s v="English"/>
    <s v="Rajkumar Hirani"/>
    <s v="Lee Jung-jae"/>
    <m/>
    <n v="38"/>
    <n v="79.7"/>
    <s v="Hit"/>
    <s v="Normal"/>
    <s v="No"/>
    <s v="Low"/>
    <n v="41.7"/>
    <n v="209.73684210526318"/>
  </r>
  <r>
    <s v="NFX-100426"/>
    <s v="Midnight Odyssey"/>
    <s v="TV Show"/>
    <x v="0"/>
    <n v="2009"/>
    <x v="6"/>
    <s v="2021-04-24"/>
    <n v="37"/>
    <s v="16+"/>
    <n v="8.5"/>
    <n v="346.7"/>
    <s v="German"/>
    <s v="Rajkumar Hirani"/>
    <s v="Timothée Chalamet"/>
    <n v="5"/>
    <n v="106"/>
    <n v="618.1"/>
    <s v="Hit"/>
    <s v="Popular"/>
    <s v="No"/>
    <s v="High"/>
    <n v="512.1"/>
    <n v="583.11320754716985"/>
  </r>
  <r>
    <s v="NFX-100427"/>
    <s v="Midnight Code"/>
    <s v="TV Show"/>
    <x v="3"/>
    <n v="2020"/>
    <x v="2"/>
    <s v="2021-05-06"/>
    <n v="52"/>
    <s v="16+"/>
    <n v="6.5"/>
    <n v="33.200000000000003"/>
    <s v="Spanish"/>
    <s v="Steven Spielberg"/>
    <s v="Scarlett Johansson"/>
    <n v="7"/>
    <n v="136"/>
    <n v="495.8"/>
    <s v="Average"/>
    <s v="Normal"/>
    <s v="No"/>
    <s v="High"/>
    <n v="359.8"/>
    <n v="364.55882352941177"/>
  </r>
  <r>
    <s v="NFX-100428"/>
    <s v="Crystal Echo 3"/>
    <s v="TV Show"/>
    <x v="9"/>
    <n v="2005"/>
    <x v="7"/>
    <s v="2020-09-27"/>
    <n v="30"/>
    <s v="G"/>
    <n v="5.0999999999999996"/>
    <n v="44.1"/>
    <s v="German"/>
    <s v="Guillermo del Toro"/>
    <s v="Deepika Padukone"/>
    <n v="6"/>
    <n v="182"/>
    <n v="315.2"/>
    <s v="Flop"/>
    <s v="Normal"/>
    <s v="Yes"/>
    <s v="High"/>
    <n v="133.19999999999999"/>
    <n v="173.18681318681317"/>
  </r>
  <r>
    <s v="NFX-100429"/>
    <s v="Silent Echo 6"/>
    <s v="TV Show"/>
    <x v="10"/>
    <n v="2020"/>
    <x v="5"/>
    <s v="2020-09-11"/>
    <n v="54"/>
    <s v="18+"/>
    <n v="5.4"/>
    <n v="342"/>
    <s v="Spanish"/>
    <s v="Greta Gerwig"/>
    <s v="Shah Rukh Khan"/>
    <n v="7"/>
    <n v="191"/>
    <n v="475.8"/>
    <s v="Flop"/>
    <s v="Popular"/>
    <s v="No"/>
    <s v="High"/>
    <n v="284.8"/>
    <n v="249.10994764397904"/>
  </r>
  <r>
    <s v="NFX-100430"/>
    <s v="Lost Protocol 5"/>
    <s v="Movie"/>
    <x v="4"/>
    <n v="2001"/>
    <x v="6"/>
    <s v="2022-08-18"/>
    <n v="118"/>
    <s v="G"/>
    <n v="8.9"/>
    <n v="248.1"/>
    <s v="German"/>
    <s v="Park Chan-wook"/>
    <s v="Timothée Chalamet"/>
    <m/>
    <n v="117"/>
    <n v="562.79999999999995"/>
    <s v="Hit"/>
    <s v="Popular"/>
    <s v="Yes"/>
    <s v="High"/>
    <n v="445.79999999999995"/>
    <n v="481.02564102564099"/>
  </r>
  <r>
    <s v="NFX-100431"/>
    <s v="Iron Signal"/>
    <s v="TV Show"/>
    <x v="3"/>
    <n v="2013"/>
    <x v="4"/>
    <s v="2019-05-17"/>
    <n v="60"/>
    <s v="PG"/>
    <n v="4.7"/>
    <n v="493"/>
    <s v="English"/>
    <s v="Sanjay Leela Bhansali"/>
    <s v="Emma Stone"/>
    <n v="5"/>
    <n v="152"/>
    <n v="438.8"/>
    <s v="Flop"/>
    <s v="Blockbuster"/>
    <s v="Yes"/>
    <s v="High"/>
    <n v="286.8"/>
    <n v="288.68421052631578"/>
  </r>
  <r>
    <s v="NFX-100432"/>
    <s v="Iron Frontier 3"/>
    <s v="TV Show"/>
    <x v="8"/>
    <n v="2013"/>
    <x v="9"/>
    <s v="2018-04-20"/>
    <n v="41"/>
    <s v="PG"/>
    <n v="7.3"/>
    <n v="516.70000000000005"/>
    <s v="German"/>
    <s v="Steven Spielberg"/>
    <s v="Ryan Gosling"/>
    <n v="6"/>
    <n v="45"/>
    <n v="195.6"/>
    <s v="Average"/>
    <s v="Blockbuster"/>
    <s v="Yes"/>
    <s v="Low"/>
    <n v="150.6"/>
    <n v="434.66666666666669"/>
  </r>
  <r>
    <s v="NFX-100433"/>
    <s v="Silent Empire 9"/>
    <s v="Movie"/>
    <x v="1"/>
    <n v="2015"/>
    <x v="8"/>
    <s v="2018-06-22"/>
    <n v="102"/>
    <s v="PG"/>
    <n v="8.9"/>
    <n v="326.39999999999998"/>
    <s v="English"/>
    <s v="Greta Gerwig"/>
    <s v="Lee Jung-jae"/>
    <m/>
    <n v="98"/>
    <n v="405.7"/>
    <s v="Hit"/>
    <s v="Popular"/>
    <s v="Yes"/>
    <s v="Low"/>
    <n v="307.7"/>
    <n v="413.9795918367347"/>
  </r>
  <r>
    <s v="NFX-100434"/>
    <s v="Dark Valley"/>
    <s v="Movie"/>
    <x v="2"/>
    <n v="2006"/>
    <x v="6"/>
    <s v="2021-11-16"/>
    <n v="140"/>
    <s v="PG-13"/>
    <n v="9.1"/>
    <n v="521.9"/>
    <s v="French"/>
    <s v="Christopher Nolan"/>
    <s v="Song Kang-ho"/>
    <m/>
    <n v="12"/>
    <n v="73.8"/>
    <s v="Hit"/>
    <s v="Blockbuster"/>
    <s v="No"/>
    <s v="Low"/>
    <n v="61.8"/>
    <n v="615"/>
  </r>
  <r>
    <s v="NFX-100435"/>
    <s v="Broken Valley 1"/>
    <s v="TV Show"/>
    <x v="1"/>
    <n v="2009"/>
    <x v="2"/>
    <s v="2019-04-18"/>
    <n v="50"/>
    <s v="PG-13"/>
    <n v="7.8"/>
    <n v="519.9"/>
    <s v="French"/>
    <s v="Christopher Nolan"/>
    <s v="Tom Hardy"/>
    <n v="6"/>
    <n v="121"/>
    <n v="732.7"/>
    <s v="Average"/>
    <s v="Blockbuster"/>
    <s v="No"/>
    <s v="High"/>
    <n v="611.70000000000005"/>
    <n v="605.53719008264466"/>
  </r>
  <r>
    <s v="NFX-100436"/>
    <s v="Broken Horizon 6"/>
    <s v="Movie"/>
    <x v="9"/>
    <n v="2012"/>
    <x v="6"/>
    <s v="2021-11-27"/>
    <n v="135"/>
    <s v="PG"/>
    <n v="8.6"/>
    <n v="33.200000000000003"/>
    <s v="Spanish"/>
    <s v="Sanjay Leela Bhansali"/>
    <s v="Timothée Chalamet"/>
    <m/>
    <n v="56"/>
    <n v="160"/>
    <s v="Hit"/>
    <s v="Normal"/>
    <s v="Yes"/>
    <s v="Low"/>
    <n v="104"/>
    <n v="285.71428571428572"/>
  </r>
  <r>
    <s v="NFX-100437"/>
    <s v="Dark Protocol 8"/>
    <s v="Movie"/>
    <x v="0"/>
    <n v="2006"/>
    <x v="3"/>
    <s v="2023-10-08"/>
    <n v="123"/>
    <s v="18+"/>
    <n v="5.5"/>
    <n v="542.70000000000005"/>
    <s v="Spanish"/>
    <s v="James Cameron"/>
    <s v="Brad Pitt"/>
    <m/>
    <n v="96"/>
    <n v="438.5"/>
    <s v="Flop"/>
    <s v="Blockbuster"/>
    <s v="No"/>
    <s v="Low"/>
    <n v="342.5"/>
    <n v="456.77083333333331"/>
  </r>
  <r>
    <s v="NFX-100438"/>
    <s v="Hidden Horizon 3"/>
    <s v="Movie"/>
    <x v="10"/>
    <n v="2005"/>
    <x v="5"/>
    <s v="2024-08-01"/>
    <n v="127"/>
    <s v="16+"/>
    <n v="8.9"/>
    <n v="214.6"/>
    <s v="French"/>
    <s v="James Cameron"/>
    <s v="Chris Evans"/>
    <m/>
    <n v="60"/>
    <n v="344.7"/>
    <s v="Hit"/>
    <s v="Popular"/>
    <s v="No"/>
    <s v="Low"/>
    <n v="284.7"/>
    <n v="574.5"/>
  </r>
  <r>
    <s v="NFX-100439"/>
    <s v="Hidden Horizon 7"/>
    <s v="Movie"/>
    <x v="1"/>
    <n v="2001"/>
    <x v="6"/>
    <s v="2024-05-25"/>
    <n v="126"/>
    <s v="16+"/>
    <n v="6.6"/>
    <n v="546.5"/>
    <s v="Japanese"/>
    <s v="Anurag Kashyap"/>
    <s v="Robert Downey Jr."/>
    <m/>
    <n v="162"/>
    <n v="1035.8"/>
    <s v="Average"/>
    <s v="Blockbuster"/>
    <s v="No"/>
    <s v="High"/>
    <n v="873.8"/>
    <n v="639.38271604938268"/>
  </r>
  <r>
    <s v="NFX-100440"/>
    <s v="Fading Protocol"/>
    <s v="Movie"/>
    <x v="7"/>
    <n v="2008"/>
    <x v="6"/>
    <s v="2022-09-01"/>
    <n v="160"/>
    <s v="16+"/>
    <n v="7.6"/>
    <n v="28.3"/>
    <s v="Japanese"/>
    <s v="Anurag Kashyap"/>
    <s v="Timothée Chalamet"/>
    <m/>
    <n v="78"/>
    <n v="170.1"/>
    <s v="Average"/>
    <s v="Normal"/>
    <s v="No"/>
    <s v="Low"/>
    <n v="92.1"/>
    <n v="218.07692307692307"/>
  </r>
  <r>
    <s v="NFX-100441"/>
    <s v="Silent Legacy 1"/>
    <s v="TV Show"/>
    <x v="2"/>
    <n v="2023"/>
    <x v="0"/>
    <s v="2023-05-16"/>
    <n v="35"/>
    <s v="16+"/>
    <n v="8.6"/>
    <n v="343.1"/>
    <s v="Japanese"/>
    <s v="James Cameron"/>
    <s v="Emma Stone"/>
    <n v="4"/>
    <n v="185"/>
    <n v="1102.9000000000001"/>
    <s v="Hit"/>
    <s v="Popular"/>
    <s v="No"/>
    <s v="High"/>
    <n v="917.90000000000009"/>
    <n v="596.16216216216219"/>
  </r>
  <r>
    <s v="NFX-100442"/>
    <s v="Shadow Storm 5"/>
    <s v="Movie"/>
    <x v="1"/>
    <n v="2023"/>
    <x v="6"/>
    <s v="2024-10-09"/>
    <n v="151"/>
    <s v="PG-13"/>
    <n v="8.8000000000000007"/>
    <n v="579.5"/>
    <s v="Spanish"/>
    <s v="Christopher Nolan"/>
    <s v="Ranbir Kapoor"/>
    <m/>
    <n v="39"/>
    <n v="75.2"/>
    <s v="Hit"/>
    <s v="Blockbuster"/>
    <s v="No"/>
    <s v="Low"/>
    <n v="36.200000000000003"/>
    <n v="192.82051282051282"/>
  </r>
  <r>
    <s v="NFX-100443"/>
    <s v="Hidden Journey 9"/>
    <s v="Movie"/>
    <x v="2"/>
    <n v="2005"/>
    <x v="9"/>
    <s v="2019-04-04"/>
    <n v="81"/>
    <s v="G"/>
    <n v="9.4"/>
    <n v="110.3"/>
    <s v="German"/>
    <s v="Park Chan-wook"/>
    <s v="Ranbir Kapoor"/>
    <m/>
    <n v="126"/>
    <n v="491.8"/>
    <s v="Hit"/>
    <s v="Normal"/>
    <s v="Yes"/>
    <s v="High"/>
    <n v="365.8"/>
    <n v="390.3174603174603"/>
  </r>
  <r>
    <s v="NFX-100444"/>
    <s v="Rising Empire 8"/>
    <s v="TV Show"/>
    <x v="7"/>
    <n v="2017"/>
    <x v="8"/>
    <s v="2018-04-17"/>
    <n v="41"/>
    <s v="G"/>
    <n v="9.1999999999999993"/>
    <n v="120.2"/>
    <s v="French"/>
    <s v="Guillermo del Toro"/>
    <s v="Emma Stone"/>
    <n v="6"/>
    <n v="81"/>
    <n v="476.1"/>
    <s v="Hit"/>
    <s v="Normal"/>
    <s v="Yes"/>
    <s v="Low"/>
    <n v="395.1"/>
    <n v="587.77777777777783"/>
  </r>
  <r>
    <s v="NFX-100445"/>
    <s v="Secret Frontier"/>
    <s v="Movie"/>
    <x v="8"/>
    <n v="2019"/>
    <x v="2"/>
    <s v="2020-02-14"/>
    <n v="132"/>
    <s v="PG-13"/>
    <n v="4.8"/>
    <n v="60.8"/>
    <s v="Korean"/>
    <s v="Denis Villeneuve"/>
    <s v="Deepika Padukone"/>
    <m/>
    <n v="36"/>
    <n v="51.9"/>
    <s v="Flop"/>
    <s v="Normal"/>
    <s v="No"/>
    <s v="Low"/>
    <n v="15.899999999999999"/>
    <n v="144.16666666666666"/>
  </r>
  <r>
    <s v="NFX-100446"/>
    <s v="Lost Echo 6"/>
    <s v="Movie"/>
    <x v="4"/>
    <n v="2023"/>
    <x v="2"/>
    <s v="2019-05-25"/>
    <n v="103"/>
    <s v="G"/>
    <n v="9.6"/>
    <n v="362.8"/>
    <s v="Hindi"/>
    <s v="Steven Spielberg"/>
    <s v="Shah Rukh Khan"/>
    <m/>
    <n v="102"/>
    <n v="196.9"/>
    <s v="Hit"/>
    <s v="Popular"/>
    <s v="Yes"/>
    <s v="High"/>
    <n v="94.9"/>
    <n v="193.0392156862745"/>
  </r>
  <r>
    <s v="NFX-100447"/>
    <s v="Lost Valley 8"/>
    <s v="Movie"/>
    <x v="6"/>
    <n v="2014"/>
    <x v="3"/>
    <s v="2024-04-09"/>
    <n v="100"/>
    <s v="G"/>
    <n v="9"/>
    <n v="225.4"/>
    <s v="Japanese"/>
    <s v="Anurag Kashyap"/>
    <s v="Tom Hardy"/>
    <m/>
    <n v="71"/>
    <n v="372.9"/>
    <s v="Hit"/>
    <s v="Popular"/>
    <s v="Yes"/>
    <s v="Low"/>
    <n v="301.89999999999998"/>
    <n v="525.21126760563379"/>
  </r>
  <r>
    <s v="NFX-100448"/>
    <s v="Silent Storm 5"/>
    <s v="Movie"/>
    <x v="8"/>
    <n v="2020"/>
    <x v="2"/>
    <s v="2020-05-03"/>
    <n v="116"/>
    <s v="PG"/>
    <n v="4.8"/>
    <n v="67"/>
    <s v="English"/>
    <s v="Bong Joon-ho"/>
    <s v="Ranbir Kapoor"/>
    <m/>
    <n v="147"/>
    <n v="351.9"/>
    <s v="Flop"/>
    <s v="Normal"/>
    <s v="Yes"/>
    <s v="High"/>
    <n v="204.89999999999998"/>
    <n v="239.38775510204081"/>
  </r>
  <r>
    <s v="NFX-100449"/>
    <s v="Lost Signal 5"/>
    <s v="TV Show"/>
    <x v="2"/>
    <n v="2006"/>
    <x v="6"/>
    <s v="2022-10-17"/>
    <n v="51"/>
    <s v="PG"/>
    <n v="7.9"/>
    <n v="42"/>
    <s v="English"/>
    <s v="Anurag Kashyap"/>
    <s v="Emma Stone"/>
    <n v="3"/>
    <n v="43"/>
    <n v="236.3"/>
    <s v="Average"/>
    <s v="Normal"/>
    <s v="Yes"/>
    <s v="Low"/>
    <n v="193.3"/>
    <n v="549.53488372093022"/>
  </r>
  <r>
    <s v="NFX-100450"/>
    <s v="Shadow Journey 3"/>
    <s v="TV Show"/>
    <x v="0"/>
    <n v="2010"/>
    <x v="6"/>
    <s v="2021-08-28"/>
    <n v="33"/>
    <s v="PG"/>
    <n v="6.6"/>
    <n v="481.1"/>
    <s v="English"/>
    <s v="Martin Scorsese"/>
    <s v="Timothée Chalamet"/>
    <n v="2"/>
    <n v="175"/>
    <n v="840.7"/>
    <s v="Average"/>
    <s v="Blockbuster"/>
    <s v="Yes"/>
    <s v="High"/>
    <n v="665.7"/>
    <n v="480.40000000000003"/>
  </r>
  <r>
    <s v="NFX-100451"/>
    <s v="Fading Archive"/>
    <s v="TV Show"/>
    <x v="9"/>
    <n v="2009"/>
    <x v="6"/>
    <s v="2022-12-14"/>
    <n v="56"/>
    <s v="PG-13"/>
    <n v="5.3"/>
    <n v="509.1"/>
    <s v="English"/>
    <s v="Rajkumar Hirani"/>
    <s v="Shah Rukh Khan"/>
    <n v="2"/>
    <n v="93"/>
    <n v="328.7"/>
    <s v="Flop"/>
    <s v="Blockbuster"/>
    <s v="No"/>
    <s v="Low"/>
    <n v="235.7"/>
    <n v="353.44086021505376"/>
  </r>
  <r>
    <s v="NFX-100452"/>
    <s v="Hidden City"/>
    <s v="Movie"/>
    <x v="3"/>
    <n v="2007"/>
    <x v="3"/>
    <s v="2021-08-21"/>
    <n v="101"/>
    <s v="PG"/>
    <n v="7.9"/>
    <n v="160.19999999999999"/>
    <s v="Japanese"/>
    <s v="Denis Villeneuve"/>
    <s v="Brad Pitt"/>
    <m/>
    <n v="38"/>
    <n v="118.3"/>
    <s v="Average"/>
    <s v="Normal"/>
    <s v="Yes"/>
    <s v="Low"/>
    <n v="80.3"/>
    <n v="311.31578947368422"/>
  </r>
  <r>
    <s v="NFX-100453"/>
    <s v="Lost Journey 4"/>
    <s v="Movie"/>
    <x v="1"/>
    <n v="2016"/>
    <x v="9"/>
    <s v="2020-09-29"/>
    <n v="170"/>
    <s v="16+"/>
    <n v="9"/>
    <n v="570.6"/>
    <s v="Hindi"/>
    <s v="Zoya Akhtar"/>
    <s v="Tom Hardy"/>
    <m/>
    <n v="169"/>
    <n v="936.8"/>
    <s v="Hit"/>
    <s v="Blockbuster"/>
    <s v="No"/>
    <s v="High"/>
    <n v="767.8"/>
    <n v="554.31952662721892"/>
  </r>
  <r>
    <s v="NFX-100454"/>
    <s v="Fading Frontier 3"/>
    <s v="Movie"/>
    <x v="4"/>
    <n v="2001"/>
    <x v="6"/>
    <s v="2024-02-09"/>
    <n v="156"/>
    <s v="PG"/>
    <n v="5.4"/>
    <n v="163.1"/>
    <s v="Hindi"/>
    <s v="Martin Scorsese"/>
    <s v="Jennifer Lawrence"/>
    <m/>
    <n v="181"/>
    <n v="1161.3"/>
    <s v="Flop"/>
    <s v="Normal"/>
    <s v="Yes"/>
    <s v="High"/>
    <n v="980.3"/>
    <n v="641.60220994475128"/>
  </r>
  <r>
    <s v="NFX-100455"/>
    <s v="Golden Frontier 8"/>
    <s v="Movie"/>
    <x v="3"/>
    <n v="2010"/>
    <x v="0"/>
    <s v="2021-04-22"/>
    <n v="92"/>
    <s v="G"/>
    <n v="7.3"/>
    <n v="314.2"/>
    <s v="Spanish"/>
    <s v="Zoya Akhtar"/>
    <s v="Scarlett Johansson"/>
    <m/>
    <n v="56"/>
    <n v="89.8"/>
    <s v="Average"/>
    <s v="Popular"/>
    <s v="Yes"/>
    <s v="Low"/>
    <n v="33.799999999999997"/>
    <n v="160.35714285714283"/>
  </r>
  <r>
    <s v="NFX-100456"/>
    <s v="Hidden Legacy"/>
    <s v="TV Show"/>
    <x v="6"/>
    <n v="2020"/>
    <x v="0"/>
    <s v="2018-12-04"/>
    <n v="33"/>
    <s v="PG"/>
    <n v="5.3"/>
    <n v="204.6"/>
    <s v="Hindi"/>
    <s v="Martin Scorsese"/>
    <s v="Jennifer Lawrence"/>
    <n v="7"/>
    <n v="71"/>
    <n v="126.6"/>
    <s v="Flop"/>
    <s v="Popular"/>
    <s v="Yes"/>
    <s v="Low"/>
    <n v="55.599999999999994"/>
    <n v="178.30985915492957"/>
  </r>
  <r>
    <s v="NFX-100457"/>
    <s v="Last Archive 8"/>
    <s v="Movie"/>
    <x v="4"/>
    <n v="2018"/>
    <x v="9"/>
    <s v="2024-07-26"/>
    <n v="115"/>
    <s v="G"/>
    <n v="9.3000000000000007"/>
    <n v="354.3"/>
    <s v="Japanese"/>
    <s v="Martin Scorsese"/>
    <s v="Robert Downey Jr."/>
    <m/>
    <n v="185"/>
    <n v="906.7"/>
    <s v="Hit"/>
    <s v="Popular"/>
    <s v="Yes"/>
    <s v="High"/>
    <n v="721.7"/>
    <n v="490.10810810810813"/>
  </r>
  <r>
    <s v="NFX-100458"/>
    <s v="Fading Archive 2"/>
    <s v="Movie"/>
    <x v="9"/>
    <n v="2013"/>
    <x v="7"/>
    <s v="2018-03-07"/>
    <n v="161"/>
    <s v="PG-13"/>
    <n v="9.5"/>
    <n v="307.5"/>
    <s v="English"/>
    <s v="Zoya Akhtar"/>
    <s v="Emma Stone"/>
    <m/>
    <n v="142"/>
    <n v="596.29999999999995"/>
    <s v="Hit"/>
    <s v="Popular"/>
    <s v="No"/>
    <s v="High"/>
    <n v="454.29999999999995"/>
    <n v="419.92957746478874"/>
  </r>
  <r>
    <s v="NFX-100459"/>
    <s v="Burning Signal"/>
    <s v="Movie"/>
    <x v="4"/>
    <n v="2015"/>
    <x v="8"/>
    <s v="2018-12-11"/>
    <n v="158"/>
    <s v="16+"/>
    <n v="8.5"/>
    <n v="184"/>
    <s v="Korean"/>
    <s v="Steven Spielberg"/>
    <s v="Ranbir Kapoor"/>
    <m/>
    <n v="189"/>
    <n v="1209.8"/>
    <s v="Hit"/>
    <s v="Normal"/>
    <s v="No"/>
    <s v="High"/>
    <n v="1020.8"/>
    <n v="640.10582010582016"/>
  </r>
  <r>
    <s v="NFX-100460"/>
    <s v="Fading City 7"/>
    <s v="Movie"/>
    <x v="1"/>
    <n v="2023"/>
    <x v="9"/>
    <s v="2023-06-04"/>
    <n v="178"/>
    <s v="G"/>
    <n v="5"/>
    <n v="75.2"/>
    <s v="French"/>
    <s v="Bong Joon-ho"/>
    <s v="Ryan Gosling"/>
    <m/>
    <n v="36"/>
    <n v="57.2"/>
    <s v="Flop"/>
    <s v="Normal"/>
    <s v="Yes"/>
    <s v="Low"/>
    <n v="21.200000000000003"/>
    <n v="158.88888888888891"/>
  </r>
  <r>
    <s v="NFX-100461"/>
    <s v="Fading City 8"/>
    <s v="Movie"/>
    <x v="3"/>
    <n v="2013"/>
    <x v="8"/>
    <s v="2021-11-16"/>
    <n v="171"/>
    <s v="16+"/>
    <n v="6.5"/>
    <n v="261.2"/>
    <s v="Spanish"/>
    <s v="Martin Scorsese"/>
    <s v="Deepika Padukone"/>
    <m/>
    <n v="12"/>
    <n v="74.900000000000006"/>
    <s v="Average"/>
    <s v="Popular"/>
    <s v="No"/>
    <s v="Low"/>
    <n v="62.900000000000006"/>
    <n v="624.16666666666674"/>
  </r>
  <r>
    <s v="NFX-100462"/>
    <s v="Broken Valley 4"/>
    <s v="Movie"/>
    <x v="9"/>
    <n v="2021"/>
    <x v="0"/>
    <s v="2020-04-29"/>
    <n v="88"/>
    <s v="PG-13"/>
    <n v="9.1"/>
    <n v="43.1"/>
    <s v="Spanish"/>
    <s v="Martin Scorsese"/>
    <s v="Brad Pitt"/>
    <m/>
    <n v="7"/>
    <n v="36.6"/>
    <s v="Hit"/>
    <s v="Normal"/>
    <s v="No"/>
    <s v="Low"/>
    <n v="29.6"/>
    <n v="522.85714285714289"/>
  </r>
  <r>
    <s v="NFX-100463"/>
    <s v="Lost Chronicles 2"/>
    <s v="Movie"/>
    <x v="7"/>
    <n v="2002"/>
    <x v="0"/>
    <s v="2022-02-02"/>
    <n v="143"/>
    <s v="18+"/>
    <n v="9.1"/>
    <n v="240.8"/>
    <s v="German"/>
    <s v="Christopher Nolan"/>
    <s v="Tom Hardy"/>
    <m/>
    <n v="98"/>
    <n v="123.9"/>
    <s v="Hit"/>
    <s v="Popular"/>
    <s v="No"/>
    <s v="Low"/>
    <n v="25.900000000000006"/>
    <n v="126.42857142857142"/>
  </r>
  <r>
    <s v="NFX-100464"/>
    <s v="Midnight Empire"/>
    <s v="Movie"/>
    <x v="9"/>
    <n v="2002"/>
    <x v="5"/>
    <s v="2019-03-17"/>
    <n v="108"/>
    <s v="PG"/>
    <n v="8.9"/>
    <n v="539.9"/>
    <s v="Spanish"/>
    <s v="Guillermo del Toro"/>
    <s v="Tom Hardy"/>
    <m/>
    <n v="160"/>
    <n v="774.7"/>
    <s v="Hit"/>
    <s v="Blockbuster"/>
    <s v="Yes"/>
    <s v="High"/>
    <n v="614.70000000000005"/>
    <n v="484.1875"/>
  </r>
  <r>
    <s v="NFX-100465"/>
    <s v="Rising Empire"/>
    <s v="Movie"/>
    <x v="7"/>
    <n v="2014"/>
    <x v="3"/>
    <s v="2021-02-05"/>
    <n v="152"/>
    <s v="G"/>
    <n v="5.2"/>
    <n v="232.7"/>
    <s v="Korean"/>
    <s v="Christopher Nolan"/>
    <s v="Robert Downey Jr."/>
    <m/>
    <n v="199"/>
    <n v="249.3"/>
    <s v="Flop"/>
    <s v="Popular"/>
    <s v="Yes"/>
    <s v="High"/>
    <n v="50.300000000000011"/>
    <n v="125.27638190954775"/>
  </r>
  <r>
    <s v="NFX-100466"/>
    <s v="Dark Protocol 7"/>
    <s v="TV Show"/>
    <x v="6"/>
    <n v="2021"/>
    <x v="7"/>
    <s v="2020-02-04"/>
    <n v="37"/>
    <s v="G"/>
    <n v="6.1"/>
    <n v="29.1"/>
    <s v="Hindi"/>
    <s v="Rajkumar Hirani"/>
    <s v="Brad Pitt"/>
    <n v="5"/>
    <n v="68"/>
    <n v="399.3"/>
    <s v="Average"/>
    <s v="Normal"/>
    <s v="Yes"/>
    <s v="Low"/>
    <n v="331.3"/>
    <n v="587.20588235294122"/>
  </r>
  <r>
    <s v="NFX-100467"/>
    <s v="Secret Signal 5"/>
    <s v="TV Show"/>
    <x v="7"/>
    <n v="2022"/>
    <x v="9"/>
    <s v="2018-01-17"/>
    <n v="31"/>
    <s v="PG"/>
    <n v="8.8000000000000007"/>
    <n v="407.6"/>
    <s v="German"/>
    <s v="Greta Gerwig"/>
    <s v="Leonardo DiCaprio"/>
    <n v="7"/>
    <n v="63"/>
    <n v="337.4"/>
    <s v="Hit"/>
    <s v="Blockbuster"/>
    <s v="Yes"/>
    <s v="Low"/>
    <n v="274.39999999999998"/>
    <n v="535.55555555555554"/>
  </r>
  <r>
    <s v="NFX-100468"/>
    <s v="Last Echo 2"/>
    <s v="Movie"/>
    <x v="0"/>
    <n v="2005"/>
    <x v="1"/>
    <s v="2022-03-26"/>
    <n v="81"/>
    <s v="18+"/>
    <n v="8.1"/>
    <n v="484.4"/>
    <s v="Japanese"/>
    <s v="Park Chan-wook"/>
    <s v="Scarlett Johansson"/>
    <m/>
    <n v="190"/>
    <n v="876.3"/>
    <s v="Hit"/>
    <s v="Blockbuster"/>
    <s v="No"/>
    <s v="High"/>
    <n v="686.3"/>
    <n v="461.21052631578942"/>
  </r>
  <r>
    <s v="NFX-100469"/>
    <s v="Iron Frontier 9"/>
    <s v="Movie"/>
    <x v="2"/>
    <n v="2001"/>
    <x v="3"/>
    <s v="2023-08-06"/>
    <n v="93"/>
    <s v="PG-13"/>
    <n v="7.8"/>
    <n v="434"/>
    <s v="French"/>
    <s v="Bong Joon-ho"/>
    <s v="Emma Stone"/>
    <m/>
    <n v="173"/>
    <n v="981.3"/>
    <s v="Average"/>
    <s v="Blockbuster"/>
    <s v="No"/>
    <s v="High"/>
    <n v="808.3"/>
    <n v="567.22543352601156"/>
  </r>
  <r>
    <s v="NFX-100470"/>
    <s v="Iron Horizon 4"/>
    <s v="Movie"/>
    <x v="9"/>
    <n v="2014"/>
    <x v="5"/>
    <s v="2024-08-21"/>
    <n v="97"/>
    <s v="16+"/>
    <n v="6.2"/>
    <n v="415.9"/>
    <s v="German"/>
    <s v="Quentin Tarantino"/>
    <s v="Brad Pitt"/>
    <m/>
    <n v="52"/>
    <n v="63.3"/>
    <s v="Average"/>
    <s v="Blockbuster"/>
    <s v="No"/>
    <s v="Low"/>
    <n v="11.299999999999997"/>
    <n v="121.73076923076923"/>
  </r>
  <r>
    <s v="NFX-100471"/>
    <s v="Silent City 2"/>
    <s v="Movie"/>
    <x v="9"/>
    <n v="2010"/>
    <x v="5"/>
    <s v="2021-12-03"/>
    <n v="138"/>
    <s v="18+"/>
    <n v="8.9"/>
    <n v="424.3"/>
    <s v="Hindi"/>
    <s v="Quentin Tarantino"/>
    <s v="Timothée Chalamet"/>
    <m/>
    <n v="105"/>
    <n v="498.5"/>
    <s v="Hit"/>
    <s v="Blockbuster"/>
    <s v="No"/>
    <s v="High"/>
    <n v="393.5"/>
    <n v="474.76190476190476"/>
  </r>
  <r>
    <s v="NFX-100472"/>
    <s v="Golden Legacy 6"/>
    <s v="Movie"/>
    <x v="5"/>
    <n v="2010"/>
    <x v="3"/>
    <s v="2023-03-04"/>
    <n v="99"/>
    <s v="16+"/>
    <n v="6.5"/>
    <n v="94.9"/>
    <s v="Japanese"/>
    <s v="Guillermo del Toro"/>
    <s v="Lee Jung-jae"/>
    <m/>
    <n v="118"/>
    <n v="257.89999999999998"/>
    <s v="Average"/>
    <s v="Normal"/>
    <s v="No"/>
    <s v="High"/>
    <n v="139.89999999999998"/>
    <n v="218.5593220338983"/>
  </r>
  <r>
    <s v="NFX-100473"/>
    <s v="Hidden Chronicles 2"/>
    <s v="Movie"/>
    <x v="0"/>
    <n v="2014"/>
    <x v="2"/>
    <s v="2021-02-11"/>
    <n v="96"/>
    <s v="PG"/>
    <n v="7.8"/>
    <n v="200.6"/>
    <s v="German"/>
    <s v="Martin Scorsese"/>
    <s v="Brad Pitt"/>
    <m/>
    <n v="95"/>
    <n v="340.8"/>
    <s v="Average"/>
    <s v="Popular"/>
    <s v="Yes"/>
    <s v="Low"/>
    <n v="245.8"/>
    <n v="358.73684210526318"/>
  </r>
  <r>
    <s v="NFX-100474"/>
    <s v="Lost Protocol 2"/>
    <s v="TV Show"/>
    <x v="9"/>
    <n v="2008"/>
    <x v="8"/>
    <s v="2019-06-24"/>
    <n v="46"/>
    <s v="G"/>
    <n v="5.8"/>
    <n v="3.7"/>
    <s v="French"/>
    <s v="Denis Villeneuve"/>
    <s v="Timothée Chalamet"/>
    <n v="4"/>
    <n v="99"/>
    <n v="324.3"/>
    <s v="Flop"/>
    <s v="Normal"/>
    <s v="Yes"/>
    <s v="Low"/>
    <n v="225.3"/>
    <n v="327.57575757575756"/>
  </r>
  <r>
    <s v="NFX-100475"/>
    <s v="Iron Frontier 6"/>
    <s v="Movie"/>
    <x v="3"/>
    <n v="2017"/>
    <x v="8"/>
    <s v="2019-06-08"/>
    <n v="144"/>
    <s v="G"/>
    <n v="6.8"/>
    <n v="6"/>
    <s v="German"/>
    <s v="Ridley Scott"/>
    <s v="Lee Jung-jae"/>
    <m/>
    <n v="113"/>
    <n v="254.7"/>
    <s v="Average"/>
    <s v="Normal"/>
    <s v="Yes"/>
    <s v="High"/>
    <n v="141.69999999999999"/>
    <n v="225.39823008849558"/>
  </r>
  <r>
    <s v="NFX-100476"/>
    <s v="Burning City"/>
    <s v="Movie"/>
    <x v="0"/>
    <n v="2011"/>
    <x v="5"/>
    <s v="2024-01-11"/>
    <n v="107"/>
    <s v="18+"/>
    <n v="9.6"/>
    <n v="151.69999999999999"/>
    <s v="Hindi"/>
    <s v="Bong Joon-ho"/>
    <s v="Shah Rukh Khan"/>
    <m/>
    <n v="198"/>
    <n v="1129.4000000000001"/>
    <s v="Hit"/>
    <s v="Normal"/>
    <s v="No"/>
    <s v="High"/>
    <n v="931.40000000000009"/>
    <n v="570.40404040404042"/>
  </r>
  <r>
    <s v="NFX-100477"/>
    <s v="Hidden Horizon 8"/>
    <s v="TV Show"/>
    <x v="10"/>
    <n v="2012"/>
    <x v="0"/>
    <s v="2018-03-28"/>
    <n v="39"/>
    <s v="PG"/>
    <n v="4.9000000000000004"/>
    <n v="9.6999999999999993"/>
    <s v="Korean"/>
    <s v="Park Chan-wook"/>
    <s v="Ryan Gosling"/>
    <n v="6"/>
    <n v="12"/>
    <n v="67.900000000000006"/>
    <s v="Flop"/>
    <s v="Normal"/>
    <s v="Yes"/>
    <s v="Low"/>
    <n v="55.900000000000006"/>
    <n v="565.83333333333337"/>
  </r>
  <r>
    <s v="NFX-100478"/>
    <s v="Broken Archive 2"/>
    <s v="Movie"/>
    <x v="2"/>
    <n v="2000"/>
    <x v="5"/>
    <s v="2018-06-22"/>
    <n v="165"/>
    <s v="16+"/>
    <n v="5.9"/>
    <n v="339.9"/>
    <s v="Hindi"/>
    <s v="Denis Villeneuve"/>
    <s v="Robert Downey Jr."/>
    <m/>
    <n v="84"/>
    <n v="469"/>
    <s v="Flop"/>
    <s v="Popular"/>
    <s v="No"/>
    <s v="Low"/>
    <n v="385"/>
    <n v="558.33333333333326"/>
  </r>
  <r>
    <s v="NFX-100479"/>
    <s v="Crystal Storm 5"/>
    <s v="TV Show"/>
    <x v="5"/>
    <n v="2007"/>
    <x v="3"/>
    <s v="2021-11-12"/>
    <n v="52"/>
    <s v="PG-13"/>
    <n v="6.6"/>
    <n v="337.4"/>
    <s v="Korean"/>
    <s v="Christopher Nolan"/>
    <s v="Emma Stone"/>
    <n v="2"/>
    <n v="88"/>
    <n v="420"/>
    <s v="Average"/>
    <s v="Popular"/>
    <s v="No"/>
    <s v="Low"/>
    <n v="332"/>
    <n v="477.27272727272725"/>
  </r>
  <r>
    <s v="NFX-100480"/>
    <s v="Burning Chronicles 9"/>
    <s v="Movie"/>
    <x v="10"/>
    <n v="2006"/>
    <x v="5"/>
    <s v="2020-09-24"/>
    <n v="169"/>
    <s v="G"/>
    <n v="5.2"/>
    <n v="56.2"/>
    <s v="English"/>
    <s v="Christopher Nolan"/>
    <s v="Ryan Gosling"/>
    <m/>
    <n v="41"/>
    <n v="154.4"/>
    <s v="Flop"/>
    <s v="Normal"/>
    <s v="Yes"/>
    <s v="Low"/>
    <n v="113.4"/>
    <n v="376.58536585365857"/>
  </r>
  <r>
    <s v="NFX-100481"/>
    <s v="Iron Code"/>
    <s v="Movie"/>
    <x v="0"/>
    <n v="2009"/>
    <x v="5"/>
    <s v="2020-09-03"/>
    <n v="178"/>
    <s v="G"/>
    <n v="5.2"/>
    <n v="208.5"/>
    <s v="Hindi"/>
    <s v="Christopher Nolan"/>
    <s v="Ranbir Kapoor"/>
    <m/>
    <n v="168"/>
    <n v="382.6"/>
    <s v="Flop"/>
    <s v="Popular"/>
    <s v="Yes"/>
    <s v="High"/>
    <n v="214.60000000000002"/>
    <n v="227.73809523809527"/>
  </r>
  <r>
    <s v="NFX-100482"/>
    <s v="Midnight Protocol 7"/>
    <s v="Movie"/>
    <x v="7"/>
    <n v="2018"/>
    <x v="8"/>
    <s v="2021-05-16"/>
    <n v="146"/>
    <s v="G"/>
    <n v="7.6"/>
    <n v="525.29999999999995"/>
    <s v="Japanese"/>
    <s v="Bong Joon-ho"/>
    <s v="Leonardo DiCaprio"/>
    <m/>
    <n v="22"/>
    <n v="31.2"/>
    <s v="Average"/>
    <s v="Blockbuster"/>
    <s v="Yes"/>
    <s v="Low"/>
    <n v="9.1999999999999993"/>
    <n v="141.81818181818181"/>
  </r>
  <r>
    <s v="NFX-100483"/>
    <s v="Silent Journey 4"/>
    <s v="TV Show"/>
    <x v="10"/>
    <n v="2024"/>
    <x v="4"/>
    <s v="2018-02-27"/>
    <n v="40"/>
    <s v="G"/>
    <n v="9.1"/>
    <n v="544.5"/>
    <s v="French"/>
    <s v="Ridley Scott"/>
    <s v="Shah Rukh Khan"/>
    <n v="8"/>
    <n v="37"/>
    <n v="61.5"/>
    <s v="Hit"/>
    <s v="Blockbuster"/>
    <s v="Yes"/>
    <s v="Low"/>
    <n v="24.5"/>
    <n v="166.2162162162162"/>
  </r>
  <r>
    <s v="NFX-100484"/>
    <s v="Iron Odyssey 1"/>
    <s v="Movie"/>
    <x v="1"/>
    <n v="2012"/>
    <x v="1"/>
    <s v="2022-02-02"/>
    <n v="148"/>
    <s v="G"/>
    <n v="8.1"/>
    <n v="189"/>
    <s v="French"/>
    <s v="Christopher Nolan"/>
    <s v="Robert Downey Jr."/>
    <m/>
    <n v="14"/>
    <n v="57.4"/>
    <s v="Hit"/>
    <s v="Normal"/>
    <s v="Yes"/>
    <s v="Low"/>
    <n v="43.4"/>
    <n v="409.99999999999994"/>
  </r>
  <r>
    <s v="NFX-100485"/>
    <s v="Last City 6"/>
    <s v="TV Show"/>
    <x v="7"/>
    <n v="2006"/>
    <x v="7"/>
    <s v="2020-02-03"/>
    <n v="54"/>
    <s v="16+"/>
    <n v="7.1"/>
    <n v="446.4"/>
    <s v="Japanese"/>
    <s v="Quentin Tarantino"/>
    <s v="Song Kang-ho"/>
    <n v="1"/>
    <n v="28"/>
    <n v="92.9"/>
    <s v="Average"/>
    <s v="Blockbuster"/>
    <s v="No"/>
    <s v="Low"/>
    <n v="64.900000000000006"/>
    <n v="331.78571428571433"/>
  </r>
  <r>
    <s v="NFX-100486"/>
    <s v="Broken Archive 8"/>
    <s v="TV Show"/>
    <x v="7"/>
    <n v="2015"/>
    <x v="9"/>
    <s v="2021-09-04"/>
    <n v="53"/>
    <s v="PG"/>
    <n v="6.2"/>
    <n v="364.9"/>
    <s v="Hindi"/>
    <s v="Anurag Kashyap"/>
    <s v="Jennifer Lawrence"/>
    <n v="4"/>
    <n v="140"/>
    <n v="468.3"/>
    <s v="Average"/>
    <s v="Popular"/>
    <s v="Yes"/>
    <s v="High"/>
    <n v="328.3"/>
    <n v="334.5"/>
  </r>
  <r>
    <s v="NFX-100487"/>
    <s v="Last Chronicles 6"/>
    <s v="TV Show"/>
    <x v="3"/>
    <n v="2001"/>
    <x v="1"/>
    <s v="2024-06-18"/>
    <n v="30"/>
    <s v="PG"/>
    <n v="8.3000000000000007"/>
    <n v="565.20000000000005"/>
    <s v="Korean"/>
    <s v="Christopher Nolan"/>
    <s v="Timothée Chalamet"/>
    <n v="7"/>
    <n v="118"/>
    <n v="568.1"/>
    <s v="Hit"/>
    <s v="Blockbuster"/>
    <s v="Yes"/>
    <s v="High"/>
    <n v="450.1"/>
    <n v="481.44067796610176"/>
  </r>
  <r>
    <s v="NFX-100488"/>
    <s v="Burning Valley 3"/>
    <s v="TV Show"/>
    <x v="2"/>
    <n v="2016"/>
    <x v="3"/>
    <s v="2021-09-25"/>
    <n v="44"/>
    <s v="PG-13"/>
    <n v="7.4"/>
    <n v="512.6"/>
    <s v="Hindi"/>
    <s v="Greta Gerwig"/>
    <s v="Ranbir Kapoor"/>
    <n v="7"/>
    <n v="187"/>
    <n v="927.1"/>
    <s v="Average"/>
    <s v="Blockbuster"/>
    <s v="No"/>
    <s v="High"/>
    <n v="740.1"/>
    <n v="495.77540106951875"/>
  </r>
  <r>
    <s v="NFX-100489"/>
    <s v="Secret Journey 7"/>
    <s v="Movie"/>
    <x v="1"/>
    <n v="2021"/>
    <x v="8"/>
    <s v="2018-11-20"/>
    <n v="98"/>
    <s v="16+"/>
    <n v="9.3000000000000007"/>
    <n v="244.5"/>
    <s v="Korean"/>
    <s v="Zoya Akhtar"/>
    <s v="Timothée Chalamet"/>
    <m/>
    <n v="42"/>
    <n v="203.7"/>
    <s v="Hit"/>
    <s v="Popular"/>
    <s v="No"/>
    <s v="Low"/>
    <n v="161.69999999999999"/>
    <n v="484.99999999999994"/>
  </r>
  <r>
    <s v="NFX-100490"/>
    <s v="Fading Code 2"/>
    <s v="Movie"/>
    <x v="10"/>
    <n v="2010"/>
    <x v="4"/>
    <s v="2023-07-28"/>
    <n v="112"/>
    <s v="PG-13"/>
    <n v="6.1"/>
    <n v="548.9"/>
    <s v="Hindi"/>
    <s v="Park Chan-wook"/>
    <s v="Ryan Gosling"/>
    <m/>
    <n v="161"/>
    <n v="467"/>
    <s v="Average"/>
    <s v="Blockbuster"/>
    <s v="No"/>
    <s v="High"/>
    <n v="306"/>
    <n v="290.06211180124222"/>
  </r>
  <r>
    <s v="NFX-100491"/>
    <s v="Rising Echo 6"/>
    <s v="TV Show"/>
    <x v="2"/>
    <n v="2020"/>
    <x v="2"/>
    <s v="2021-10-03"/>
    <n v="34"/>
    <s v="18+"/>
    <n v="8.1"/>
    <n v="100.1"/>
    <s v="Japanese"/>
    <s v="Sanjay Leela Bhansali"/>
    <s v="Chris Evans"/>
    <n v="6"/>
    <n v="11"/>
    <n v="59.6"/>
    <s v="Hit"/>
    <s v="Normal"/>
    <s v="No"/>
    <s v="Low"/>
    <n v="48.6"/>
    <n v="541.81818181818176"/>
  </r>
  <r>
    <s v="NFX-100492"/>
    <s v="Iron Chronicles 8"/>
    <s v="Movie"/>
    <x v="7"/>
    <n v="2021"/>
    <x v="4"/>
    <s v="2018-07-12"/>
    <n v="138"/>
    <s v="PG-13"/>
    <n v="5.5"/>
    <n v="92.8"/>
    <s v="French"/>
    <s v="Zoya Akhtar"/>
    <s v="Scarlett Johansson"/>
    <m/>
    <n v="55"/>
    <n v="295.7"/>
    <s v="Flop"/>
    <s v="Normal"/>
    <s v="No"/>
    <s v="Low"/>
    <n v="240.7"/>
    <n v="537.63636363636363"/>
  </r>
  <r>
    <s v="NFX-100493"/>
    <s v="Dark Legacy 9"/>
    <s v="Movie"/>
    <x v="7"/>
    <n v="2013"/>
    <x v="7"/>
    <s v="2023-10-23"/>
    <n v="113"/>
    <s v="G"/>
    <n v="9"/>
    <n v="231.9"/>
    <s v="Korean"/>
    <s v="Anurag Kashyap"/>
    <s v="Ryan Gosling"/>
    <m/>
    <n v="198"/>
    <n v="819.7"/>
    <s v="Hit"/>
    <s v="Popular"/>
    <s v="Yes"/>
    <s v="High"/>
    <n v="621.70000000000005"/>
    <n v="413.98989898989902"/>
  </r>
  <r>
    <s v="NFX-100494"/>
    <s v="Golden City 4"/>
    <s v="TV Show"/>
    <x v="1"/>
    <n v="2021"/>
    <x v="5"/>
    <s v="2024-06-30"/>
    <n v="50"/>
    <s v="PG"/>
    <n v="4.7"/>
    <n v="480.8"/>
    <s v="German"/>
    <s v="Greta Gerwig"/>
    <s v="Ryan Gosling"/>
    <n v="2"/>
    <n v="141"/>
    <n v="763.1"/>
    <s v="Flop"/>
    <s v="Blockbuster"/>
    <s v="Yes"/>
    <s v="High"/>
    <n v="622.1"/>
    <n v="541.20567375886526"/>
  </r>
  <r>
    <s v="NFX-100495"/>
    <s v="Lost Odyssey 6"/>
    <s v="TV Show"/>
    <x v="2"/>
    <n v="2024"/>
    <x v="7"/>
    <s v="2018-05-02"/>
    <n v="40"/>
    <s v="18+"/>
    <n v="7.4"/>
    <n v="220.3"/>
    <s v="Hindi"/>
    <s v="Anurag Kashyap"/>
    <s v="Robert Downey Jr."/>
    <n v="7"/>
    <n v="18"/>
    <n v="57.2"/>
    <s v="Average"/>
    <s v="Popular"/>
    <s v="No"/>
    <s v="Low"/>
    <n v="39.200000000000003"/>
    <n v="317.77777777777783"/>
  </r>
  <r>
    <s v="NFX-100496"/>
    <s v="Iron Signal 7"/>
    <s v="Movie"/>
    <x v="10"/>
    <n v="2002"/>
    <x v="7"/>
    <s v="2023-01-13"/>
    <n v="132"/>
    <s v="G"/>
    <n v="6.5"/>
    <n v="418.3"/>
    <s v="French"/>
    <s v="Christopher Nolan"/>
    <s v="Tom Hardy"/>
    <m/>
    <n v="63"/>
    <n v="311.2"/>
    <s v="Average"/>
    <s v="Blockbuster"/>
    <s v="Yes"/>
    <s v="Low"/>
    <n v="248.2"/>
    <n v="493.96825396825398"/>
  </r>
  <r>
    <s v="NFX-100497"/>
    <s v="Shadow Empire 2"/>
    <s v="TV Show"/>
    <x v="0"/>
    <n v="2007"/>
    <x v="3"/>
    <s v="2024-07-11"/>
    <n v="50"/>
    <s v="PG-13"/>
    <n v="6.4"/>
    <n v="7.6"/>
    <s v="German"/>
    <s v="Quentin Tarantino"/>
    <s v="Shah Rukh Khan"/>
    <n v="7"/>
    <n v="57"/>
    <n v="346.3"/>
    <s v="Average"/>
    <s v="Normal"/>
    <s v="No"/>
    <s v="Low"/>
    <n v="289.3"/>
    <n v="607.54385964912285"/>
  </r>
  <r>
    <s v="NFX-100498"/>
    <s v="Rising Archive 1"/>
    <s v="TV Show"/>
    <x v="4"/>
    <n v="2022"/>
    <x v="3"/>
    <s v="2020-12-23"/>
    <n v="40"/>
    <s v="PG"/>
    <n v="4.8"/>
    <n v="349.2"/>
    <s v="Spanish"/>
    <s v="James Cameron"/>
    <s v="Deepika Padukone"/>
    <n v="4"/>
    <n v="106"/>
    <n v="234"/>
    <s v="Flop"/>
    <s v="Popular"/>
    <s v="Yes"/>
    <s v="High"/>
    <n v="128"/>
    <n v="220.75471698113211"/>
  </r>
  <r>
    <s v="NFX-100499"/>
    <s v="Last Echo"/>
    <s v="Movie"/>
    <x v="1"/>
    <n v="2024"/>
    <x v="7"/>
    <s v="2019-12-29"/>
    <n v="142"/>
    <s v="16+"/>
    <n v="7.8"/>
    <n v="388.8"/>
    <s v="English"/>
    <s v="Guillermo del Toro"/>
    <s v="Shah Rukh Khan"/>
    <m/>
    <n v="61"/>
    <n v="363.7"/>
    <s v="Average"/>
    <s v="Popular"/>
    <s v="No"/>
    <s v="Low"/>
    <n v="302.7"/>
    <n v="596.22950819672133"/>
  </r>
  <r>
    <s v="NFX-100500"/>
    <s v="Midnight Legacy"/>
    <s v="Movie"/>
    <x v="6"/>
    <n v="2022"/>
    <x v="6"/>
    <s v="2021-02-22"/>
    <n v="164"/>
    <s v="16+"/>
    <n v="9.1"/>
    <n v="119.1"/>
    <s v="Korean"/>
    <s v="Quentin Tarantino"/>
    <s v="Brad Pitt"/>
    <m/>
    <n v="94"/>
    <n v="578.79999999999995"/>
    <s v="Hit"/>
    <s v="Normal"/>
    <s v="No"/>
    <s v="Low"/>
    <n v="484.79999999999995"/>
    <n v="615.74468085106378"/>
  </r>
  <r>
    <s v="NFX-100501"/>
    <s v="Burning Chronicles 8"/>
    <s v="TV Show"/>
    <x v="4"/>
    <n v="2018"/>
    <x v="2"/>
    <s v="2020-10-24"/>
    <n v="53"/>
    <s v="G"/>
    <n v="7.3"/>
    <n v="133.69999999999999"/>
    <s v="French"/>
    <s v="Zoya Akhtar"/>
    <s v="Deepika Padukone"/>
    <n v="8"/>
    <n v="132"/>
    <n v="417.4"/>
    <s v="Average"/>
    <s v="Normal"/>
    <s v="Yes"/>
    <s v="High"/>
    <n v="285.39999999999998"/>
    <n v="316.21212121212119"/>
  </r>
  <r>
    <s v="NFX-100502"/>
    <s v="Secret Protocol"/>
    <s v="Movie"/>
    <x v="6"/>
    <n v="2004"/>
    <x v="4"/>
    <s v="2018-04-12"/>
    <n v="117"/>
    <s v="PG"/>
    <n v="4.8"/>
    <n v="516.1"/>
    <s v="Japanese"/>
    <s v="Steven Spielberg"/>
    <s v="Emma Stone"/>
    <m/>
    <n v="85"/>
    <n v="257.2"/>
    <s v="Flop"/>
    <s v="Blockbuster"/>
    <s v="Yes"/>
    <s v="Low"/>
    <n v="172.2"/>
    <n v="302.58823529411762"/>
  </r>
  <r>
    <s v="NFX-100503"/>
    <s v="Midnight Legacy 1"/>
    <s v="Movie"/>
    <x v="3"/>
    <n v="2012"/>
    <x v="4"/>
    <s v="2024-01-09"/>
    <n v="111"/>
    <s v="PG"/>
    <n v="7.6"/>
    <n v="336.9"/>
    <s v="Korean"/>
    <s v="Christopher Nolan"/>
    <s v="Robert Downey Jr."/>
    <m/>
    <n v="111"/>
    <n v="241.7"/>
    <s v="Average"/>
    <s v="Popular"/>
    <s v="Yes"/>
    <s v="High"/>
    <n v="130.69999999999999"/>
    <n v="217.74774774774772"/>
  </r>
  <r>
    <s v="NFX-100504"/>
    <s v="Shadow Echo 5"/>
    <s v="Movie"/>
    <x v="8"/>
    <n v="2011"/>
    <x v="5"/>
    <s v="2023-11-20"/>
    <n v="91"/>
    <s v="PG-13"/>
    <n v="7.2"/>
    <n v="560.9"/>
    <s v="Hindi"/>
    <s v="Ridley Scott"/>
    <s v="Ranbir Kapoor"/>
    <m/>
    <n v="76"/>
    <n v="426.4"/>
    <s v="Average"/>
    <s v="Blockbuster"/>
    <s v="No"/>
    <s v="Low"/>
    <n v="350.4"/>
    <n v="561.0526315789474"/>
  </r>
  <r>
    <s v="NFX-100505"/>
    <s v="Last Chronicles 2"/>
    <s v="TV Show"/>
    <x v="5"/>
    <n v="2010"/>
    <x v="1"/>
    <s v="2024-08-09"/>
    <n v="57"/>
    <s v="PG"/>
    <n v="6.5"/>
    <n v="473.8"/>
    <s v="English"/>
    <s v="Rajkumar Hirani"/>
    <s v="Ranbir Kapoor"/>
    <n v="7"/>
    <n v="119"/>
    <n v="175.9"/>
    <s v="Average"/>
    <s v="Blockbuster"/>
    <s v="Yes"/>
    <s v="High"/>
    <n v="56.900000000000006"/>
    <n v="147.81512605042019"/>
  </r>
  <r>
    <s v="NFX-100506"/>
    <s v="Hidden Chronicles 9"/>
    <s v="TV Show"/>
    <x v="4"/>
    <n v="2022"/>
    <x v="8"/>
    <s v="2021-06-29"/>
    <n v="33"/>
    <s v="PG-13"/>
    <n v="4.7"/>
    <n v="507.6"/>
    <s v="Spanish"/>
    <s v="Christopher Nolan"/>
    <s v="Tom Hardy"/>
    <n v="8"/>
    <n v="30"/>
    <n v="97.7"/>
    <s v="Flop"/>
    <s v="Blockbuster"/>
    <s v="No"/>
    <s v="Low"/>
    <n v="67.7"/>
    <n v="325.66666666666669"/>
  </r>
  <r>
    <s v="NFX-100507"/>
    <s v="Hidden Echo 6"/>
    <s v="TV Show"/>
    <x v="3"/>
    <n v="2025"/>
    <x v="0"/>
    <s v="2020-03-31"/>
    <n v="37"/>
    <s v="PG"/>
    <n v="7.9"/>
    <n v="368.5"/>
    <s v="Hindi"/>
    <s v="Rajkumar Hirani"/>
    <s v="Timothée Chalamet"/>
    <n v="1"/>
    <n v="37"/>
    <n v="164.9"/>
    <s v="Average"/>
    <s v="Popular"/>
    <s v="Yes"/>
    <s v="Low"/>
    <n v="127.9"/>
    <n v="445.67567567567573"/>
  </r>
  <r>
    <s v="NFX-100508"/>
    <s v="Lost Chronicles 5"/>
    <s v="Movie"/>
    <x v="8"/>
    <n v="2019"/>
    <x v="9"/>
    <s v="2021-10-07"/>
    <n v="150"/>
    <s v="G"/>
    <n v="6.4"/>
    <n v="470"/>
    <s v="Korean"/>
    <s v="Denis Villeneuve"/>
    <s v="Song Kang-ho"/>
    <m/>
    <n v="47"/>
    <n v="205.5"/>
    <s v="Average"/>
    <s v="Blockbuster"/>
    <s v="Yes"/>
    <s v="Low"/>
    <n v="158.5"/>
    <n v="437.2340425531915"/>
  </r>
  <r>
    <s v="NFX-100509"/>
    <s v="Last Legacy 8"/>
    <s v="TV Show"/>
    <x v="6"/>
    <n v="2021"/>
    <x v="9"/>
    <s v="2020-04-30"/>
    <n v="44"/>
    <s v="G"/>
    <n v="6.8"/>
    <n v="342.8"/>
    <s v="Japanese"/>
    <s v="Zoya Akhtar"/>
    <s v="Emma Stone"/>
    <n v="4"/>
    <n v="17"/>
    <n v="49.6"/>
    <s v="Average"/>
    <s v="Popular"/>
    <s v="Yes"/>
    <s v="Low"/>
    <n v="32.6"/>
    <n v="291.76470588235298"/>
  </r>
  <r>
    <s v="NFX-100510"/>
    <s v="Lost Signal 6"/>
    <s v="Movie"/>
    <x v="0"/>
    <n v="2012"/>
    <x v="5"/>
    <s v="2021-02-26"/>
    <n v="138"/>
    <s v="G"/>
    <n v="7.5"/>
    <n v="389.5"/>
    <s v="Japanese"/>
    <s v="Martin Scorsese"/>
    <s v="Ryan Gosling"/>
    <m/>
    <n v="46"/>
    <n v="242.6"/>
    <s v="Average"/>
    <s v="Popular"/>
    <s v="Yes"/>
    <s v="Low"/>
    <n v="196.6"/>
    <n v="527.39130434782601"/>
  </r>
  <r>
    <s v="NFX-100511"/>
    <s v="Golden City 3"/>
    <s v="Movie"/>
    <x v="4"/>
    <n v="2008"/>
    <x v="6"/>
    <s v="2021-12-26"/>
    <n v="140"/>
    <s v="PG-13"/>
    <n v="4.7"/>
    <n v="364.6"/>
    <s v="Japanese"/>
    <s v="Bong Joon-ho"/>
    <s v="Chris Evans"/>
    <m/>
    <n v="63"/>
    <n v="78.099999999999994"/>
    <s v="Flop"/>
    <s v="Popular"/>
    <s v="No"/>
    <s v="Low"/>
    <n v="15.099999999999994"/>
    <n v="123.96825396825395"/>
  </r>
  <r>
    <s v="NFX-100512"/>
    <s v="Midnight Signal 7"/>
    <s v="TV Show"/>
    <x v="1"/>
    <n v="2001"/>
    <x v="5"/>
    <s v="2023-10-28"/>
    <n v="45"/>
    <s v="PG-13"/>
    <n v="6.6"/>
    <n v="555.79999999999995"/>
    <s v="French"/>
    <s v="Sanjay Leela Bhansali"/>
    <s v="Scarlett Johansson"/>
    <n v="1"/>
    <n v="30"/>
    <n v="54.4"/>
    <s v="Average"/>
    <s v="Blockbuster"/>
    <s v="No"/>
    <s v="Low"/>
    <n v="24.4"/>
    <n v="181.33333333333331"/>
  </r>
  <r>
    <s v="NFX-100513"/>
    <s v="Lost Protocol 8"/>
    <s v="TV Show"/>
    <x v="6"/>
    <n v="2019"/>
    <x v="9"/>
    <s v="2018-07-27"/>
    <n v="33"/>
    <s v="G"/>
    <n v="9"/>
    <n v="349.8"/>
    <s v="Japanese"/>
    <s v="Park Chan-wook"/>
    <s v="Song Kang-ho"/>
    <n v="4"/>
    <n v="133"/>
    <n v="490.3"/>
    <s v="Hit"/>
    <s v="Popular"/>
    <s v="Yes"/>
    <s v="High"/>
    <n v="357.3"/>
    <n v="368.64661654135335"/>
  </r>
  <r>
    <s v="NFX-100514"/>
    <s v="Broken Journey 5"/>
    <s v="Movie"/>
    <x v="10"/>
    <n v="2016"/>
    <x v="4"/>
    <s v="2024-02-14"/>
    <n v="95"/>
    <s v="18+"/>
    <n v="4.8"/>
    <n v="354.9"/>
    <s v="German"/>
    <s v="Zoya Akhtar"/>
    <s v="Tom Hardy"/>
    <m/>
    <n v="126"/>
    <n v="177.2"/>
    <s v="Flop"/>
    <s v="Popular"/>
    <s v="No"/>
    <s v="High"/>
    <n v="51.199999999999989"/>
    <n v="140.63492063492063"/>
  </r>
  <r>
    <s v="NFX-100515"/>
    <s v="Broken Archive 9"/>
    <s v="Movie"/>
    <x v="3"/>
    <n v="2024"/>
    <x v="0"/>
    <s v="2022-01-12"/>
    <n v="141"/>
    <s v="PG-13"/>
    <n v="6.1"/>
    <n v="69.5"/>
    <s v="Spanish"/>
    <s v="Ridley Scott"/>
    <s v="Deepika Padukone"/>
    <m/>
    <n v="79"/>
    <n v="307.2"/>
    <s v="Average"/>
    <s v="Normal"/>
    <s v="No"/>
    <s v="Low"/>
    <n v="228.2"/>
    <n v="388.86075949367086"/>
  </r>
  <r>
    <s v="NFX-100516"/>
    <s v="Hidden Journey 5"/>
    <s v="Movie"/>
    <x v="1"/>
    <n v="2001"/>
    <x v="0"/>
    <s v="2019-10-06"/>
    <n v="111"/>
    <s v="PG-13"/>
    <n v="6.1"/>
    <n v="281.10000000000002"/>
    <s v="Japanese"/>
    <s v="Anurag Kashyap"/>
    <s v="Ranbir Kapoor"/>
    <m/>
    <n v="73"/>
    <n v="462.4"/>
    <s v="Average"/>
    <s v="Popular"/>
    <s v="No"/>
    <s v="Low"/>
    <n v="389.4"/>
    <n v="633.42465753424653"/>
  </r>
  <r>
    <s v="NFX-100517"/>
    <s v="Shadow Archive 4"/>
    <s v="Movie"/>
    <x v="1"/>
    <n v="2006"/>
    <x v="7"/>
    <s v="2022-03-22"/>
    <n v="170"/>
    <s v="18+"/>
    <n v="7.9"/>
    <n v="62.4"/>
    <s v="Japanese"/>
    <s v="Guillermo del Toro"/>
    <s v="Lee Jung-jae"/>
    <m/>
    <n v="96"/>
    <n v="263.3"/>
    <s v="Average"/>
    <s v="Normal"/>
    <s v="No"/>
    <s v="Low"/>
    <n v="167.3"/>
    <n v="274.27083333333331"/>
  </r>
  <r>
    <s v="NFX-100518"/>
    <s v="Hidden Protocol"/>
    <s v="Movie"/>
    <x v="4"/>
    <n v="2013"/>
    <x v="0"/>
    <s v="2023-05-06"/>
    <n v="160"/>
    <s v="G"/>
    <n v="5.0999999999999996"/>
    <n v="354.9"/>
    <s v="Japanese"/>
    <s v="Guillermo del Toro"/>
    <s v="Scarlett Johansson"/>
    <m/>
    <n v="138"/>
    <n v="325"/>
    <s v="Flop"/>
    <s v="Popular"/>
    <s v="Yes"/>
    <s v="High"/>
    <n v="187"/>
    <n v="235.50724637681157"/>
  </r>
  <r>
    <s v="NFX-100519"/>
    <s v="Secret Echo"/>
    <s v="Movie"/>
    <x v="6"/>
    <n v="2002"/>
    <x v="9"/>
    <s v="2021-06-18"/>
    <n v="124"/>
    <s v="G"/>
    <n v="5.2"/>
    <n v="469.6"/>
    <s v="Hindi"/>
    <s v="Denis Villeneuve"/>
    <s v="Shah Rukh Khan"/>
    <m/>
    <n v="137"/>
    <n v="431.4"/>
    <s v="Flop"/>
    <s v="Blockbuster"/>
    <s v="Yes"/>
    <s v="High"/>
    <n v="294.39999999999998"/>
    <n v="314.8905109489051"/>
  </r>
  <r>
    <s v="NFX-100520"/>
    <s v="Last City 5"/>
    <s v="Movie"/>
    <x v="7"/>
    <n v="2008"/>
    <x v="7"/>
    <s v="2022-06-24"/>
    <n v="130"/>
    <s v="16+"/>
    <n v="6.1"/>
    <n v="314.5"/>
    <s v="Korean"/>
    <s v="Bong Joon-ho"/>
    <s v="Ranbir Kapoor"/>
    <m/>
    <n v="124"/>
    <n v="778.8"/>
    <s v="Average"/>
    <s v="Popular"/>
    <s v="No"/>
    <s v="High"/>
    <n v="654.79999999999995"/>
    <n v="628.0645161290322"/>
  </r>
  <r>
    <s v="NFX-100521"/>
    <s v="Crystal Echo 8"/>
    <s v="Movie"/>
    <x v="7"/>
    <n v="2005"/>
    <x v="3"/>
    <s v="2022-02-26"/>
    <n v="144"/>
    <s v="18+"/>
    <n v="7.9"/>
    <n v="47.1"/>
    <s v="Hindi"/>
    <s v="Steven Spielberg"/>
    <s v="Lee Jung-jae"/>
    <m/>
    <n v="85"/>
    <n v="420.1"/>
    <s v="Average"/>
    <s v="Normal"/>
    <s v="No"/>
    <s v="Low"/>
    <n v="335.1"/>
    <n v="494.23529411764707"/>
  </r>
  <r>
    <s v="NFX-100522"/>
    <s v="Hidden Signal 8"/>
    <s v="Movie"/>
    <x v="0"/>
    <n v="2019"/>
    <x v="3"/>
    <s v="2023-06-01"/>
    <n v="163"/>
    <s v="PG"/>
    <n v="7.3"/>
    <n v="20.100000000000001"/>
    <s v="Hindi"/>
    <s v="Greta Gerwig"/>
    <s v="Song Kang-ho"/>
    <m/>
    <n v="47"/>
    <n v="60.1"/>
    <s v="Average"/>
    <s v="Normal"/>
    <s v="Yes"/>
    <s v="Low"/>
    <n v="13.100000000000001"/>
    <n v="127.87234042553193"/>
  </r>
  <r>
    <s v="NFX-100523"/>
    <s v="Hidden City 7"/>
    <s v="Movie"/>
    <x v="3"/>
    <n v="2021"/>
    <x v="2"/>
    <s v="2018-06-19"/>
    <n v="122"/>
    <s v="G"/>
    <n v="5.8"/>
    <n v="93.1"/>
    <s v="Japanese"/>
    <s v="Guillermo del Toro"/>
    <s v="Timothée Chalamet"/>
    <m/>
    <n v="125"/>
    <n v="306.8"/>
    <s v="Flop"/>
    <s v="Normal"/>
    <s v="Yes"/>
    <s v="High"/>
    <n v="181.8"/>
    <n v="245.44000000000003"/>
  </r>
  <r>
    <s v="NFX-100524"/>
    <s v="Shadow Journey 7"/>
    <s v="TV Show"/>
    <x v="7"/>
    <n v="2025"/>
    <x v="8"/>
    <s v="2024-05-28"/>
    <n v="36"/>
    <s v="G"/>
    <n v="9"/>
    <n v="132.5"/>
    <s v="Japanese"/>
    <s v="Denis Villeneuve"/>
    <s v="Leonardo DiCaprio"/>
    <n v="1"/>
    <n v="69"/>
    <n v="108.7"/>
    <s v="Hit"/>
    <s v="Normal"/>
    <s v="Yes"/>
    <s v="Low"/>
    <n v="39.700000000000003"/>
    <n v="157.53623188405797"/>
  </r>
  <r>
    <s v="NFX-100525"/>
    <s v="Shadow Archive 5"/>
    <s v="Movie"/>
    <x v="0"/>
    <n v="2000"/>
    <x v="5"/>
    <s v="2020-02-21"/>
    <n v="116"/>
    <s v="PG"/>
    <n v="6.7"/>
    <n v="140.19999999999999"/>
    <s v="Spanish"/>
    <s v="Anurag Kashyap"/>
    <s v="Lee Jung-jae"/>
    <m/>
    <n v="117"/>
    <n v="266.8"/>
    <s v="Average"/>
    <s v="Normal"/>
    <s v="Yes"/>
    <s v="High"/>
    <n v="149.80000000000001"/>
    <n v="228.03418803418802"/>
  </r>
  <r>
    <s v="NFX-100526"/>
    <s v="Golden Journey 1"/>
    <s v="TV Show"/>
    <x v="3"/>
    <n v="2012"/>
    <x v="2"/>
    <s v="2021-09-30"/>
    <n v="31"/>
    <s v="PG-13"/>
    <n v="7.5"/>
    <n v="140"/>
    <s v="German"/>
    <s v="Guillermo del Toro"/>
    <s v="Chris Evans"/>
    <n v="2"/>
    <n v="123"/>
    <n v="257.7"/>
    <s v="Average"/>
    <s v="Normal"/>
    <s v="No"/>
    <s v="High"/>
    <n v="134.69999999999999"/>
    <n v="209.51219512195124"/>
  </r>
  <r>
    <s v="NFX-100527"/>
    <s v="Midnight Horizon"/>
    <s v="TV Show"/>
    <x v="7"/>
    <n v="2005"/>
    <x v="9"/>
    <s v="2019-09-29"/>
    <n v="43"/>
    <s v="PG"/>
    <n v="8.9"/>
    <n v="307.60000000000002"/>
    <s v="Spanish"/>
    <s v="Anurag Kashyap"/>
    <s v="Jennifer Lawrence"/>
    <n v="7"/>
    <n v="119"/>
    <n v="634.79999999999995"/>
    <s v="Hit"/>
    <s v="Popular"/>
    <s v="Yes"/>
    <s v="High"/>
    <n v="515.79999999999995"/>
    <n v="533.44537815126046"/>
  </r>
  <r>
    <s v="NFX-100528"/>
    <s v="Burning Frontier 6"/>
    <s v="TV Show"/>
    <x v="10"/>
    <n v="2022"/>
    <x v="6"/>
    <s v="2022-03-19"/>
    <n v="44"/>
    <s v="18+"/>
    <n v="6.3"/>
    <n v="106.4"/>
    <s v="German"/>
    <s v="Quentin Tarantino"/>
    <s v="Shah Rukh Khan"/>
    <n v="3"/>
    <n v="140"/>
    <n v="560.5"/>
    <s v="Average"/>
    <s v="Normal"/>
    <s v="No"/>
    <s v="High"/>
    <n v="420.5"/>
    <n v="400.35714285714289"/>
  </r>
  <r>
    <s v="NFX-100529"/>
    <s v="Fading Odyssey 1"/>
    <s v="TV Show"/>
    <x v="7"/>
    <n v="2017"/>
    <x v="3"/>
    <s v="2022-02-19"/>
    <n v="34"/>
    <s v="16+"/>
    <n v="9.1"/>
    <n v="323.60000000000002"/>
    <s v="French"/>
    <s v="Steven Spielberg"/>
    <s v="Timothée Chalamet"/>
    <n v="3"/>
    <n v="133"/>
    <n v="687"/>
    <s v="Hit"/>
    <s v="Popular"/>
    <s v="No"/>
    <s v="High"/>
    <n v="554"/>
    <n v="516.54135338345861"/>
  </r>
  <r>
    <s v="NFX-100530"/>
    <s v="Golden Odyssey 5"/>
    <s v="TV Show"/>
    <x v="7"/>
    <n v="2023"/>
    <x v="9"/>
    <s v="2024-10-06"/>
    <n v="42"/>
    <s v="PG-13"/>
    <n v="8.1999999999999993"/>
    <n v="171.4"/>
    <s v="German"/>
    <s v="Greta Gerwig"/>
    <s v="Ranbir Kapoor"/>
    <n v="4"/>
    <n v="131"/>
    <n v="814.7"/>
    <s v="Hit"/>
    <s v="Normal"/>
    <s v="No"/>
    <s v="High"/>
    <n v="683.7"/>
    <n v="621.90839694656495"/>
  </r>
  <r>
    <s v="NFX-100531"/>
    <s v="Secret Odyssey 5"/>
    <s v="TV Show"/>
    <x v="5"/>
    <n v="2014"/>
    <x v="9"/>
    <s v="2021-02-15"/>
    <n v="33"/>
    <s v="PG-13"/>
    <n v="6.4"/>
    <n v="182.5"/>
    <s v="Korean"/>
    <s v="James Cameron"/>
    <s v="Brad Pitt"/>
    <n v="7"/>
    <n v="24"/>
    <n v="49.3"/>
    <s v="Average"/>
    <s v="Normal"/>
    <s v="No"/>
    <s v="Low"/>
    <n v="25.299999999999997"/>
    <n v="205.41666666666666"/>
  </r>
  <r>
    <s v="NFX-100532"/>
    <s v="Dark Frontier 5"/>
    <s v="Movie"/>
    <x v="3"/>
    <n v="2017"/>
    <x v="3"/>
    <s v="2019-04-15"/>
    <n v="110"/>
    <s v="G"/>
    <n v="6.2"/>
    <n v="377.6"/>
    <s v="Hindi"/>
    <s v="Rajkumar Hirani"/>
    <s v="Chris Evans"/>
    <m/>
    <n v="169"/>
    <n v="560.29999999999995"/>
    <s v="Average"/>
    <s v="Popular"/>
    <s v="Yes"/>
    <s v="High"/>
    <n v="391.29999999999995"/>
    <n v="331.53846153846149"/>
  </r>
  <r>
    <s v="NFX-100533"/>
    <s v="Dark Signal 7"/>
    <s v="Movie"/>
    <x v="5"/>
    <n v="2000"/>
    <x v="6"/>
    <s v="2024-03-14"/>
    <n v="95"/>
    <s v="G"/>
    <n v="5.5"/>
    <n v="594.4"/>
    <s v="French"/>
    <s v="Martin Scorsese"/>
    <s v="Timothée Chalamet"/>
    <m/>
    <n v="16"/>
    <n v="97.9"/>
    <s v="Flop"/>
    <s v="Blockbuster"/>
    <s v="Yes"/>
    <s v="Low"/>
    <n v="81.900000000000006"/>
    <n v="611.875"/>
  </r>
  <r>
    <s v="NFX-100534"/>
    <s v="Golden Legacy 7"/>
    <s v="Movie"/>
    <x v="6"/>
    <n v="2001"/>
    <x v="6"/>
    <s v="2018-11-11"/>
    <n v="158"/>
    <s v="PG-13"/>
    <n v="6.5"/>
    <n v="482.7"/>
    <s v="English"/>
    <s v="Steven Spielberg"/>
    <s v="Lee Jung-jae"/>
    <m/>
    <n v="32"/>
    <n v="112.6"/>
    <s v="Average"/>
    <s v="Blockbuster"/>
    <s v="No"/>
    <s v="Low"/>
    <n v="80.599999999999994"/>
    <n v="351.875"/>
  </r>
  <r>
    <s v="NFX-100535"/>
    <s v="Silent Code 6"/>
    <s v="TV Show"/>
    <x v="3"/>
    <n v="2009"/>
    <x v="2"/>
    <s v="2020-10-02"/>
    <n v="52"/>
    <s v="PG-13"/>
    <n v="6.5"/>
    <n v="498.2"/>
    <s v="English"/>
    <s v="Rajkumar Hirani"/>
    <s v="Ryan Gosling"/>
    <n v="4"/>
    <n v="54"/>
    <n v="120.1"/>
    <s v="Average"/>
    <s v="Blockbuster"/>
    <s v="No"/>
    <s v="Low"/>
    <n v="66.099999999999994"/>
    <n v="222.40740740740739"/>
  </r>
  <r>
    <s v="NFX-100536"/>
    <s v="Hidden City 4"/>
    <s v="Movie"/>
    <x v="2"/>
    <n v="2015"/>
    <x v="5"/>
    <s v="2019-04-04"/>
    <n v="150"/>
    <s v="G"/>
    <n v="8.3000000000000007"/>
    <n v="562.6"/>
    <s v="Japanese"/>
    <s v="Christopher Nolan"/>
    <s v="Lee Jung-jae"/>
    <m/>
    <n v="146"/>
    <n v="687.7"/>
    <s v="Hit"/>
    <s v="Blockbuster"/>
    <s v="Yes"/>
    <s v="High"/>
    <n v="541.70000000000005"/>
    <n v="471.02739726027397"/>
  </r>
  <r>
    <s v="NFX-100537"/>
    <s v="Hidden Odyssey"/>
    <s v="Movie"/>
    <x v="4"/>
    <n v="2004"/>
    <x v="4"/>
    <s v="2023-05-11"/>
    <n v="105"/>
    <s v="18+"/>
    <n v="6.4"/>
    <n v="31.7"/>
    <s v="Japanese"/>
    <s v="Greta Gerwig"/>
    <s v="Deepika Padukone"/>
    <m/>
    <n v="124"/>
    <n v="209.2"/>
    <s v="Average"/>
    <s v="Normal"/>
    <s v="No"/>
    <s v="High"/>
    <n v="85.199999999999989"/>
    <n v="168.70967741935482"/>
  </r>
  <r>
    <s v="NFX-100538"/>
    <s v="Secret Echo 5"/>
    <s v="TV Show"/>
    <x v="7"/>
    <n v="2009"/>
    <x v="9"/>
    <s v="2022-01-12"/>
    <n v="50"/>
    <s v="16+"/>
    <n v="6.6"/>
    <n v="262.3"/>
    <s v="French"/>
    <s v="Quentin Tarantino"/>
    <s v="Brad Pitt"/>
    <n v="3"/>
    <n v="200"/>
    <n v="388.1"/>
    <s v="Average"/>
    <s v="Popular"/>
    <s v="No"/>
    <s v="High"/>
    <n v="188.10000000000002"/>
    <n v="194.05"/>
  </r>
  <r>
    <s v="NFX-100539"/>
    <s v="Broken Odyssey 6"/>
    <s v="Movie"/>
    <x v="2"/>
    <n v="2011"/>
    <x v="0"/>
    <s v="2018-02-18"/>
    <n v="155"/>
    <s v="PG"/>
    <n v="8.1999999999999993"/>
    <n v="283.5"/>
    <s v="French"/>
    <s v="Denis Villeneuve"/>
    <s v="Timothée Chalamet"/>
    <m/>
    <n v="149"/>
    <n v="510.9"/>
    <s v="Hit"/>
    <s v="Popular"/>
    <s v="Yes"/>
    <s v="High"/>
    <n v="361.9"/>
    <n v="342.88590604026842"/>
  </r>
  <r>
    <s v="NFX-100540"/>
    <s v="Broken Echo 1"/>
    <s v="Movie"/>
    <x v="0"/>
    <n v="2024"/>
    <x v="2"/>
    <s v="2024-10-29"/>
    <n v="173"/>
    <s v="PG"/>
    <n v="8.4"/>
    <n v="141.80000000000001"/>
    <s v="Spanish"/>
    <s v="Zoya Akhtar"/>
    <s v="Chris Evans"/>
    <m/>
    <n v="34"/>
    <n v="127.8"/>
    <s v="Hit"/>
    <s v="Normal"/>
    <s v="Yes"/>
    <s v="Low"/>
    <n v="93.8"/>
    <n v="375.88235294117646"/>
  </r>
  <r>
    <s v="NFX-100541"/>
    <s v="Shadow Empire 1"/>
    <s v="Movie"/>
    <x v="1"/>
    <n v="2022"/>
    <x v="9"/>
    <s v="2019-05-13"/>
    <n v="93"/>
    <s v="16+"/>
    <n v="8.3000000000000007"/>
    <n v="28.5"/>
    <s v="Spanish"/>
    <s v="Guillermo del Toro"/>
    <s v="Song Kang-ho"/>
    <m/>
    <n v="133"/>
    <n v="638.79999999999995"/>
    <s v="Hit"/>
    <s v="Normal"/>
    <s v="No"/>
    <s v="High"/>
    <n v="505.79999999999995"/>
    <n v="480.30075187969919"/>
  </r>
  <r>
    <s v="NFX-100542"/>
    <s v="Lost Chronicles 3"/>
    <s v="Movie"/>
    <x v="9"/>
    <n v="2007"/>
    <x v="1"/>
    <s v="2018-09-18"/>
    <n v="119"/>
    <s v="G"/>
    <n v="7.4"/>
    <n v="79.5"/>
    <s v="Japanese"/>
    <s v="Christopher Nolan"/>
    <s v="Emma Stone"/>
    <m/>
    <n v="85"/>
    <n v="259.89999999999998"/>
    <s v="Average"/>
    <s v="Normal"/>
    <s v="Yes"/>
    <s v="Low"/>
    <n v="174.89999999999998"/>
    <n v="305.76470588235287"/>
  </r>
  <r>
    <s v="NFX-100543"/>
    <s v="Golden Odyssey 7"/>
    <s v="TV Show"/>
    <x v="9"/>
    <n v="2012"/>
    <x v="8"/>
    <s v="2020-10-29"/>
    <n v="52"/>
    <s v="G"/>
    <n v="7.6"/>
    <n v="201.9"/>
    <s v="English"/>
    <s v="Sanjay Leela Bhansali"/>
    <s v="Timothée Chalamet"/>
    <n v="8"/>
    <n v="54"/>
    <n v="180.5"/>
    <s v="Average"/>
    <s v="Popular"/>
    <s v="Yes"/>
    <s v="Low"/>
    <n v="126.5"/>
    <n v="334.25925925925924"/>
  </r>
  <r>
    <s v="NFX-100544"/>
    <s v="Fading Odyssey 3"/>
    <s v="TV Show"/>
    <x v="0"/>
    <n v="2000"/>
    <x v="1"/>
    <s v="2022-01-27"/>
    <n v="52"/>
    <s v="G"/>
    <n v="8.1999999999999993"/>
    <n v="104.6"/>
    <s v="Hindi"/>
    <s v="Zoya Akhtar"/>
    <s v="Jennifer Lawrence"/>
    <n v="3"/>
    <n v="63"/>
    <n v="113.1"/>
    <s v="Hit"/>
    <s v="Normal"/>
    <s v="Yes"/>
    <s v="Low"/>
    <n v="50.099999999999994"/>
    <n v="179.52380952380952"/>
  </r>
  <r>
    <s v="NFX-100545"/>
    <s v="Dark Echo 2"/>
    <s v="Movie"/>
    <x v="10"/>
    <n v="2022"/>
    <x v="5"/>
    <s v="2024-02-10"/>
    <n v="138"/>
    <s v="PG-13"/>
    <n v="9.3000000000000007"/>
    <n v="326.8"/>
    <s v="Korean"/>
    <s v="Park Chan-wook"/>
    <s v="Shah Rukh Khan"/>
    <m/>
    <n v="149"/>
    <n v="482.7"/>
    <s v="Hit"/>
    <s v="Popular"/>
    <s v="No"/>
    <s v="High"/>
    <n v="333.7"/>
    <n v="323.95973154362412"/>
  </r>
  <r>
    <s v="NFX-100546"/>
    <s v="Silent Echo 9"/>
    <s v="TV Show"/>
    <x v="2"/>
    <n v="2020"/>
    <x v="0"/>
    <s v="2019-04-07"/>
    <n v="39"/>
    <s v="PG-13"/>
    <n v="5.2"/>
    <n v="580.4"/>
    <s v="Japanese"/>
    <s v="James Cameron"/>
    <s v="Deepika Padukone"/>
    <n v="6"/>
    <n v="101"/>
    <n v="140.6"/>
    <s v="Flop"/>
    <s v="Blockbuster"/>
    <s v="No"/>
    <s v="High"/>
    <n v="39.599999999999994"/>
    <n v="139.20792079207919"/>
  </r>
  <r>
    <s v="NFX-100547"/>
    <s v="Silent Storm 3"/>
    <s v="TV Show"/>
    <x v="9"/>
    <n v="2003"/>
    <x v="3"/>
    <s v="2018-11-26"/>
    <n v="60"/>
    <s v="G"/>
    <n v="5.8"/>
    <n v="318.5"/>
    <s v="Hindi"/>
    <s v="Bong Joon-ho"/>
    <s v="Brad Pitt"/>
    <n v="7"/>
    <n v="198"/>
    <n v="545.79999999999995"/>
    <s v="Flop"/>
    <s v="Popular"/>
    <s v="Yes"/>
    <s v="High"/>
    <n v="347.79999999999995"/>
    <n v="275.65656565656565"/>
  </r>
  <r>
    <s v="NFX-100548"/>
    <s v="Iron Legacy 6"/>
    <s v="Movie"/>
    <x v="0"/>
    <n v="2020"/>
    <x v="3"/>
    <s v="2018-01-17"/>
    <n v="169"/>
    <s v="16+"/>
    <n v="6.1"/>
    <n v="133.9"/>
    <s v="French"/>
    <s v="Anurag Kashyap"/>
    <s v="Robert Downey Jr."/>
    <m/>
    <n v="20"/>
    <n v="53.7"/>
    <s v="Average"/>
    <s v="Normal"/>
    <s v="No"/>
    <s v="Low"/>
    <n v="33.700000000000003"/>
    <n v="268.5"/>
  </r>
  <r>
    <s v="NFX-100549"/>
    <s v="Fading Horizon 8"/>
    <s v="Movie"/>
    <x v="9"/>
    <n v="2016"/>
    <x v="5"/>
    <s v="2021-01-01"/>
    <n v="152"/>
    <s v="16+"/>
    <n v="6.9"/>
    <n v="583"/>
    <s v="Hindi"/>
    <s v="Bong Joon-ho"/>
    <s v="Scarlett Johansson"/>
    <m/>
    <n v="11"/>
    <n v="42.6"/>
    <s v="Average"/>
    <s v="Blockbuster"/>
    <s v="No"/>
    <s v="Low"/>
    <n v="31.6"/>
    <n v="387.27272727272731"/>
  </r>
  <r>
    <s v="NFX-100550"/>
    <s v="Lost Code 1"/>
    <s v="TV Show"/>
    <x v="8"/>
    <n v="2018"/>
    <x v="8"/>
    <s v="2024-02-14"/>
    <n v="45"/>
    <s v="PG-13"/>
    <n v="7.5"/>
    <n v="226.2"/>
    <s v="French"/>
    <s v="Park Chan-wook"/>
    <s v="Ranbir Kapoor"/>
    <n v="5"/>
    <n v="86"/>
    <n v="224.6"/>
    <s v="Average"/>
    <s v="Popular"/>
    <s v="No"/>
    <s v="Low"/>
    <n v="138.6"/>
    <n v="261.16279069767444"/>
  </r>
  <r>
    <s v="NFX-100551"/>
    <s v="Broken Journey"/>
    <s v="Movie"/>
    <x v="5"/>
    <n v="2022"/>
    <x v="8"/>
    <s v="2020-06-27"/>
    <n v="174"/>
    <s v="PG"/>
    <n v="8.1999999999999993"/>
    <n v="564.4"/>
    <s v="Japanese"/>
    <s v="Christopher Nolan"/>
    <s v="Shah Rukh Khan"/>
    <m/>
    <n v="180"/>
    <n v="945.3"/>
    <s v="Hit"/>
    <s v="Blockbuster"/>
    <s v="Yes"/>
    <s v="High"/>
    <n v="765.3"/>
    <n v="525.16666666666663"/>
  </r>
  <r>
    <s v="NFX-100552"/>
    <s v="Lost Signal 2"/>
    <s v="Movie"/>
    <x v="5"/>
    <n v="2021"/>
    <x v="3"/>
    <s v="2018-06-23"/>
    <n v="91"/>
    <s v="PG"/>
    <n v="4.7"/>
    <n v="24.1"/>
    <s v="Japanese"/>
    <s v="James Cameron"/>
    <s v="Robert Downey Jr."/>
    <m/>
    <n v="65"/>
    <n v="355.9"/>
    <s v="Flop"/>
    <s v="Normal"/>
    <s v="Yes"/>
    <s v="Low"/>
    <n v="290.89999999999998"/>
    <n v="547.53846153846155"/>
  </r>
  <r>
    <s v="NFX-100553"/>
    <s v="Last Valley 5"/>
    <s v="TV Show"/>
    <x v="10"/>
    <n v="2021"/>
    <x v="0"/>
    <s v="2021-09-12"/>
    <n v="54"/>
    <s v="PG"/>
    <n v="5"/>
    <n v="458.1"/>
    <s v="Japanese"/>
    <s v="Greta Gerwig"/>
    <s v="Jennifer Lawrence"/>
    <n v="6"/>
    <n v="177"/>
    <n v="534.6"/>
    <s v="Flop"/>
    <s v="Blockbuster"/>
    <s v="Yes"/>
    <s v="High"/>
    <n v="357.6"/>
    <n v="302.03389830508473"/>
  </r>
  <r>
    <s v="NFX-100554"/>
    <s v="Shadow Signal"/>
    <s v="Movie"/>
    <x v="7"/>
    <n v="2023"/>
    <x v="7"/>
    <s v="2023-07-03"/>
    <n v="141"/>
    <s v="16+"/>
    <n v="6.5"/>
    <n v="580.20000000000005"/>
    <s v="Hindi"/>
    <s v="Rajkumar Hirani"/>
    <s v="Timothée Chalamet"/>
    <m/>
    <n v="14"/>
    <n v="60.5"/>
    <s v="Average"/>
    <s v="Blockbuster"/>
    <s v="No"/>
    <s v="Low"/>
    <n v="46.5"/>
    <n v="432.14285714285711"/>
  </r>
  <r>
    <s v="NFX-100555"/>
    <s v="Hidden Legacy 3"/>
    <s v="Movie"/>
    <x v="6"/>
    <n v="2022"/>
    <x v="7"/>
    <s v="2020-01-28"/>
    <n v="150"/>
    <s v="16+"/>
    <n v="5.5"/>
    <n v="258.2"/>
    <s v="Spanish"/>
    <s v="Sanjay Leela Bhansali"/>
    <s v="Song Kang-ho"/>
    <m/>
    <n v="181"/>
    <n v="772.3"/>
    <s v="Flop"/>
    <s v="Popular"/>
    <s v="No"/>
    <s v="High"/>
    <n v="591.29999999999995"/>
    <n v="426.68508287292815"/>
  </r>
  <r>
    <s v="NFX-100556"/>
    <s v="Burning Legacy 4"/>
    <s v="TV Show"/>
    <x v="1"/>
    <n v="2009"/>
    <x v="1"/>
    <s v="2019-10-14"/>
    <n v="30"/>
    <s v="16+"/>
    <n v="7.9"/>
    <n v="226.7"/>
    <s v="Spanish"/>
    <s v="James Cameron"/>
    <s v="Jennifer Lawrence"/>
    <n v="7"/>
    <n v="189"/>
    <n v="890.8"/>
    <s v="Average"/>
    <s v="Popular"/>
    <s v="No"/>
    <s v="High"/>
    <n v="701.8"/>
    <n v="471.32275132275129"/>
  </r>
  <r>
    <s v="NFX-100557"/>
    <s v="Broken Chronicles 3"/>
    <s v="Movie"/>
    <x v="2"/>
    <n v="2018"/>
    <x v="6"/>
    <s v="2020-12-23"/>
    <n v="165"/>
    <s v="G"/>
    <n v="7.2"/>
    <n v="589.6"/>
    <s v="English"/>
    <s v="Rajkumar Hirani"/>
    <s v="Ranbir Kapoor"/>
    <m/>
    <n v="77"/>
    <n v="111.4"/>
    <s v="Average"/>
    <s v="Blockbuster"/>
    <s v="Yes"/>
    <s v="Low"/>
    <n v="34.400000000000006"/>
    <n v="144.6753246753247"/>
  </r>
  <r>
    <s v="NFX-100558"/>
    <s v="Silent Frontier 7"/>
    <s v="TV Show"/>
    <x v="7"/>
    <n v="2004"/>
    <x v="6"/>
    <s v="2018-03-27"/>
    <n v="50"/>
    <s v="PG-13"/>
    <n v="5.6"/>
    <n v="15.7"/>
    <s v="Japanese"/>
    <s v="Anurag Kashyap"/>
    <s v="Ryan Gosling"/>
    <n v="4"/>
    <n v="8"/>
    <n v="48.7"/>
    <s v="Flop"/>
    <s v="Normal"/>
    <s v="No"/>
    <s v="Low"/>
    <n v="40.700000000000003"/>
    <n v="608.75"/>
  </r>
  <r>
    <s v="NFX-100559"/>
    <s v="Broken Frontier 9"/>
    <s v="Movie"/>
    <x v="7"/>
    <n v="2016"/>
    <x v="2"/>
    <s v="2024-03-05"/>
    <n v="92"/>
    <s v="PG-13"/>
    <n v="8.6"/>
    <n v="407.3"/>
    <s v="German"/>
    <s v="Rajkumar Hirani"/>
    <s v="Leonardo DiCaprio"/>
    <m/>
    <n v="22"/>
    <n v="59"/>
    <s v="Hit"/>
    <s v="Blockbuster"/>
    <s v="No"/>
    <s v="Low"/>
    <n v="37"/>
    <n v="268.18181818181819"/>
  </r>
  <r>
    <s v="NFX-100560"/>
    <s v="Dark Empire 5"/>
    <s v="TV Show"/>
    <x v="8"/>
    <n v="2011"/>
    <x v="6"/>
    <s v="2020-03-24"/>
    <n v="35"/>
    <s v="PG-13"/>
    <n v="9.1"/>
    <n v="499.7"/>
    <s v="Spanish"/>
    <s v="Greta Gerwig"/>
    <s v="Brad Pitt"/>
    <n v="1"/>
    <n v="47"/>
    <n v="155.9"/>
    <s v="Hit"/>
    <s v="Blockbuster"/>
    <s v="No"/>
    <s v="Low"/>
    <n v="108.9"/>
    <n v="331.7021276595745"/>
  </r>
  <r>
    <s v="NFX-100561"/>
    <s v="Silent Archive"/>
    <s v="TV Show"/>
    <x v="8"/>
    <n v="2022"/>
    <x v="8"/>
    <s v="2023-11-15"/>
    <n v="52"/>
    <s v="PG-13"/>
    <n v="7.5"/>
    <n v="591.79999999999995"/>
    <s v="German"/>
    <s v="Park Chan-wook"/>
    <s v="Tom Hardy"/>
    <n v="5"/>
    <n v="123"/>
    <n v="560.5"/>
    <s v="Average"/>
    <s v="Blockbuster"/>
    <s v="No"/>
    <s v="High"/>
    <n v="437.5"/>
    <n v="455.6910569105691"/>
  </r>
  <r>
    <s v="NFX-100562"/>
    <s v="Secret Empire 9"/>
    <s v="Movie"/>
    <x v="6"/>
    <n v="2017"/>
    <x v="3"/>
    <s v="2024-03-16"/>
    <n v="151"/>
    <s v="16+"/>
    <n v="8.4"/>
    <n v="275"/>
    <s v="German"/>
    <s v="Greta Gerwig"/>
    <s v="Shah Rukh Khan"/>
    <m/>
    <n v="163"/>
    <n v="321.60000000000002"/>
    <s v="Hit"/>
    <s v="Popular"/>
    <s v="No"/>
    <s v="High"/>
    <n v="158.60000000000002"/>
    <n v="197.30061349693253"/>
  </r>
  <r>
    <s v="NFX-100563"/>
    <s v="Iron Valley"/>
    <s v="TV Show"/>
    <x v="3"/>
    <n v="2021"/>
    <x v="7"/>
    <s v="2018-01-09"/>
    <n v="53"/>
    <s v="G"/>
    <n v="7.3"/>
    <n v="333.3"/>
    <s v="English"/>
    <s v="Denis Villeneuve"/>
    <s v="Chris Evans"/>
    <n v="2"/>
    <n v="56"/>
    <n v="94.2"/>
    <s v="Average"/>
    <s v="Popular"/>
    <s v="Yes"/>
    <s v="Low"/>
    <n v="38.200000000000003"/>
    <n v="168.21428571428572"/>
  </r>
  <r>
    <s v="NFX-100564"/>
    <s v="Dark Journey"/>
    <s v="Movie"/>
    <x v="4"/>
    <n v="2011"/>
    <x v="0"/>
    <s v="2019-04-30"/>
    <n v="162"/>
    <s v="PG"/>
    <n v="5"/>
    <n v="241.4"/>
    <s v="Hindi"/>
    <s v="Christopher Nolan"/>
    <s v="Leonardo DiCaprio"/>
    <m/>
    <n v="141"/>
    <n v="476.1"/>
    <s v="Flop"/>
    <s v="Popular"/>
    <s v="Yes"/>
    <s v="High"/>
    <n v="335.1"/>
    <n v="337.65957446808511"/>
  </r>
  <r>
    <s v="NFX-100565"/>
    <s v="Iron Echo 4"/>
    <s v="Movie"/>
    <x v="5"/>
    <n v="2007"/>
    <x v="8"/>
    <s v="2023-10-15"/>
    <n v="164"/>
    <s v="G"/>
    <n v="8.6999999999999993"/>
    <n v="34.9"/>
    <s v="Spanish"/>
    <s v="Denis Villeneuve"/>
    <s v="Emma Stone"/>
    <m/>
    <n v="32"/>
    <n v="56.1"/>
    <s v="Hit"/>
    <s v="Normal"/>
    <s v="Yes"/>
    <s v="Low"/>
    <n v="24.1"/>
    <n v="175.3125"/>
  </r>
  <r>
    <s v="NFX-100566"/>
    <s v="Golden Chronicles"/>
    <s v="TV Show"/>
    <x v="10"/>
    <n v="2015"/>
    <x v="5"/>
    <s v="2019-12-31"/>
    <n v="36"/>
    <s v="G"/>
    <n v="6.4"/>
    <n v="589"/>
    <s v="Spanish"/>
    <s v="Martin Scorsese"/>
    <s v="Song Kang-ho"/>
    <n v="2"/>
    <n v="162"/>
    <n v="305.7"/>
    <s v="Average"/>
    <s v="Blockbuster"/>
    <s v="Yes"/>
    <s v="High"/>
    <n v="143.69999999999999"/>
    <n v="188.7037037037037"/>
  </r>
  <r>
    <s v="NFX-100567"/>
    <s v="Iron Journey"/>
    <s v="TV Show"/>
    <x v="6"/>
    <n v="2025"/>
    <x v="1"/>
    <s v="2023-12-30"/>
    <n v="52"/>
    <s v="16+"/>
    <n v="8.8000000000000007"/>
    <n v="492.6"/>
    <s v="French"/>
    <s v="Denis Villeneuve"/>
    <s v="Jennifer Lawrence"/>
    <n v="4"/>
    <n v="66"/>
    <n v="209"/>
    <s v="Hit"/>
    <s v="Blockbuster"/>
    <s v="No"/>
    <s v="Low"/>
    <n v="143"/>
    <n v="316.66666666666663"/>
  </r>
  <r>
    <s v="NFX-100568"/>
    <s v="Burning Code 7"/>
    <s v="TV Show"/>
    <x v="4"/>
    <n v="2002"/>
    <x v="6"/>
    <s v="2019-04-15"/>
    <n v="44"/>
    <s v="18+"/>
    <n v="5.0999999999999996"/>
    <n v="199.4"/>
    <s v="English"/>
    <s v="Christopher Nolan"/>
    <s v="Timothée Chalamet"/>
    <n v="7"/>
    <n v="6"/>
    <n v="23.1"/>
    <s v="Flop"/>
    <s v="Normal"/>
    <s v="No"/>
    <s v="Low"/>
    <n v="17.100000000000001"/>
    <n v="385"/>
  </r>
  <r>
    <s v="NFX-100569"/>
    <s v="Last Valley 7"/>
    <s v="Movie"/>
    <x v="8"/>
    <n v="2011"/>
    <x v="1"/>
    <s v="2023-09-17"/>
    <n v="146"/>
    <s v="PG"/>
    <n v="8.4"/>
    <n v="65"/>
    <s v="French"/>
    <s v="Quentin Tarantino"/>
    <s v="Jennifer Lawrence"/>
    <m/>
    <n v="120"/>
    <n v="525.29999999999995"/>
    <s v="Hit"/>
    <s v="Normal"/>
    <s v="Yes"/>
    <s v="High"/>
    <n v="405.29999999999995"/>
    <n v="437.74999999999994"/>
  </r>
  <r>
    <s v="NFX-100570"/>
    <s v="Silent Signal"/>
    <s v="TV Show"/>
    <x v="6"/>
    <n v="2017"/>
    <x v="1"/>
    <s v="2022-09-21"/>
    <n v="56"/>
    <s v="G"/>
    <n v="5.2"/>
    <n v="34.9"/>
    <s v="Korean"/>
    <s v="Sanjay Leela Bhansali"/>
    <s v="Timothée Chalamet"/>
    <n v="5"/>
    <n v="100"/>
    <n v="347.9"/>
    <s v="Flop"/>
    <s v="Normal"/>
    <s v="Yes"/>
    <s v="High"/>
    <n v="247.89999999999998"/>
    <n v="347.9"/>
  </r>
  <r>
    <s v="NFX-100571"/>
    <s v="Last Legacy 1"/>
    <s v="TV Show"/>
    <x v="1"/>
    <n v="2020"/>
    <x v="8"/>
    <s v="2023-10-20"/>
    <n v="53"/>
    <s v="PG"/>
    <n v="7.6"/>
    <n v="557.1"/>
    <s v="Korean"/>
    <s v="Anurag Kashyap"/>
    <s v="Ranbir Kapoor"/>
    <n v="8"/>
    <n v="164"/>
    <n v="947.6"/>
    <s v="Average"/>
    <s v="Blockbuster"/>
    <s v="Yes"/>
    <s v="High"/>
    <n v="783.6"/>
    <n v="577.80487804878055"/>
  </r>
  <r>
    <s v="NFX-100572"/>
    <s v="Lost Journey 8"/>
    <s v="Movie"/>
    <x v="3"/>
    <n v="2024"/>
    <x v="5"/>
    <s v="2018-10-14"/>
    <n v="81"/>
    <s v="PG-13"/>
    <n v="8.9"/>
    <n v="357.8"/>
    <s v="Korean"/>
    <s v="James Cameron"/>
    <s v="Leonardo DiCaprio"/>
    <m/>
    <n v="100"/>
    <n v="220.5"/>
    <s v="Hit"/>
    <s v="Popular"/>
    <s v="No"/>
    <s v="High"/>
    <n v="120.5"/>
    <n v="220.5"/>
  </r>
  <r>
    <s v="NFX-100573"/>
    <s v="Dark Empire 6"/>
    <s v="TV Show"/>
    <x v="6"/>
    <n v="2015"/>
    <x v="8"/>
    <s v="2020-06-23"/>
    <n v="54"/>
    <s v="18+"/>
    <n v="7"/>
    <n v="530.6"/>
    <s v="Japanese"/>
    <s v="Guillermo del Toro"/>
    <s v="Jennifer Lawrence"/>
    <n v="5"/>
    <n v="127"/>
    <n v="480.5"/>
    <s v="Average"/>
    <s v="Blockbuster"/>
    <s v="No"/>
    <s v="High"/>
    <n v="353.5"/>
    <n v="378.34645669291336"/>
  </r>
  <r>
    <s v="NFX-100574"/>
    <s v="Last Storm 2"/>
    <s v="Movie"/>
    <x v="0"/>
    <n v="2020"/>
    <x v="2"/>
    <s v="2024-10-18"/>
    <n v="103"/>
    <s v="PG"/>
    <n v="7.6"/>
    <n v="531.20000000000005"/>
    <s v="Korean"/>
    <s v="Anurag Kashyap"/>
    <s v="Jennifer Lawrence"/>
    <m/>
    <n v="159"/>
    <n v="931.8"/>
    <s v="Average"/>
    <s v="Blockbuster"/>
    <s v="Yes"/>
    <s v="High"/>
    <n v="772.8"/>
    <n v="586.03773584905662"/>
  </r>
  <r>
    <s v="NFX-100575"/>
    <s v="Broken Echo 9"/>
    <s v="Movie"/>
    <x v="8"/>
    <n v="2008"/>
    <x v="5"/>
    <s v="2024-01-11"/>
    <n v="94"/>
    <s v="PG"/>
    <n v="7.7"/>
    <n v="401.5"/>
    <s v="Japanese"/>
    <s v="Sanjay Leela Bhansali"/>
    <s v="Lee Jung-jae"/>
    <m/>
    <n v="170"/>
    <n v="524.9"/>
    <s v="Average"/>
    <s v="Blockbuster"/>
    <s v="Yes"/>
    <s v="High"/>
    <n v="354.9"/>
    <n v="308.76470588235293"/>
  </r>
  <r>
    <s v="NFX-100576"/>
    <s v="Last Valley 6"/>
    <s v="TV Show"/>
    <x v="2"/>
    <n v="2003"/>
    <x v="0"/>
    <s v="2022-09-18"/>
    <n v="32"/>
    <s v="PG"/>
    <n v="8.6"/>
    <n v="168.8"/>
    <s v="Japanese"/>
    <s v="Zoya Akhtar"/>
    <s v="Ryan Gosling"/>
    <n v="4"/>
    <n v="158"/>
    <n v="515"/>
    <s v="Hit"/>
    <s v="Normal"/>
    <s v="Yes"/>
    <s v="High"/>
    <n v="357"/>
    <n v="325.94936708860757"/>
  </r>
  <r>
    <s v="NFX-100577"/>
    <s v="Silent Legacy 9"/>
    <s v="TV Show"/>
    <x v="0"/>
    <n v="2008"/>
    <x v="1"/>
    <s v="2019-09-01"/>
    <n v="41"/>
    <s v="G"/>
    <n v="9.1999999999999993"/>
    <n v="173.1"/>
    <s v="French"/>
    <s v="Sanjay Leela Bhansali"/>
    <s v="Chris Evans"/>
    <n v="3"/>
    <n v="76"/>
    <n v="214.7"/>
    <s v="Hit"/>
    <s v="Normal"/>
    <s v="Yes"/>
    <s v="Low"/>
    <n v="138.69999999999999"/>
    <n v="282.5"/>
  </r>
  <r>
    <s v="NFX-100578"/>
    <s v="Last Signal"/>
    <s v="Movie"/>
    <x v="2"/>
    <n v="2019"/>
    <x v="9"/>
    <s v="2021-12-25"/>
    <n v="154"/>
    <s v="PG-13"/>
    <n v="6.5"/>
    <n v="58"/>
    <s v="French"/>
    <s v="Greta Gerwig"/>
    <s v="Deepika Padukone"/>
    <m/>
    <n v="130"/>
    <n v="825.5"/>
    <s v="Average"/>
    <s v="Normal"/>
    <s v="No"/>
    <s v="High"/>
    <n v="695.5"/>
    <n v="635"/>
  </r>
  <r>
    <s v="NFX-100579"/>
    <s v="Lost Legacy"/>
    <s v="TV Show"/>
    <x v="8"/>
    <n v="2013"/>
    <x v="2"/>
    <s v="2024-05-09"/>
    <n v="31"/>
    <s v="PG-13"/>
    <n v="5.4"/>
    <n v="109.8"/>
    <s v="Japanese"/>
    <s v="James Cameron"/>
    <s v="Deepika Padukone"/>
    <n v="1"/>
    <n v="131"/>
    <n v="602.9"/>
    <s v="Flop"/>
    <s v="Normal"/>
    <s v="No"/>
    <s v="High"/>
    <n v="471.9"/>
    <n v="460.2290076335878"/>
  </r>
  <r>
    <s v="NFX-100580"/>
    <s v="Secret Empire 6"/>
    <s v="Movie"/>
    <x v="7"/>
    <n v="2024"/>
    <x v="6"/>
    <s v="2023-10-16"/>
    <n v="123"/>
    <s v="PG"/>
    <n v="5.6"/>
    <n v="430"/>
    <s v="Japanese"/>
    <s v="Bong Joon-ho"/>
    <s v="Ranbir Kapoor"/>
    <m/>
    <n v="5"/>
    <n v="29.4"/>
    <s v="Flop"/>
    <s v="Blockbuster"/>
    <s v="Yes"/>
    <s v="Low"/>
    <n v="24.4"/>
    <n v="588"/>
  </r>
  <r>
    <s v="NFX-100581"/>
    <s v="Shadow Echo"/>
    <s v="Movie"/>
    <x v="2"/>
    <n v="2024"/>
    <x v="0"/>
    <s v="2020-05-05"/>
    <n v="161"/>
    <s v="16+"/>
    <n v="9.3000000000000007"/>
    <n v="282.5"/>
    <s v="English"/>
    <s v="Anurag Kashyap"/>
    <s v="Lee Jung-jae"/>
    <m/>
    <n v="17"/>
    <n v="21.2"/>
    <s v="Hit"/>
    <s v="Popular"/>
    <s v="No"/>
    <s v="Low"/>
    <n v="4.1999999999999993"/>
    <n v="124.70588235294117"/>
  </r>
  <r>
    <s v="NFX-100582"/>
    <s v="Shadow Chronicles 3"/>
    <s v="Movie"/>
    <x v="6"/>
    <n v="2024"/>
    <x v="5"/>
    <s v="2024-07-12"/>
    <n v="172"/>
    <s v="G"/>
    <n v="5.5"/>
    <n v="554.4"/>
    <s v="Korean"/>
    <s v="Sanjay Leela Bhansali"/>
    <s v="Song Kang-ho"/>
    <m/>
    <n v="32"/>
    <n v="61.7"/>
    <s v="Flop"/>
    <s v="Blockbuster"/>
    <s v="Yes"/>
    <s v="Low"/>
    <n v="29.700000000000003"/>
    <n v="192.8125"/>
  </r>
  <r>
    <s v="NFX-100583"/>
    <s v="Hidden Chronicles"/>
    <s v="TV Show"/>
    <x v="7"/>
    <n v="2010"/>
    <x v="6"/>
    <s v="2021-11-30"/>
    <n v="59"/>
    <s v="18+"/>
    <n v="5.7"/>
    <n v="172"/>
    <s v="English"/>
    <s v="Guillermo del Toro"/>
    <s v="Lee Jung-jae"/>
    <n v="1"/>
    <n v="81"/>
    <n v="406"/>
    <s v="Flop"/>
    <s v="Normal"/>
    <s v="No"/>
    <s v="Low"/>
    <n v="325"/>
    <n v="501.23456790123458"/>
  </r>
  <r>
    <s v="NFX-100584"/>
    <s v="Rising Chronicles 4"/>
    <s v="Movie"/>
    <x v="10"/>
    <n v="2006"/>
    <x v="4"/>
    <s v="2020-11-13"/>
    <n v="104"/>
    <s v="PG-13"/>
    <n v="4.7"/>
    <n v="275.5"/>
    <s v="Japanese"/>
    <s v="Christopher Nolan"/>
    <s v="Brad Pitt"/>
    <m/>
    <n v="82"/>
    <n v="324"/>
    <s v="Flop"/>
    <s v="Popular"/>
    <s v="No"/>
    <s v="Low"/>
    <n v="242"/>
    <n v="395.1219512195122"/>
  </r>
  <r>
    <s v="NFX-100585"/>
    <s v="Rising Archive 5"/>
    <s v="Movie"/>
    <x v="4"/>
    <n v="2007"/>
    <x v="7"/>
    <s v="2021-12-05"/>
    <n v="163"/>
    <s v="PG"/>
    <n v="5.0999999999999996"/>
    <n v="500.3"/>
    <s v="Japanese"/>
    <s v="Quentin Tarantino"/>
    <s v="Jennifer Lawrence"/>
    <m/>
    <n v="108"/>
    <n v="406.4"/>
    <s v="Flop"/>
    <s v="Blockbuster"/>
    <s v="Yes"/>
    <s v="High"/>
    <n v="298.39999999999998"/>
    <n v="376.29629629629625"/>
  </r>
  <r>
    <s v="NFX-100586"/>
    <s v="Lost Legacy 6"/>
    <s v="TV Show"/>
    <x v="2"/>
    <n v="2015"/>
    <x v="3"/>
    <s v="2024-03-31"/>
    <n v="55"/>
    <s v="18+"/>
    <n v="4.5999999999999996"/>
    <n v="527.4"/>
    <s v="French"/>
    <s v="Guillermo del Toro"/>
    <s v="Shah Rukh Khan"/>
    <n v="3"/>
    <n v="174"/>
    <n v="852.8"/>
    <s v="Flop"/>
    <s v="Blockbuster"/>
    <s v="No"/>
    <s v="High"/>
    <n v="678.8"/>
    <n v="490.11494252873558"/>
  </r>
  <r>
    <s v="NFX-100587"/>
    <s v="Midnight Legacy 7"/>
    <s v="TV Show"/>
    <x v="0"/>
    <n v="2022"/>
    <x v="2"/>
    <s v="2021-05-27"/>
    <n v="43"/>
    <s v="PG-13"/>
    <n v="5.7"/>
    <n v="116.3"/>
    <s v="Spanish"/>
    <s v="Park Chan-wook"/>
    <s v="Lee Jung-jae"/>
    <n v="8"/>
    <n v="5"/>
    <n v="8.4"/>
    <s v="Flop"/>
    <s v="Normal"/>
    <s v="No"/>
    <s v="Low"/>
    <n v="3.4000000000000004"/>
    <n v="168.00000000000003"/>
  </r>
  <r>
    <s v="NFX-100588"/>
    <s v="Broken Legacy 8"/>
    <s v="TV Show"/>
    <x v="7"/>
    <n v="2000"/>
    <x v="4"/>
    <s v="2020-01-31"/>
    <n v="41"/>
    <s v="16+"/>
    <n v="6.2"/>
    <n v="64.8"/>
    <s v="Hindi"/>
    <s v="Park Chan-wook"/>
    <s v="Ryan Gosling"/>
    <n v="8"/>
    <n v="39"/>
    <n v="197.9"/>
    <s v="Average"/>
    <s v="Normal"/>
    <s v="No"/>
    <s v="Low"/>
    <n v="158.9"/>
    <n v="507.4358974358974"/>
  </r>
  <r>
    <s v="NFX-100589"/>
    <s v="Silent Storm 2"/>
    <s v="Movie"/>
    <x v="1"/>
    <n v="2021"/>
    <x v="1"/>
    <s v="2022-08-23"/>
    <n v="129"/>
    <s v="18+"/>
    <n v="8.5"/>
    <n v="354.8"/>
    <s v="Spanish"/>
    <s v="Christopher Nolan"/>
    <s v="Chris Evans"/>
    <m/>
    <n v="64"/>
    <n v="250.6"/>
    <s v="Hit"/>
    <s v="Popular"/>
    <s v="No"/>
    <s v="Low"/>
    <n v="186.6"/>
    <n v="391.5625"/>
  </r>
  <r>
    <s v="NFX-100590"/>
    <s v="Last Horizon 9"/>
    <s v="TV Show"/>
    <x v="4"/>
    <n v="2021"/>
    <x v="3"/>
    <s v="2022-10-11"/>
    <n v="41"/>
    <s v="PG"/>
    <n v="5.6"/>
    <n v="518.1"/>
    <s v="English"/>
    <s v="Greta Gerwig"/>
    <s v="Deepika Padukone"/>
    <n v="2"/>
    <n v="30"/>
    <n v="72.5"/>
    <s v="Flop"/>
    <s v="Blockbuster"/>
    <s v="Yes"/>
    <s v="Low"/>
    <n v="42.5"/>
    <n v="241.66666666666666"/>
  </r>
  <r>
    <s v="NFX-100591"/>
    <s v="Silent Code 4"/>
    <s v="TV Show"/>
    <x v="7"/>
    <n v="2005"/>
    <x v="2"/>
    <s v="2023-04-06"/>
    <n v="42"/>
    <s v="G"/>
    <n v="5.7"/>
    <n v="26"/>
    <s v="English"/>
    <s v="Ridley Scott"/>
    <s v="Brad Pitt"/>
    <n v="7"/>
    <n v="64"/>
    <n v="274.8"/>
    <s v="Flop"/>
    <s v="Normal"/>
    <s v="Yes"/>
    <s v="Low"/>
    <n v="210.8"/>
    <n v="429.375"/>
  </r>
  <r>
    <s v="NFX-100592"/>
    <s v="Lost Legacy 5"/>
    <s v="TV Show"/>
    <x v="10"/>
    <n v="2011"/>
    <x v="1"/>
    <s v="2022-07-10"/>
    <n v="57"/>
    <s v="PG"/>
    <n v="7.7"/>
    <n v="158.1"/>
    <s v="Hindi"/>
    <s v="Ridley Scott"/>
    <s v="Ranbir Kapoor"/>
    <n v="5"/>
    <n v="200"/>
    <n v="779.5"/>
    <s v="Average"/>
    <s v="Normal"/>
    <s v="Yes"/>
    <s v="High"/>
    <n v="579.5"/>
    <n v="389.75"/>
  </r>
  <r>
    <s v="NFX-100593"/>
    <s v="Crystal Code 3"/>
    <s v="Movie"/>
    <x v="10"/>
    <n v="2024"/>
    <x v="5"/>
    <s v="2020-03-19"/>
    <n v="121"/>
    <s v="18+"/>
    <n v="6.2"/>
    <n v="204.6"/>
    <s v="French"/>
    <s v="Quentin Tarantino"/>
    <s v="Chris Evans"/>
    <m/>
    <n v="108"/>
    <n v="217"/>
    <s v="Average"/>
    <s v="Popular"/>
    <s v="No"/>
    <s v="High"/>
    <n v="109"/>
    <n v="200.9259259259259"/>
  </r>
  <r>
    <s v="NFX-100594"/>
    <s v="Rising Code 5"/>
    <s v="Movie"/>
    <x v="2"/>
    <n v="2005"/>
    <x v="2"/>
    <s v="2023-06-28"/>
    <n v="170"/>
    <s v="16+"/>
    <n v="6.2"/>
    <n v="314.60000000000002"/>
    <s v="French"/>
    <s v="Rajkumar Hirani"/>
    <s v="Brad Pitt"/>
    <m/>
    <n v="58"/>
    <n v="106.5"/>
    <s v="Average"/>
    <s v="Popular"/>
    <s v="No"/>
    <s v="Low"/>
    <n v="48.5"/>
    <n v="183.62068965517241"/>
  </r>
  <r>
    <s v="NFX-100595"/>
    <s v="Golden Frontier"/>
    <s v="Movie"/>
    <x v="1"/>
    <n v="2011"/>
    <x v="0"/>
    <s v="2021-07-24"/>
    <n v="155"/>
    <s v="18+"/>
    <n v="9.3000000000000007"/>
    <n v="303.8"/>
    <s v="Spanish"/>
    <s v="Sanjay Leela Bhansali"/>
    <s v="Robert Downey Jr."/>
    <m/>
    <n v="81"/>
    <n v="403"/>
    <s v="Hit"/>
    <s v="Popular"/>
    <s v="No"/>
    <s v="Low"/>
    <n v="322"/>
    <n v="497.53086419753083"/>
  </r>
  <r>
    <s v="NFX-100596"/>
    <s v="Last Odyssey 7"/>
    <s v="Movie"/>
    <x v="2"/>
    <n v="2014"/>
    <x v="3"/>
    <s v="2024-04-19"/>
    <n v="176"/>
    <s v="16+"/>
    <n v="7.7"/>
    <n v="455.2"/>
    <s v="Hindi"/>
    <s v="Bong Joon-ho"/>
    <s v="Emma Stone"/>
    <m/>
    <n v="100"/>
    <n v="304.89999999999998"/>
    <s v="Average"/>
    <s v="Blockbuster"/>
    <s v="No"/>
    <s v="High"/>
    <n v="204.89999999999998"/>
    <n v="304.89999999999998"/>
  </r>
  <r>
    <s v="NFX-100597"/>
    <s v="Dark Archive 3"/>
    <s v="Movie"/>
    <x v="6"/>
    <n v="2020"/>
    <x v="0"/>
    <s v="2020-05-12"/>
    <n v="143"/>
    <s v="PG"/>
    <n v="6.8"/>
    <n v="168.6"/>
    <s v="Japanese"/>
    <s v="Steven Spielberg"/>
    <s v="Robert Downey Jr."/>
    <m/>
    <n v="192"/>
    <n v="855.9"/>
    <s v="Average"/>
    <s v="Normal"/>
    <s v="Yes"/>
    <s v="High"/>
    <n v="663.9"/>
    <n v="445.78125"/>
  </r>
  <r>
    <s v="NFX-100598"/>
    <s v="Iron City 9"/>
    <s v="Movie"/>
    <x v="9"/>
    <n v="2007"/>
    <x v="1"/>
    <s v="2021-10-11"/>
    <n v="180"/>
    <s v="G"/>
    <n v="5.5"/>
    <n v="348.8"/>
    <s v="Hindi"/>
    <s v="Bong Joon-ho"/>
    <s v="Ranbir Kapoor"/>
    <m/>
    <n v="22"/>
    <n v="28.5"/>
    <s v="Flop"/>
    <s v="Popular"/>
    <s v="Yes"/>
    <s v="Low"/>
    <n v="6.5"/>
    <n v="129.54545454545453"/>
  </r>
  <r>
    <s v="NFX-100599"/>
    <s v="Lost Archive 6"/>
    <s v="Movie"/>
    <x v="2"/>
    <n v="2012"/>
    <x v="0"/>
    <s v="2023-11-05"/>
    <n v="114"/>
    <s v="18+"/>
    <n v="7.3"/>
    <n v="484.7"/>
    <s v="Spanish"/>
    <s v="Steven Spielberg"/>
    <s v="Brad Pitt"/>
    <m/>
    <n v="144"/>
    <n v="189.3"/>
    <s v="Average"/>
    <s v="Blockbuster"/>
    <s v="No"/>
    <s v="High"/>
    <n v="45.300000000000011"/>
    <n v="131.45833333333334"/>
  </r>
  <r>
    <s v="NFX-100600"/>
    <s v="Lost Protocol 3"/>
    <s v="Movie"/>
    <x v="4"/>
    <n v="2017"/>
    <x v="8"/>
    <s v="2021-06-13"/>
    <n v="148"/>
    <s v="18+"/>
    <n v="8.3000000000000007"/>
    <n v="473.7"/>
    <s v="Spanish"/>
    <s v="Martin Scorsese"/>
    <s v="Brad Pitt"/>
    <m/>
    <n v="43"/>
    <n v="133.69999999999999"/>
    <s v="Hit"/>
    <s v="Blockbuster"/>
    <s v="No"/>
    <s v="Low"/>
    <n v="90.699999999999989"/>
    <n v="310.93023255813949"/>
  </r>
  <r>
    <s v="NFX-100601"/>
    <s v="Lost Journey 1"/>
    <s v="Movie"/>
    <x v="9"/>
    <n v="2021"/>
    <x v="7"/>
    <s v="2021-02-16"/>
    <n v="129"/>
    <s v="G"/>
    <n v="6.9"/>
    <n v="589.4"/>
    <s v="French"/>
    <s v="Greta Gerwig"/>
    <s v="Leonardo DiCaprio"/>
    <m/>
    <n v="12"/>
    <n v="27.5"/>
    <s v="Average"/>
    <s v="Blockbuster"/>
    <s v="Yes"/>
    <s v="Low"/>
    <n v="15.5"/>
    <n v="229.16666666666666"/>
  </r>
  <r>
    <s v="NFX-100602"/>
    <s v="Midnight Storm"/>
    <s v="Movie"/>
    <x v="5"/>
    <n v="2014"/>
    <x v="7"/>
    <s v="2019-10-24"/>
    <n v="105"/>
    <s v="PG-13"/>
    <n v="7.8"/>
    <n v="222.3"/>
    <s v="English"/>
    <s v="Anurag Kashyap"/>
    <s v="Jennifer Lawrence"/>
    <m/>
    <n v="99"/>
    <n v="277"/>
    <s v="Average"/>
    <s v="Popular"/>
    <s v="No"/>
    <s v="Low"/>
    <n v="178"/>
    <n v="279.79797979797979"/>
  </r>
  <r>
    <s v="NFX-100603"/>
    <s v="Rising City 7"/>
    <s v="TV Show"/>
    <x v="2"/>
    <n v="2024"/>
    <x v="0"/>
    <s v="2020-11-18"/>
    <n v="33"/>
    <s v="PG-13"/>
    <n v="6.2"/>
    <n v="503"/>
    <s v="Korean"/>
    <s v="Bong Joon-ho"/>
    <s v="Deepika Padukone"/>
    <n v="4"/>
    <n v="101"/>
    <n v="214.1"/>
    <s v="Average"/>
    <s v="Blockbuster"/>
    <s v="No"/>
    <s v="High"/>
    <n v="113.1"/>
    <n v="211.980198019802"/>
  </r>
  <r>
    <s v="NFX-100604"/>
    <s v="Rising Frontier 8"/>
    <s v="TV Show"/>
    <x v="10"/>
    <n v="2004"/>
    <x v="2"/>
    <s v="2021-09-18"/>
    <n v="41"/>
    <s v="16+"/>
    <n v="8"/>
    <n v="187"/>
    <s v="German"/>
    <s v="Steven Spielberg"/>
    <s v="Timothée Chalamet"/>
    <n v="4"/>
    <n v="94"/>
    <n v="133.6"/>
    <s v="Hit"/>
    <s v="Normal"/>
    <s v="No"/>
    <s v="Low"/>
    <n v="39.599999999999994"/>
    <n v="142.12765957446805"/>
  </r>
  <r>
    <s v="NFX-100605"/>
    <s v="Crystal Signal 4"/>
    <s v="TV Show"/>
    <x v="3"/>
    <n v="2002"/>
    <x v="6"/>
    <s v="2018-12-22"/>
    <n v="42"/>
    <s v="18+"/>
    <n v="7.6"/>
    <n v="512.79999999999995"/>
    <s v="German"/>
    <s v="Zoya Akhtar"/>
    <s v="Tom Hardy"/>
    <n v="8"/>
    <n v="64"/>
    <n v="124.7"/>
    <s v="Average"/>
    <s v="Blockbuster"/>
    <s v="No"/>
    <s v="Low"/>
    <n v="60.7"/>
    <n v="194.84375"/>
  </r>
  <r>
    <s v="NFX-100606"/>
    <s v="Secret Legacy 8"/>
    <s v="TV Show"/>
    <x v="9"/>
    <n v="2011"/>
    <x v="6"/>
    <s v="2022-04-24"/>
    <n v="40"/>
    <s v="PG"/>
    <n v="5.5"/>
    <n v="29.6"/>
    <s v="English"/>
    <s v="James Cameron"/>
    <s v="Emma Stone"/>
    <n v="1"/>
    <n v="69"/>
    <n v="385.9"/>
    <s v="Flop"/>
    <s v="Normal"/>
    <s v="Yes"/>
    <s v="Low"/>
    <n v="316.89999999999998"/>
    <n v="559.27536231884062"/>
  </r>
  <r>
    <s v="NFX-100607"/>
    <s v="Lost Chronicles 4"/>
    <s v="TV Show"/>
    <x v="8"/>
    <n v="2010"/>
    <x v="2"/>
    <s v="2019-10-07"/>
    <n v="55"/>
    <s v="18+"/>
    <n v="7.4"/>
    <n v="186.9"/>
    <s v="French"/>
    <s v="Christopher Nolan"/>
    <s v="Ryan Gosling"/>
    <n v="7"/>
    <n v="195"/>
    <n v="494.4"/>
    <s v="Average"/>
    <s v="Normal"/>
    <s v="No"/>
    <s v="High"/>
    <n v="299.39999999999998"/>
    <n v="253.53846153846155"/>
  </r>
  <r>
    <s v="NFX-100608"/>
    <s v="Burning Archive 3"/>
    <s v="Movie"/>
    <x v="3"/>
    <n v="2008"/>
    <x v="1"/>
    <s v="2022-10-25"/>
    <n v="170"/>
    <s v="18+"/>
    <n v="9.4"/>
    <n v="292.39999999999998"/>
    <s v="Korean"/>
    <s v="Bong Joon-ho"/>
    <s v="Tom Hardy"/>
    <m/>
    <n v="11"/>
    <n v="25.3"/>
    <s v="Hit"/>
    <s v="Popular"/>
    <s v="No"/>
    <s v="Low"/>
    <n v="14.3"/>
    <n v="230.00000000000003"/>
  </r>
  <r>
    <s v="NFX-100609"/>
    <s v="Rising Archive 6"/>
    <s v="Movie"/>
    <x v="4"/>
    <n v="2008"/>
    <x v="0"/>
    <s v="2021-05-11"/>
    <n v="155"/>
    <s v="16+"/>
    <n v="7.6"/>
    <n v="146.30000000000001"/>
    <s v="English"/>
    <s v="Park Chan-wook"/>
    <s v="Brad Pitt"/>
    <m/>
    <n v="110"/>
    <n v="623.70000000000005"/>
    <s v="Average"/>
    <s v="Normal"/>
    <s v="No"/>
    <s v="High"/>
    <n v="513.70000000000005"/>
    <n v="567.00000000000011"/>
  </r>
  <r>
    <s v="NFX-100610"/>
    <s v="Silent Legacy 4"/>
    <s v="Movie"/>
    <x v="10"/>
    <n v="2010"/>
    <x v="6"/>
    <s v="2019-03-20"/>
    <n v="157"/>
    <s v="18+"/>
    <n v="8"/>
    <n v="207.4"/>
    <s v="Hindi"/>
    <s v="Denis Villeneuve"/>
    <s v="Shah Rukh Khan"/>
    <m/>
    <n v="102"/>
    <n v="154"/>
    <s v="Hit"/>
    <s v="Popular"/>
    <s v="No"/>
    <s v="High"/>
    <n v="52"/>
    <n v="150.98039215686273"/>
  </r>
  <r>
    <s v="NFX-100611"/>
    <s v="Broken City 1"/>
    <s v="TV Show"/>
    <x v="2"/>
    <n v="2011"/>
    <x v="0"/>
    <s v="2023-04-11"/>
    <n v="32"/>
    <s v="18+"/>
    <n v="7.2"/>
    <n v="503.6"/>
    <s v="Spanish"/>
    <s v="Steven Spielberg"/>
    <s v="Tom Hardy"/>
    <n v="6"/>
    <n v="12"/>
    <n v="31.1"/>
    <s v="Average"/>
    <s v="Blockbuster"/>
    <s v="No"/>
    <s v="Low"/>
    <n v="19.100000000000001"/>
    <n v="259.16666666666669"/>
  </r>
  <r>
    <s v="NFX-100612"/>
    <s v="Burning Horizon 7"/>
    <s v="Movie"/>
    <x v="0"/>
    <n v="2005"/>
    <x v="7"/>
    <s v="2021-05-11"/>
    <n v="158"/>
    <s v="16+"/>
    <n v="8.1999999999999993"/>
    <n v="211.2"/>
    <s v="German"/>
    <s v="Zoya Akhtar"/>
    <s v="Shah Rukh Khan"/>
    <m/>
    <n v="153"/>
    <n v="775.8"/>
    <s v="Hit"/>
    <s v="Popular"/>
    <s v="No"/>
    <s v="High"/>
    <n v="622.79999999999995"/>
    <n v="507.05882352941171"/>
  </r>
  <r>
    <s v="NFX-100613"/>
    <s v="Crystal Valley"/>
    <s v="TV Show"/>
    <x v="0"/>
    <n v="2019"/>
    <x v="5"/>
    <s v="2019-01-06"/>
    <n v="33"/>
    <s v="18+"/>
    <n v="6.5"/>
    <n v="332.1"/>
    <s v="Hindi"/>
    <s v="Zoya Akhtar"/>
    <s v="Jennifer Lawrence"/>
    <n v="7"/>
    <n v="156"/>
    <n v="706.6"/>
    <s v="Average"/>
    <s v="Popular"/>
    <s v="No"/>
    <s v="High"/>
    <n v="550.6"/>
    <n v="452.94871794871796"/>
  </r>
  <r>
    <s v="NFX-100614"/>
    <s v="Golden Echo 3"/>
    <s v="TV Show"/>
    <x v="9"/>
    <n v="2000"/>
    <x v="0"/>
    <s v="2020-05-28"/>
    <n v="43"/>
    <s v="PG"/>
    <n v="6.8"/>
    <n v="29.8"/>
    <s v="Hindi"/>
    <s v="Christopher Nolan"/>
    <s v="Ryan Gosling"/>
    <n v="4"/>
    <n v="175"/>
    <n v="745.7"/>
    <s v="Average"/>
    <s v="Normal"/>
    <s v="Yes"/>
    <s v="High"/>
    <n v="570.70000000000005"/>
    <n v="426.11428571428576"/>
  </r>
  <r>
    <s v="NFX-100615"/>
    <s v="Midnight Empire 2"/>
    <s v="TV Show"/>
    <x v="6"/>
    <n v="2023"/>
    <x v="1"/>
    <s v="2018-09-25"/>
    <n v="49"/>
    <s v="PG-13"/>
    <n v="7.8"/>
    <n v="168.7"/>
    <s v="Hindi"/>
    <s v="James Cameron"/>
    <s v="Tom Hardy"/>
    <n v="5"/>
    <n v="103"/>
    <n v="401.5"/>
    <s v="Average"/>
    <s v="Normal"/>
    <s v="No"/>
    <s v="High"/>
    <n v="298.5"/>
    <n v="389.80582524271841"/>
  </r>
  <r>
    <s v="NFX-100616"/>
    <s v="Burning City 8"/>
    <s v="Movie"/>
    <x v="1"/>
    <n v="2003"/>
    <x v="6"/>
    <s v="2021-08-30"/>
    <n v="105"/>
    <s v="18+"/>
    <n v="6.6"/>
    <n v="277.39999999999998"/>
    <s v="German"/>
    <s v="Anurag Kashyap"/>
    <s v="Ryan Gosling"/>
    <m/>
    <n v="180"/>
    <n v="683.2"/>
    <s v="Average"/>
    <s v="Popular"/>
    <s v="No"/>
    <s v="High"/>
    <n v="503.20000000000005"/>
    <n v="379.5555555555556"/>
  </r>
  <r>
    <s v="NFX-100617"/>
    <s v="Hidden Odyssey 4"/>
    <s v="Movie"/>
    <x v="9"/>
    <n v="2007"/>
    <x v="5"/>
    <s v="2020-01-06"/>
    <n v="99"/>
    <s v="PG-13"/>
    <n v="8.8000000000000007"/>
    <n v="498.4"/>
    <s v="Hindi"/>
    <s v="Guillermo del Toro"/>
    <s v="Leonardo DiCaprio"/>
    <m/>
    <n v="80"/>
    <n v="124"/>
    <s v="Hit"/>
    <s v="Blockbuster"/>
    <s v="No"/>
    <s v="Low"/>
    <n v="44"/>
    <n v="155"/>
  </r>
  <r>
    <s v="NFX-100618"/>
    <s v="Crystal Storm 4"/>
    <s v="Movie"/>
    <x v="6"/>
    <n v="2023"/>
    <x v="5"/>
    <s v="2024-03-12"/>
    <n v="157"/>
    <s v="PG"/>
    <n v="6.8"/>
    <n v="539.6"/>
    <s v="Hindi"/>
    <s v="Denis Villeneuve"/>
    <s v="Scarlett Johansson"/>
    <m/>
    <n v="174"/>
    <n v="482.2"/>
    <s v="Average"/>
    <s v="Blockbuster"/>
    <s v="Yes"/>
    <s v="High"/>
    <n v="308.2"/>
    <n v="277.12643678160919"/>
  </r>
  <r>
    <s v="NFX-100619"/>
    <s v="Shadow Chronicles 1"/>
    <s v="Movie"/>
    <x v="8"/>
    <n v="2015"/>
    <x v="0"/>
    <s v="2022-05-08"/>
    <n v="87"/>
    <s v="PG-13"/>
    <n v="6.9"/>
    <n v="250.3"/>
    <s v="English"/>
    <s v="Bong Joon-ho"/>
    <s v="Deepika Padukone"/>
    <m/>
    <n v="125"/>
    <n v="716.9"/>
    <s v="Average"/>
    <s v="Popular"/>
    <s v="No"/>
    <s v="High"/>
    <n v="591.9"/>
    <n v="573.52"/>
  </r>
  <r>
    <s v="NFX-100620"/>
    <s v="Secret City 5"/>
    <s v="Movie"/>
    <x v="3"/>
    <n v="2022"/>
    <x v="9"/>
    <s v="2019-07-26"/>
    <n v="121"/>
    <s v="G"/>
    <n v="5.6"/>
    <n v="577.5"/>
    <s v="German"/>
    <s v="Bong Joon-ho"/>
    <s v="Ranbir Kapoor"/>
    <m/>
    <n v="157"/>
    <n v="223.3"/>
    <s v="Flop"/>
    <s v="Blockbuster"/>
    <s v="Yes"/>
    <s v="High"/>
    <n v="66.300000000000011"/>
    <n v="142.22929936305732"/>
  </r>
  <r>
    <s v="NFX-100621"/>
    <s v="Lost Protocol 7"/>
    <s v="Movie"/>
    <x v="3"/>
    <n v="2017"/>
    <x v="0"/>
    <s v="2019-11-29"/>
    <n v="102"/>
    <s v="G"/>
    <n v="9.3000000000000007"/>
    <n v="238.9"/>
    <s v="French"/>
    <s v="Anurag Kashyap"/>
    <s v="Lee Jung-jae"/>
    <m/>
    <n v="159"/>
    <n v="412"/>
    <s v="Hit"/>
    <s v="Popular"/>
    <s v="Yes"/>
    <s v="High"/>
    <n v="253"/>
    <n v="259.11949685534591"/>
  </r>
  <r>
    <s v="NFX-100622"/>
    <s v="Rising Archive 8"/>
    <s v="Movie"/>
    <x v="2"/>
    <n v="2007"/>
    <x v="7"/>
    <s v="2020-04-07"/>
    <n v="157"/>
    <s v="PG-13"/>
    <n v="8.4"/>
    <n v="87"/>
    <s v="English"/>
    <s v="Bong Joon-ho"/>
    <s v="Ryan Gosling"/>
    <m/>
    <n v="64"/>
    <n v="350.9"/>
    <s v="Hit"/>
    <s v="Normal"/>
    <s v="No"/>
    <s v="Low"/>
    <n v="286.89999999999998"/>
    <n v="548.28125"/>
  </r>
  <r>
    <s v="NFX-100623"/>
    <s v="Golden Code 6"/>
    <s v="TV Show"/>
    <x v="0"/>
    <n v="2003"/>
    <x v="6"/>
    <s v="2021-02-23"/>
    <n v="48"/>
    <s v="PG-13"/>
    <n v="8.5"/>
    <n v="275.39999999999998"/>
    <s v="Korean"/>
    <s v="Park Chan-wook"/>
    <s v="Timothée Chalamet"/>
    <n v="7"/>
    <n v="78"/>
    <n v="306.8"/>
    <s v="Hit"/>
    <s v="Popular"/>
    <s v="No"/>
    <s v="Low"/>
    <n v="228.8"/>
    <n v="393.33333333333337"/>
  </r>
  <r>
    <s v="NFX-100624"/>
    <s v="Broken City 4"/>
    <s v="Movie"/>
    <x v="10"/>
    <n v="2013"/>
    <x v="9"/>
    <s v="2018-06-29"/>
    <n v="164"/>
    <s v="G"/>
    <n v="9.1999999999999993"/>
    <n v="337.9"/>
    <s v="English"/>
    <s v="Anurag Kashyap"/>
    <s v="Ryan Gosling"/>
    <m/>
    <n v="155"/>
    <n v="478.6"/>
    <s v="Hit"/>
    <s v="Popular"/>
    <s v="Yes"/>
    <s v="High"/>
    <n v="323.60000000000002"/>
    <n v="308.77419354838713"/>
  </r>
  <r>
    <s v="NFX-100625"/>
    <s v="Broken Signal 6"/>
    <s v="Movie"/>
    <x v="1"/>
    <n v="2006"/>
    <x v="1"/>
    <s v="2021-04-27"/>
    <n v="82"/>
    <s v="PG"/>
    <n v="8.3000000000000007"/>
    <n v="325.7"/>
    <s v="Japanese"/>
    <s v="Greta Gerwig"/>
    <s v="Emma Stone"/>
    <m/>
    <n v="186"/>
    <n v="438.4"/>
    <s v="Hit"/>
    <s v="Popular"/>
    <s v="Yes"/>
    <s v="High"/>
    <n v="252.39999999999998"/>
    <n v="235.69892473118279"/>
  </r>
  <r>
    <s v="NFX-100626"/>
    <s v="Fading Storm 4"/>
    <s v="Movie"/>
    <x v="8"/>
    <n v="2010"/>
    <x v="1"/>
    <s v="2024-09-28"/>
    <n v="93"/>
    <s v="PG"/>
    <n v="8.8000000000000007"/>
    <n v="468"/>
    <s v="English"/>
    <s v="Ridley Scott"/>
    <s v="Ryan Gosling"/>
    <m/>
    <n v="142"/>
    <n v="448.8"/>
    <s v="Hit"/>
    <s v="Blockbuster"/>
    <s v="Yes"/>
    <s v="High"/>
    <n v="306.8"/>
    <n v="316.05633802816902"/>
  </r>
  <r>
    <s v="NFX-100627"/>
    <s v="Golden Signal 4"/>
    <s v="Movie"/>
    <x v="2"/>
    <n v="2010"/>
    <x v="2"/>
    <s v="2022-09-29"/>
    <n v="108"/>
    <s v="18+"/>
    <n v="9.1"/>
    <n v="425.5"/>
    <s v="French"/>
    <s v="Zoya Akhtar"/>
    <s v="Robert Downey Jr."/>
    <m/>
    <n v="178"/>
    <n v="294.60000000000002"/>
    <s v="Hit"/>
    <s v="Blockbuster"/>
    <s v="No"/>
    <s v="High"/>
    <n v="116.60000000000002"/>
    <n v="165.50561797752809"/>
  </r>
  <r>
    <s v="NFX-100628"/>
    <s v="Golden Storm 3"/>
    <s v="TV Show"/>
    <x v="2"/>
    <n v="2006"/>
    <x v="2"/>
    <s v="2024-09-22"/>
    <n v="37"/>
    <s v="18+"/>
    <n v="5.5"/>
    <n v="309.10000000000002"/>
    <s v="English"/>
    <s v="Quentin Tarantino"/>
    <s v="Ranbir Kapoor"/>
    <n v="2"/>
    <n v="164"/>
    <n v="362.5"/>
    <s v="Flop"/>
    <s v="Popular"/>
    <s v="No"/>
    <s v="High"/>
    <n v="198.5"/>
    <n v="221.03658536585365"/>
  </r>
  <r>
    <s v="NFX-100629"/>
    <s v="Iron Valley 2"/>
    <s v="Movie"/>
    <x v="4"/>
    <n v="2011"/>
    <x v="6"/>
    <s v="2020-12-27"/>
    <n v="94"/>
    <s v="PG-13"/>
    <n v="6.2"/>
    <n v="12.5"/>
    <s v="Spanish"/>
    <s v="Guillermo del Toro"/>
    <s v="Ryan Gosling"/>
    <m/>
    <n v="27"/>
    <n v="131.6"/>
    <s v="Average"/>
    <s v="Normal"/>
    <s v="No"/>
    <s v="Low"/>
    <n v="104.6"/>
    <n v="487.40740740740745"/>
  </r>
  <r>
    <s v="NFX-100630"/>
    <s v="Burning Odyssey 5"/>
    <s v="TV Show"/>
    <x v="9"/>
    <n v="2021"/>
    <x v="5"/>
    <s v="2021-07-30"/>
    <n v="54"/>
    <s v="G"/>
    <n v="6.6"/>
    <n v="467.4"/>
    <s v="German"/>
    <s v="Martin Scorsese"/>
    <s v="Ranbir Kapoor"/>
    <n v="8"/>
    <n v="129"/>
    <n v="530.79999999999995"/>
    <s v="Average"/>
    <s v="Blockbuster"/>
    <s v="Yes"/>
    <s v="High"/>
    <n v="401.79999999999995"/>
    <n v="411.47286821705427"/>
  </r>
  <r>
    <s v="NFX-100631"/>
    <s v="Iron Code 3"/>
    <s v="Movie"/>
    <x v="5"/>
    <n v="2000"/>
    <x v="8"/>
    <s v="2023-07-27"/>
    <n v="180"/>
    <s v="18+"/>
    <n v="9"/>
    <n v="299.2"/>
    <s v="German"/>
    <s v="Zoya Akhtar"/>
    <s v="Shah Rukh Khan"/>
    <m/>
    <n v="141"/>
    <n v="440.9"/>
    <s v="Hit"/>
    <s v="Popular"/>
    <s v="No"/>
    <s v="High"/>
    <n v="299.89999999999998"/>
    <n v="312.69503546099287"/>
  </r>
  <r>
    <s v="NFX-100632"/>
    <s v="Dark Archive 7"/>
    <s v="Movie"/>
    <x v="4"/>
    <n v="2020"/>
    <x v="1"/>
    <s v="2024-01-18"/>
    <n v="174"/>
    <s v="PG-13"/>
    <n v="5"/>
    <n v="401.9"/>
    <s v="English"/>
    <s v="Greta Gerwig"/>
    <s v="Ranbir Kapoor"/>
    <m/>
    <n v="143"/>
    <n v="539.6"/>
    <s v="Flop"/>
    <s v="Blockbuster"/>
    <s v="No"/>
    <s v="High"/>
    <n v="396.6"/>
    <n v="377.34265734265733"/>
  </r>
  <r>
    <s v="NFX-100633"/>
    <s v="Shadow Horizon 2"/>
    <s v="Movie"/>
    <x v="0"/>
    <n v="2000"/>
    <x v="1"/>
    <s v="2019-08-18"/>
    <n v="149"/>
    <s v="PG-13"/>
    <n v="9.3000000000000007"/>
    <n v="9.6999999999999993"/>
    <s v="Hindi"/>
    <s v="Park Chan-wook"/>
    <s v="Ranbir Kapoor"/>
    <m/>
    <n v="11"/>
    <n v="18"/>
    <s v="Hit"/>
    <s v="Normal"/>
    <s v="No"/>
    <s v="Low"/>
    <n v="7"/>
    <n v="163.63636363636365"/>
  </r>
  <r>
    <s v="NFX-100634"/>
    <s v="Dark Horizon 3"/>
    <s v="Movie"/>
    <x v="2"/>
    <n v="2024"/>
    <x v="7"/>
    <s v="2018-06-28"/>
    <n v="152"/>
    <s v="18+"/>
    <n v="8.3000000000000007"/>
    <n v="280.7"/>
    <s v="Japanese"/>
    <s v="James Cameron"/>
    <s v="Chris Evans"/>
    <m/>
    <n v="91"/>
    <n v="415.4"/>
    <s v="Hit"/>
    <s v="Popular"/>
    <s v="No"/>
    <s v="Low"/>
    <n v="324.39999999999998"/>
    <n v="456.48351648351644"/>
  </r>
  <r>
    <s v="NFX-100635"/>
    <s v="Shadow Odyssey 6"/>
    <s v="TV Show"/>
    <x v="1"/>
    <n v="2012"/>
    <x v="6"/>
    <s v="2020-08-28"/>
    <n v="36"/>
    <s v="PG"/>
    <n v="7.3"/>
    <n v="315.2"/>
    <s v="Japanese"/>
    <s v="Zoya Akhtar"/>
    <s v="Robert Downey Jr."/>
    <n v="3"/>
    <n v="163"/>
    <n v="883.9"/>
    <s v="Average"/>
    <s v="Popular"/>
    <s v="Yes"/>
    <s v="High"/>
    <n v="720.9"/>
    <n v="542.2699386503067"/>
  </r>
  <r>
    <s v="NFX-100636"/>
    <s v="Last Echo 4"/>
    <s v="TV Show"/>
    <x v="2"/>
    <n v="2008"/>
    <x v="0"/>
    <s v="2018-01-31"/>
    <n v="39"/>
    <s v="PG-13"/>
    <n v="8"/>
    <n v="199.7"/>
    <s v="Korean"/>
    <s v="Zoya Akhtar"/>
    <s v="Tom Hardy"/>
    <n v="7"/>
    <n v="190"/>
    <n v="253.6"/>
    <s v="Hit"/>
    <s v="Normal"/>
    <s v="No"/>
    <s v="High"/>
    <n v="63.599999999999994"/>
    <n v="133.47368421052633"/>
  </r>
  <r>
    <s v="NFX-100637"/>
    <s v="Iron Chronicles 6"/>
    <s v="TV Show"/>
    <x v="8"/>
    <n v="2015"/>
    <x v="8"/>
    <s v="2018-01-26"/>
    <n v="49"/>
    <s v="18+"/>
    <n v="5.8"/>
    <n v="207.6"/>
    <s v="Spanish"/>
    <s v="Steven Spielberg"/>
    <s v="Ranbir Kapoor"/>
    <n v="4"/>
    <n v="44"/>
    <n v="259.5"/>
    <s v="Flop"/>
    <s v="Popular"/>
    <s v="No"/>
    <s v="Low"/>
    <n v="215.5"/>
    <n v="589.77272727272725"/>
  </r>
  <r>
    <s v="NFX-100638"/>
    <s v="Dark Echo 8"/>
    <s v="Movie"/>
    <x v="3"/>
    <n v="2020"/>
    <x v="2"/>
    <s v="2018-11-27"/>
    <n v="138"/>
    <s v="PG-13"/>
    <n v="7.9"/>
    <n v="263.8"/>
    <s v="Korean"/>
    <s v="Anurag Kashyap"/>
    <s v="Ryan Gosling"/>
    <m/>
    <n v="152"/>
    <n v="684.6"/>
    <s v="Average"/>
    <s v="Popular"/>
    <s v="No"/>
    <s v="High"/>
    <n v="532.6"/>
    <n v="450.39473684210532"/>
  </r>
  <r>
    <s v="NFX-100639"/>
    <s v="Shadow Protocol 6"/>
    <s v="Movie"/>
    <x v="8"/>
    <n v="2013"/>
    <x v="7"/>
    <s v="2023-05-03"/>
    <n v="84"/>
    <s v="PG"/>
    <n v="9.1"/>
    <n v="66.5"/>
    <s v="Japanese"/>
    <s v="Denis Villeneuve"/>
    <s v="Ranbir Kapoor"/>
    <m/>
    <n v="193"/>
    <n v="587.1"/>
    <s v="Hit"/>
    <s v="Normal"/>
    <s v="Yes"/>
    <s v="High"/>
    <n v="394.1"/>
    <n v="304.19689119170982"/>
  </r>
  <r>
    <s v="NFX-100640"/>
    <s v="Broken Signal 4"/>
    <s v="TV Show"/>
    <x v="2"/>
    <n v="2007"/>
    <x v="4"/>
    <s v="2020-06-09"/>
    <n v="33"/>
    <s v="G"/>
    <n v="6.8"/>
    <n v="573.1"/>
    <s v="English"/>
    <s v="Anurag Kashyap"/>
    <s v="Lee Jung-jae"/>
    <n v="6"/>
    <n v="70"/>
    <n v="238"/>
    <s v="Average"/>
    <s v="Blockbuster"/>
    <s v="Yes"/>
    <s v="Low"/>
    <n v="168"/>
    <n v="340"/>
  </r>
  <r>
    <s v="NFX-100641"/>
    <s v="Crystal Journey 1"/>
    <s v="TV Show"/>
    <x v="8"/>
    <n v="2023"/>
    <x v="4"/>
    <s v="2024-04-11"/>
    <n v="35"/>
    <s v="16+"/>
    <n v="7.1"/>
    <n v="181.2"/>
    <s v="Korean"/>
    <s v="Martin Scorsese"/>
    <s v="Ranbir Kapoor"/>
    <n v="8"/>
    <n v="172"/>
    <n v="578.6"/>
    <s v="Average"/>
    <s v="Normal"/>
    <s v="No"/>
    <s v="High"/>
    <n v="406.6"/>
    <n v="336.39534883720927"/>
  </r>
  <r>
    <s v="NFX-100642"/>
    <s v="Silent Chronicles 6"/>
    <s v="TV Show"/>
    <x v="2"/>
    <n v="2015"/>
    <x v="8"/>
    <s v="2024-09-15"/>
    <n v="30"/>
    <s v="PG"/>
    <n v="7.2"/>
    <n v="294.3"/>
    <s v="Hindi"/>
    <s v="Steven Spielberg"/>
    <s v="Jennifer Lawrence"/>
    <n v="4"/>
    <n v="138"/>
    <n v="374.1"/>
    <s v="Average"/>
    <s v="Popular"/>
    <s v="Yes"/>
    <s v="High"/>
    <n v="236.10000000000002"/>
    <n v="271.08695652173913"/>
  </r>
  <r>
    <s v="NFX-100643"/>
    <s v="Golden Legacy 4"/>
    <s v="TV Show"/>
    <x v="6"/>
    <n v="2017"/>
    <x v="9"/>
    <s v="2020-12-24"/>
    <n v="45"/>
    <s v="16+"/>
    <n v="5.8"/>
    <n v="310.39999999999998"/>
    <s v="English"/>
    <s v="Bong Joon-ho"/>
    <s v="Song Kang-ho"/>
    <n v="7"/>
    <n v="188"/>
    <n v="350.7"/>
    <s v="Flop"/>
    <s v="Popular"/>
    <s v="No"/>
    <s v="High"/>
    <n v="162.69999999999999"/>
    <n v="186.54255319148936"/>
  </r>
  <r>
    <s v="NFX-100644"/>
    <s v="Shadow Journey 1"/>
    <s v="TV Show"/>
    <x v="5"/>
    <n v="2017"/>
    <x v="7"/>
    <s v="2018-10-12"/>
    <n v="32"/>
    <s v="PG-13"/>
    <n v="6"/>
    <n v="543"/>
    <s v="French"/>
    <s v="Martin Scorsese"/>
    <s v="Robert Downey Jr."/>
    <n v="6"/>
    <n v="153"/>
    <n v="860.6"/>
    <s v="Average"/>
    <s v="Blockbuster"/>
    <s v="No"/>
    <s v="High"/>
    <n v="707.6"/>
    <n v="562.48366013071904"/>
  </r>
  <r>
    <s v="NFX-100645"/>
    <s v="Hidden City 5"/>
    <s v="Movie"/>
    <x v="10"/>
    <n v="2002"/>
    <x v="8"/>
    <s v="2022-02-18"/>
    <n v="163"/>
    <s v="16+"/>
    <n v="9.4"/>
    <n v="247.9"/>
    <s v="German"/>
    <s v="Sanjay Leela Bhansali"/>
    <s v="Timothée Chalamet"/>
    <m/>
    <n v="114"/>
    <n v="305"/>
    <s v="Hit"/>
    <s v="Popular"/>
    <s v="No"/>
    <s v="High"/>
    <n v="191"/>
    <n v="267.54385964912279"/>
  </r>
  <r>
    <s v="NFX-100646"/>
    <s v="Crystal City 4"/>
    <s v="Movie"/>
    <x v="2"/>
    <n v="2018"/>
    <x v="1"/>
    <s v="2021-01-26"/>
    <n v="99"/>
    <s v="16+"/>
    <n v="6.5"/>
    <n v="500.5"/>
    <s v="French"/>
    <s v="Greta Gerwig"/>
    <s v="Timothée Chalamet"/>
    <m/>
    <n v="178"/>
    <n v="1118.5"/>
    <s v="Average"/>
    <s v="Blockbuster"/>
    <s v="No"/>
    <s v="High"/>
    <n v="940.5"/>
    <n v="628.37078651685397"/>
  </r>
  <r>
    <s v="NFX-100647"/>
    <s v="Crystal Horizon 8"/>
    <s v="TV Show"/>
    <x v="8"/>
    <n v="2021"/>
    <x v="4"/>
    <s v="2023-10-08"/>
    <n v="31"/>
    <s v="16+"/>
    <n v="6.3"/>
    <n v="437.5"/>
    <s v="Spanish"/>
    <s v="Guillermo del Toro"/>
    <s v="Ryan Gosling"/>
    <n v="3"/>
    <n v="125"/>
    <n v="492.4"/>
    <s v="Average"/>
    <s v="Blockbuster"/>
    <s v="No"/>
    <s v="High"/>
    <n v="367.4"/>
    <n v="393.92"/>
  </r>
  <r>
    <s v="NFX-100648"/>
    <s v="Fading Signal 4"/>
    <s v="TV Show"/>
    <x v="6"/>
    <n v="2011"/>
    <x v="3"/>
    <s v="2024-04-07"/>
    <n v="41"/>
    <s v="G"/>
    <n v="8.3000000000000007"/>
    <n v="340.7"/>
    <s v="English"/>
    <s v="Martin Scorsese"/>
    <s v="Ranbir Kapoor"/>
    <n v="3"/>
    <n v="188"/>
    <n v="1060.5"/>
    <s v="Hit"/>
    <s v="Popular"/>
    <s v="Yes"/>
    <s v="High"/>
    <n v="872.5"/>
    <n v="564.095744680851"/>
  </r>
  <r>
    <s v="NFX-100649"/>
    <s v="Burning Storm 7"/>
    <s v="Movie"/>
    <x v="8"/>
    <n v="2009"/>
    <x v="1"/>
    <s v="2023-06-12"/>
    <n v="171"/>
    <s v="G"/>
    <n v="6.3"/>
    <n v="407.9"/>
    <s v="Spanish"/>
    <s v="Sanjay Leela Bhansali"/>
    <s v="Tom Hardy"/>
    <m/>
    <n v="192"/>
    <n v="572.70000000000005"/>
    <s v="Average"/>
    <s v="Blockbuster"/>
    <s v="Yes"/>
    <s v="High"/>
    <n v="380.70000000000005"/>
    <n v="298.28125"/>
  </r>
  <r>
    <s v="NFX-100650"/>
    <s v="Last Journey 9"/>
    <s v="TV Show"/>
    <x v="5"/>
    <n v="2003"/>
    <x v="3"/>
    <s v="2021-09-18"/>
    <n v="47"/>
    <s v="G"/>
    <n v="4.5999999999999996"/>
    <n v="45.4"/>
    <s v="Hindi"/>
    <s v="Rajkumar Hirani"/>
    <s v="Scarlett Johansson"/>
    <n v="8"/>
    <n v="29"/>
    <n v="117.8"/>
    <s v="Flop"/>
    <s v="Normal"/>
    <s v="Yes"/>
    <s v="Low"/>
    <n v="88.8"/>
    <n v="406.20689655172413"/>
  </r>
  <r>
    <s v="NFX-100651"/>
    <s v="Shadow Legacy 9"/>
    <s v="Movie"/>
    <x v="10"/>
    <n v="2009"/>
    <x v="7"/>
    <s v="2018-12-28"/>
    <n v="167"/>
    <s v="18+"/>
    <n v="7.9"/>
    <n v="421.6"/>
    <s v="English"/>
    <s v="Anurag Kashyap"/>
    <s v="Ranbir Kapoor"/>
    <m/>
    <n v="136"/>
    <n v="271.89999999999998"/>
    <s v="Average"/>
    <s v="Blockbuster"/>
    <s v="No"/>
    <s v="High"/>
    <n v="135.89999999999998"/>
    <n v="199.92647058823528"/>
  </r>
  <r>
    <s v="NFX-100652"/>
    <s v="Rising Protocol 8"/>
    <s v="Movie"/>
    <x v="1"/>
    <n v="2023"/>
    <x v="0"/>
    <s v="2024-02-20"/>
    <n v="115"/>
    <s v="G"/>
    <n v="6.4"/>
    <n v="440.3"/>
    <s v="Korean"/>
    <s v="Zoya Akhtar"/>
    <s v="Robert Downey Jr."/>
    <m/>
    <n v="131"/>
    <n v="818"/>
    <s v="Average"/>
    <s v="Blockbuster"/>
    <s v="Yes"/>
    <s v="High"/>
    <n v="687"/>
    <n v="624.42748091603062"/>
  </r>
  <r>
    <s v="NFX-100653"/>
    <s v="Secret Valley 5"/>
    <s v="TV Show"/>
    <x v="10"/>
    <n v="2012"/>
    <x v="9"/>
    <s v="2020-05-01"/>
    <n v="60"/>
    <s v="PG-13"/>
    <n v="7.2"/>
    <n v="101.3"/>
    <s v="English"/>
    <s v="Ridley Scott"/>
    <s v="Tom Hardy"/>
    <n v="6"/>
    <n v="164"/>
    <n v="1029"/>
    <s v="Average"/>
    <s v="Normal"/>
    <s v="No"/>
    <s v="High"/>
    <n v="865"/>
    <n v="627.43902439024396"/>
  </r>
  <r>
    <s v="NFX-100654"/>
    <s v="Shadow Storm 4"/>
    <s v="Movie"/>
    <x v="8"/>
    <n v="2022"/>
    <x v="2"/>
    <s v="2022-12-18"/>
    <n v="164"/>
    <s v="16+"/>
    <n v="7.6"/>
    <n v="74.5"/>
    <s v="Spanish"/>
    <s v="Quentin Tarantino"/>
    <s v="Lee Jung-jae"/>
    <m/>
    <n v="186"/>
    <n v="706.4"/>
    <s v="Average"/>
    <s v="Normal"/>
    <s v="No"/>
    <s v="High"/>
    <n v="520.4"/>
    <n v="379.78494623655916"/>
  </r>
  <r>
    <s v="NFX-100655"/>
    <s v="Fading Protocol 1"/>
    <s v="TV Show"/>
    <x v="6"/>
    <n v="2020"/>
    <x v="4"/>
    <s v="2024-06-24"/>
    <n v="55"/>
    <s v="G"/>
    <n v="8"/>
    <n v="191.7"/>
    <s v="French"/>
    <s v="Steven Spielberg"/>
    <s v="Deepika Padukone"/>
    <n v="4"/>
    <n v="10"/>
    <n v="45.3"/>
    <s v="Hit"/>
    <s v="Normal"/>
    <s v="Yes"/>
    <s v="Low"/>
    <n v="35.299999999999997"/>
    <n v="452.99999999999994"/>
  </r>
  <r>
    <s v="NFX-100656"/>
    <s v="Rising Chronicles"/>
    <s v="Movie"/>
    <x v="2"/>
    <n v="2009"/>
    <x v="4"/>
    <s v="2021-06-26"/>
    <n v="143"/>
    <s v="PG"/>
    <n v="8.4"/>
    <n v="147.9"/>
    <s v="Japanese"/>
    <s v="James Cameron"/>
    <s v="Deepika Padukone"/>
    <m/>
    <n v="86"/>
    <n v="232.3"/>
    <s v="Hit"/>
    <s v="Normal"/>
    <s v="Yes"/>
    <s v="Low"/>
    <n v="146.30000000000001"/>
    <n v="270.11627906976747"/>
  </r>
  <r>
    <s v="NFX-100657"/>
    <s v="Silent Horizon 4"/>
    <s v="Movie"/>
    <x v="4"/>
    <n v="2008"/>
    <x v="5"/>
    <s v="2022-02-05"/>
    <n v="109"/>
    <s v="16+"/>
    <n v="5.4"/>
    <n v="460.3"/>
    <s v="Hindi"/>
    <s v="Park Chan-wook"/>
    <s v="Song Kang-ho"/>
    <m/>
    <n v="116"/>
    <n v="225.7"/>
    <s v="Flop"/>
    <s v="Blockbuster"/>
    <s v="No"/>
    <s v="High"/>
    <n v="109.69999999999999"/>
    <n v="194.56896551724137"/>
  </r>
  <r>
    <s v="NFX-100658"/>
    <s v="Shadow Odyssey 7"/>
    <s v="TV Show"/>
    <x v="6"/>
    <n v="2006"/>
    <x v="6"/>
    <s v="2022-09-28"/>
    <n v="33"/>
    <s v="PG-13"/>
    <n v="5.7"/>
    <n v="442.6"/>
    <s v="German"/>
    <s v="Steven Spielberg"/>
    <s v="Ryan Gosling"/>
    <n v="5"/>
    <n v="143"/>
    <n v="425.9"/>
    <s v="Flop"/>
    <s v="Blockbuster"/>
    <s v="No"/>
    <s v="High"/>
    <n v="282.89999999999998"/>
    <n v="297.83216783216784"/>
  </r>
  <r>
    <s v="NFX-100659"/>
    <s v="Golden Code 7"/>
    <s v="Movie"/>
    <x v="3"/>
    <n v="2016"/>
    <x v="0"/>
    <s v="2022-11-29"/>
    <n v="135"/>
    <s v="G"/>
    <n v="7.4"/>
    <n v="164.4"/>
    <s v="Hindi"/>
    <s v="Zoya Akhtar"/>
    <s v="Scarlett Johansson"/>
    <m/>
    <n v="183"/>
    <n v="1099.8"/>
    <s v="Average"/>
    <s v="Normal"/>
    <s v="Yes"/>
    <s v="High"/>
    <n v="916.8"/>
    <n v="600.98360655737702"/>
  </r>
  <r>
    <s v="NFX-100660"/>
    <s v="Fading Protocol 4"/>
    <s v="Movie"/>
    <x v="0"/>
    <n v="2016"/>
    <x v="1"/>
    <s v="2018-05-02"/>
    <n v="96"/>
    <s v="G"/>
    <n v="5.6"/>
    <n v="33.799999999999997"/>
    <s v="Hindi"/>
    <s v="Christopher Nolan"/>
    <s v="Emma Stone"/>
    <m/>
    <n v="12"/>
    <n v="67"/>
    <s v="Flop"/>
    <s v="Normal"/>
    <s v="Yes"/>
    <s v="Low"/>
    <n v="55"/>
    <n v="558.33333333333326"/>
  </r>
  <r>
    <s v="NFX-100661"/>
    <s v="Crystal Horizon 6"/>
    <s v="Movie"/>
    <x v="2"/>
    <n v="2017"/>
    <x v="2"/>
    <s v="2023-02-09"/>
    <n v="148"/>
    <s v="G"/>
    <n v="4.9000000000000004"/>
    <n v="341.5"/>
    <s v="French"/>
    <s v="Sanjay Leela Bhansali"/>
    <s v="Song Kang-ho"/>
    <m/>
    <n v="171"/>
    <n v="725.3"/>
    <s v="Flop"/>
    <s v="Popular"/>
    <s v="Yes"/>
    <s v="High"/>
    <n v="554.29999999999995"/>
    <n v="424.15204678362574"/>
  </r>
  <r>
    <s v="NFX-100662"/>
    <s v="Secret Odyssey 4"/>
    <s v="Movie"/>
    <x v="8"/>
    <n v="2018"/>
    <x v="1"/>
    <s v="2024-10-29"/>
    <n v="143"/>
    <s v="PG"/>
    <n v="6.2"/>
    <n v="363.2"/>
    <s v="German"/>
    <s v="James Cameron"/>
    <s v="Song Kang-ho"/>
    <m/>
    <n v="114"/>
    <n v="617.4"/>
    <s v="Average"/>
    <s v="Popular"/>
    <s v="Yes"/>
    <s v="High"/>
    <n v="503.4"/>
    <n v="541.57894736842104"/>
  </r>
  <r>
    <s v="NFX-100663"/>
    <s v="Midnight Protocol 2"/>
    <s v="Movie"/>
    <x v="3"/>
    <n v="2013"/>
    <x v="5"/>
    <s v="2019-01-15"/>
    <n v="177"/>
    <s v="G"/>
    <n v="5.7"/>
    <n v="307.10000000000002"/>
    <s v="Spanish"/>
    <s v="Zoya Akhtar"/>
    <s v="Timothée Chalamet"/>
    <m/>
    <n v="135"/>
    <n v="311.7"/>
    <s v="Flop"/>
    <s v="Popular"/>
    <s v="Yes"/>
    <s v="High"/>
    <n v="176.7"/>
    <n v="230.88888888888889"/>
  </r>
  <r>
    <s v="NFX-100664"/>
    <s v="Silent Journey 8"/>
    <s v="TV Show"/>
    <x v="3"/>
    <n v="2020"/>
    <x v="4"/>
    <s v="2020-01-19"/>
    <n v="59"/>
    <s v="G"/>
    <n v="5"/>
    <n v="346.6"/>
    <s v="German"/>
    <s v="Greta Gerwig"/>
    <s v="Chris Evans"/>
    <n v="2"/>
    <n v="169"/>
    <n v="906.1"/>
    <s v="Flop"/>
    <s v="Popular"/>
    <s v="Yes"/>
    <s v="High"/>
    <n v="737.1"/>
    <n v="536.15384615384619"/>
  </r>
  <r>
    <s v="NFX-100665"/>
    <s v="Silent Protocol 1"/>
    <s v="TV Show"/>
    <x v="3"/>
    <n v="2009"/>
    <x v="0"/>
    <s v="2022-03-15"/>
    <n v="44"/>
    <s v="G"/>
    <n v="8.4"/>
    <n v="567.6"/>
    <s v="Japanese"/>
    <s v="Ridley Scott"/>
    <s v="Lee Jung-jae"/>
    <n v="3"/>
    <n v="166"/>
    <n v="481.6"/>
    <s v="Hit"/>
    <s v="Blockbuster"/>
    <s v="Yes"/>
    <s v="High"/>
    <n v="315.60000000000002"/>
    <n v="290.1204819277109"/>
  </r>
  <r>
    <s v="NFX-100666"/>
    <s v="Silent Odyssey 5"/>
    <s v="TV Show"/>
    <x v="6"/>
    <n v="2002"/>
    <x v="4"/>
    <s v="2023-08-22"/>
    <n v="44"/>
    <s v="PG"/>
    <n v="5.6"/>
    <n v="513.70000000000005"/>
    <s v="English"/>
    <s v="Anurag Kashyap"/>
    <s v="Timothée Chalamet"/>
    <n v="2"/>
    <n v="184"/>
    <n v="646"/>
    <s v="Flop"/>
    <s v="Blockbuster"/>
    <s v="Yes"/>
    <s v="High"/>
    <n v="462"/>
    <n v="351.08695652173913"/>
  </r>
  <r>
    <s v="NFX-100667"/>
    <s v="Shadow City 5"/>
    <s v="Movie"/>
    <x v="5"/>
    <n v="2011"/>
    <x v="5"/>
    <s v="2018-08-23"/>
    <n v="139"/>
    <s v="16+"/>
    <n v="5.9"/>
    <n v="232.1"/>
    <s v="Hindi"/>
    <s v="Ridley Scott"/>
    <s v="Chris Evans"/>
    <m/>
    <n v="100"/>
    <n v="160.5"/>
    <s v="Flop"/>
    <s v="Popular"/>
    <s v="No"/>
    <s v="High"/>
    <n v="60.5"/>
    <n v="160.5"/>
  </r>
  <r>
    <s v="NFX-100668"/>
    <s v="Rising Legacy 4"/>
    <s v="TV Show"/>
    <x v="9"/>
    <n v="2005"/>
    <x v="0"/>
    <s v="2020-02-19"/>
    <n v="40"/>
    <s v="PG"/>
    <n v="8.1"/>
    <n v="438.1"/>
    <s v="Korean"/>
    <s v="Quentin Tarantino"/>
    <s v="Ranbir Kapoor"/>
    <n v="8"/>
    <n v="73"/>
    <n v="405.8"/>
    <s v="Hit"/>
    <s v="Blockbuster"/>
    <s v="Yes"/>
    <s v="Low"/>
    <n v="332.8"/>
    <n v="555.89041095890411"/>
  </r>
  <r>
    <s v="NFX-100669"/>
    <s v="Broken Protocol 5"/>
    <s v="TV Show"/>
    <x v="1"/>
    <n v="2009"/>
    <x v="0"/>
    <s v="2023-07-04"/>
    <n v="47"/>
    <s v="PG"/>
    <n v="8.4"/>
    <n v="451"/>
    <s v="French"/>
    <s v="James Cameron"/>
    <s v="Timothée Chalamet"/>
    <n v="7"/>
    <n v="149"/>
    <n v="319.10000000000002"/>
    <s v="Hit"/>
    <s v="Blockbuster"/>
    <s v="Yes"/>
    <s v="High"/>
    <n v="170.10000000000002"/>
    <n v="214.16107382550337"/>
  </r>
  <r>
    <s v="NFX-100670"/>
    <s v="Secret Valley 1"/>
    <s v="Movie"/>
    <x v="6"/>
    <n v="2023"/>
    <x v="0"/>
    <s v="2024-03-05"/>
    <n v="121"/>
    <s v="18+"/>
    <n v="5.4"/>
    <n v="387.6"/>
    <s v="Hindi"/>
    <s v="Zoya Akhtar"/>
    <s v="Robert Downey Jr."/>
    <m/>
    <n v="95"/>
    <n v="344.2"/>
    <s v="Flop"/>
    <s v="Popular"/>
    <s v="No"/>
    <s v="Low"/>
    <n v="249.2"/>
    <n v="362.31578947368416"/>
  </r>
  <r>
    <s v="NFX-100671"/>
    <s v="Rising Horizon 4"/>
    <s v="TV Show"/>
    <x v="8"/>
    <n v="2015"/>
    <x v="5"/>
    <s v="2023-12-07"/>
    <n v="47"/>
    <s v="16+"/>
    <n v="6"/>
    <n v="204.6"/>
    <s v="Spanish"/>
    <s v="Greta Gerwig"/>
    <s v="Emma Stone"/>
    <n v="4"/>
    <n v="45"/>
    <n v="71.099999999999994"/>
    <s v="Average"/>
    <s v="Popular"/>
    <s v="No"/>
    <s v="Low"/>
    <n v="26.099999999999994"/>
    <n v="157.99999999999997"/>
  </r>
  <r>
    <s v="NFX-100672"/>
    <s v="Lost Code 2"/>
    <s v="TV Show"/>
    <x v="7"/>
    <n v="2016"/>
    <x v="4"/>
    <s v="2019-11-12"/>
    <n v="49"/>
    <s v="18+"/>
    <n v="6.5"/>
    <n v="443.9"/>
    <s v="Japanese"/>
    <s v="Zoya Akhtar"/>
    <s v="Leonardo DiCaprio"/>
    <n v="3"/>
    <n v="147"/>
    <n v="278.89999999999998"/>
    <s v="Average"/>
    <s v="Blockbuster"/>
    <s v="No"/>
    <s v="High"/>
    <n v="131.89999999999998"/>
    <n v="189.72789115646259"/>
  </r>
  <r>
    <s v="NFX-100673"/>
    <s v="Iron Signal 6"/>
    <s v="TV Show"/>
    <x v="9"/>
    <n v="2007"/>
    <x v="8"/>
    <s v="2023-06-06"/>
    <n v="45"/>
    <s v="PG-13"/>
    <n v="6.8"/>
    <n v="266.60000000000002"/>
    <s v="German"/>
    <s v="Guillermo del Toro"/>
    <s v="Jennifer Lawrence"/>
    <n v="1"/>
    <n v="162"/>
    <n v="609.79999999999995"/>
    <s v="Average"/>
    <s v="Popular"/>
    <s v="No"/>
    <s v="High"/>
    <n v="447.79999999999995"/>
    <n v="376.41975308641975"/>
  </r>
  <r>
    <s v="NFX-100674"/>
    <s v="Fading Odyssey 9"/>
    <s v="Movie"/>
    <x v="3"/>
    <n v="2020"/>
    <x v="6"/>
    <s v="2024-01-06"/>
    <n v="165"/>
    <s v="G"/>
    <n v="8.1999999999999993"/>
    <n v="36.799999999999997"/>
    <s v="German"/>
    <s v="Sanjay Leela Bhansali"/>
    <s v="Deepika Padukone"/>
    <m/>
    <n v="20"/>
    <n v="78.099999999999994"/>
    <s v="Hit"/>
    <s v="Normal"/>
    <s v="Yes"/>
    <s v="Low"/>
    <n v="58.099999999999994"/>
    <n v="390.5"/>
  </r>
  <r>
    <s v="NFX-100675"/>
    <s v="Shadow City 7"/>
    <s v="TV Show"/>
    <x v="9"/>
    <n v="2020"/>
    <x v="5"/>
    <s v="2023-11-10"/>
    <n v="46"/>
    <s v="18+"/>
    <n v="8.6999999999999993"/>
    <n v="65.900000000000006"/>
    <s v="English"/>
    <s v="Anurag Kashyap"/>
    <s v="Jennifer Lawrence"/>
    <n v="3"/>
    <n v="104"/>
    <n v="319.2"/>
    <s v="Hit"/>
    <s v="Normal"/>
    <s v="No"/>
    <s v="High"/>
    <n v="215.2"/>
    <n v="306.92307692307691"/>
  </r>
  <r>
    <s v="NFX-100676"/>
    <s v="Iron Code 7"/>
    <s v="Movie"/>
    <x v="4"/>
    <n v="2011"/>
    <x v="6"/>
    <s v="2023-07-10"/>
    <n v="98"/>
    <s v="PG-13"/>
    <n v="7.4"/>
    <n v="181.2"/>
    <s v="French"/>
    <s v="Christopher Nolan"/>
    <s v="Leonardo DiCaprio"/>
    <m/>
    <n v="14"/>
    <n v="79"/>
    <s v="Average"/>
    <s v="Normal"/>
    <s v="No"/>
    <s v="Low"/>
    <n v="65"/>
    <n v="564.28571428571433"/>
  </r>
  <r>
    <s v="NFX-100677"/>
    <s v="Broken Legacy 3"/>
    <s v="Movie"/>
    <x v="2"/>
    <n v="2025"/>
    <x v="2"/>
    <s v="2024-08-05"/>
    <n v="93"/>
    <s v="G"/>
    <n v="8"/>
    <n v="344.4"/>
    <s v="Hindi"/>
    <s v="Greta Gerwig"/>
    <s v="Leonardo DiCaprio"/>
    <m/>
    <n v="189"/>
    <n v="865.1"/>
    <s v="Hit"/>
    <s v="Popular"/>
    <s v="Yes"/>
    <s v="High"/>
    <n v="676.1"/>
    <n v="457.72486772486775"/>
  </r>
  <r>
    <s v="NFX-100678"/>
    <s v="Iron Storm 5"/>
    <s v="Movie"/>
    <x v="5"/>
    <n v="2008"/>
    <x v="4"/>
    <s v="2018-12-30"/>
    <n v="124"/>
    <s v="PG-13"/>
    <n v="5"/>
    <n v="111.1"/>
    <s v="Korean"/>
    <s v="Denis Villeneuve"/>
    <s v="Brad Pitt"/>
    <m/>
    <n v="26"/>
    <n v="168.3"/>
    <s v="Flop"/>
    <s v="Normal"/>
    <s v="No"/>
    <s v="Low"/>
    <n v="142.30000000000001"/>
    <n v="647.30769230769226"/>
  </r>
  <r>
    <s v="NFX-100679"/>
    <s v="Secret Chronicles 1"/>
    <s v="Movie"/>
    <x v="4"/>
    <n v="2003"/>
    <x v="5"/>
    <s v="2018-09-05"/>
    <n v="89"/>
    <s v="16+"/>
    <n v="5.6"/>
    <n v="563.70000000000005"/>
    <s v="German"/>
    <s v="Anurag Kashyap"/>
    <s v="Timothée Chalamet"/>
    <m/>
    <n v="41"/>
    <n v="155.9"/>
    <s v="Flop"/>
    <s v="Blockbuster"/>
    <s v="No"/>
    <s v="Low"/>
    <n v="114.9"/>
    <n v="380.2439024390244"/>
  </r>
  <r>
    <s v="NFX-100680"/>
    <s v="Broken City 9"/>
    <s v="TV Show"/>
    <x v="0"/>
    <n v="2016"/>
    <x v="9"/>
    <s v="2020-11-11"/>
    <n v="49"/>
    <s v="18+"/>
    <n v="7.2"/>
    <n v="148.80000000000001"/>
    <s v="German"/>
    <s v="Denis Villeneuve"/>
    <s v="Song Kang-ho"/>
    <n v="1"/>
    <n v="18"/>
    <n v="46.7"/>
    <s v="Average"/>
    <s v="Normal"/>
    <s v="No"/>
    <s v="Low"/>
    <n v="28.700000000000003"/>
    <n v="259.44444444444446"/>
  </r>
  <r>
    <s v="NFX-100681"/>
    <s v="Rising Storm 2"/>
    <s v="Movie"/>
    <x v="6"/>
    <n v="2003"/>
    <x v="3"/>
    <s v="2019-04-23"/>
    <n v="180"/>
    <s v="16+"/>
    <n v="8.4"/>
    <n v="419.2"/>
    <s v="Korean"/>
    <s v="Guillermo del Toro"/>
    <s v="Deepika Padukone"/>
    <m/>
    <n v="37"/>
    <n v="117.5"/>
    <s v="Hit"/>
    <s v="Blockbuster"/>
    <s v="No"/>
    <s v="Low"/>
    <n v="80.5"/>
    <n v="317.56756756756761"/>
  </r>
  <r>
    <s v="NFX-100682"/>
    <s v="Iron Echo 8"/>
    <s v="Movie"/>
    <x v="10"/>
    <n v="2018"/>
    <x v="8"/>
    <s v="2021-02-14"/>
    <n v="127"/>
    <s v="PG"/>
    <n v="4.5999999999999996"/>
    <n v="546.29999999999995"/>
    <s v="English"/>
    <s v="Christopher Nolan"/>
    <s v="Lee Jung-jae"/>
    <m/>
    <n v="82"/>
    <n v="264.60000000000002"/>
    <s v="Flop"/>
    <s v="Blockbuster"/>
    <s v="Yes"/>
    <s v="Low"/>
    <n v="182.60000000000002"/>
    <n v="322.6829268292683"/>
  </r>
  <r>
    <s v="NFX-100683"/>
    <s v="Lost City"/>
    <s v="Movie"/>
    <x v="1"/>
    <n v="2007"/>
    <x v="3"/>
    <s v="2022-03-30"/>
    <n v="172"/>
    <s v="PG-13"/>
    <n v="8.1999999999999993"/>
    <n v="430"/>
    <s v="Korean"/>
    <s v="Rajkumar Hirani"/>
    <s v="Deepika Padukone"/>
    <m/>
    <n v="160"/>
    <n v="559.79999999999995"/>
    <s v="Hit"/>
    <s v="Blockbuster"/>
    <s v="No"/>
    <s v="High"/>
    <n v="399.79999999999995"/>
    <n v="349.875"/>
  </r>
  <r>
    <s v="NFX-100684"/>
    <s v="Broken Journey 4"/>
    <s v="TV Show"/>
    <x v="0"/>
    <n v="2024"/>
    <x v="0"/>
    <s v="2022-03-07"/>
    <n v="45"/>
    <s v="G"/>
    <n v="4.7"/>
    <n v="411.2"/>
    <s v="English"/>
    <s v="Ridley Scott"/>
    <s v="Emma Stone"/>
    <n v="5"/>
    <n v="86"/>
    <n v="387.3"/>
    <s v="Flop"/>
    <s v="Blockbuster"/>
    <s v="Yes"/>
    <s v="Low"/>
    <n v="301.3"/>
    <n v="450.3488372093023"/>
  </r>
  <r>
    <s v="NFX-100685"/>
    <s v="Fading Echo 8"/>
    <s v="Movie"/>
    <x v="5"/>
    <n v="2011"/>
    <x v="1"/>
    <s v="2021-06-27"/>
    <n v="99"/>
    <s v="PG-13"/>
    <n v="5.6"/>
    <n v="512"/>
    <s v="German"/>
    <s v="James Cameron"/>
    <s v="Ranbir Kapoor"/>
    <m/>
    <n v="148"/>
    <n v="310.8"/>
    <s v="Flop"/>
    <s v="Blockbuster"/>
    <s v="No"/>
    <s v="High"/>
    <n v="162.80000000000001"/>
    <n v="210"/>
  </r>
  <r>
    <s v="NFX-100686"/>
    <s v="Last Frontier 3"/>
    <s v="Movie"/>
    <x v="3"/>
    <n v="2004"/>
    <x v="7"/>
    <s v="2022-08-13"/>
    <n v="142"/>
    <s v="PG"/>
    <n v="8.1"/>
    <n v="546.5"/>
    <s v="German"/>
    <s v="Denis Villeneuve"/>
    <s v="Leonardo DiCaprio"/>
    <m/>
    <n v="7"/>
    <n v="42"/>
    <s v="Hit"/>
    <s v="Blockbuster"/>
    <s v="Yes"/>
    <s v="Low"/>
    <n v="35"/>
    <n v="600"/>
  </r>
  <r>
    <s v="NFX-100687"/>
    <s v="Iron Storm 8"/>
    <s v="Movie"/>
    <x v="5"/>
    <n v="2007"/>
    <x v="0"/>
    <s v="2018-08-04"/>
    <n v="100"/>
    <s v="PG-13"/>
    <n v="8.9"/>
    <n v="8.6"/>
    <s v="Spanish"/>
    <s v="Zoya Akhtar"/>
    <s v="Jennifer Lawrence"/>
    <m/>
    <n v="183"/>
    <n v="722.6"/>
    <s v="Hit"/>
    <s v="Normal"/>
    <s v="No"/>
    <s v="High"/>
    <n v="539.6"/>
    <n v="394.8633879781421"/>
  </r>
  <r>
    <s v="NFX-100688"/>
    <s v="Lost City 5"/>
    <s v="Movie"/>
    <x v="3"/>
    <n v="2018"/>
    <x v="5"/>
    <s v="2021-01-22"/>
    <n v="82"/>
    <s v="16+"/>
    <n v="5.2"/>
    <n v="206.4"/>
    <s v="French"/>
    <s v="Rajkumar Hirani"/>
    <s v="Tom Hardy"/>
    <m/>
    <n v="22"/>
    <n v="55.7"/>
    <s v="Flop"/>
    <s v="Popular"/>
    <s v="No"/>
    <s v="Low"/>
    <n v="33.700000000000003"/>
    <n v="253.18181818181819"/>
  </r>
  <r>
    <s v="NFX-100689"/>
    <s v="Lost Legacy 9"/>
    <s v="TV Show"/>
    <x v="1"/>
    <n v="2004"/>
    <x v="5"/>
    <s v="2024-04-30"/>
    <n v="36"/>
    <s v="PG-13"/>
    <n v="6.1"/>
    <n v="242.1"/>
    <s v="French"/>
    <s v="Anurag Kashyap"/>
    <s v="Shah Rukh Khan"/>
    <n v="7"/>
    <n v="168"/>
    <n v="223"/>
    <s v="Average"/>
    <s v="Popular"/>
    <s v="No"/>
    <s v="High"/>
    <n v="55"/>
    <n v="132.73809523809524"/>
  </r>
  <r>
    <s v="NFX-100690"/>
    <s v="Burning Protocol 8"/>
    <s v="Movie"/>
    <x v="10"/>
    <n v="2024"/>
    <x v="6"/>
    <s v="2018-07-28"/>
    <n v="114"/>
    <s v="18+"/>
    <n v="6.4"/>
    <n v="445.1"/>
    <s v="Japanese"/>
    <s v="Ridley Scott"/>
    <s v="Scarlett Johansson"/>
    <m/>
    <n v="8"/>
    <n v="35.1"/>
    <s v="Average"/>
    <s v="Blockbuster"/>
    <s v="No"/>
    <s v="Low"/>
    <n v="27.1"/>
    <n v="438.75"/>
  </r>
  <r>
    <s v="NFX-100691"/>
    <s v="Hidden Odyssey 8"/>
    <s v="Movie"/>
    <x v="3"/>
    <n v="2010"/>
    <x v="7"/>
    <s v="2024-06-03"/>
    <n v="121"/>
    <s v="PG"/>
    <n v="7.8"/>
    <n v="267.60000000000002"/>
    <s v="German"/>
    <s v="Zoya Akhtar"/>
    <s v="Chris Evans"/>
    <m/>
    <n v="140"/>
    <n v="319.7"/>
    <s v="Average"/>
    <s v="Popular"/>
    <s v="Yes"/>
    <s v="High"/>
    <n v="179.7"/>
    <n v="228.35714285714283"/>
  </r>
  <r>
    <s v="NFX-100692"/>
    <s v="Midnight Protocol 4"/>
    <s v="Movie"/>
    <x v="5"/>
    <n v="2018"/>
    <x v="2"/>
    <s v="2019-09-29"/>
    <n v="157"/>
    <s v="PG-13"/>
    <n v="9.3000000000000007"/>
    <n v="371.6"/>
    <s v="Korean"/>
    <s v="Anurag Kashyap"/>
    <s v="Leonardo DiCaprio"/>
    <m/>
    <n v="105"/>
    <n v="442.2"/>
    <s v="Hit"/>
    <s v="Popular"/>
    <s v="No"/>
    <s v="High"/>
    <n v="337.2"/>
    <n v="421.14285714285717"/>
  </r>
  <r>
    <s v="NFX-100693"/>
    <s v="Midnight Storm 5"/>
    <s v="Movie"/>
    <x v="7"/>
    <n v="2014"/>
    <x v="7"/>
    <s v="2023-01-29"/>
    <n v="111"/>
    <s v="18+"/>
    <n v="8.1999999999999993"/>
    <n v="504.9"/>
    <s v="Spanish"/>
    <s v="Anurag Kashyap"/>
    <s v="Shah Rukh Khan"/>
    <m/>
    <n v="130"/>
    <n v="493.1"/>
    <s v="Hit"/>
    <s v="Blockbuster"/>
    <s v="No"/>
    <s v="High"/>
    <n v="363.1"/>
    <n v="379.30769230769232"/>
  </r>
  <r>
    <s v="NFX-100694"/>
    <s v="Crystal Code 5"/>
    <s v="Movie"/>
    <x v="2"/>
    <n v="2004"/>
    <x v="5"/>
    <s v="2019-01-13"/>
    <n v="147"/>
    <s v="PG"/>
    <n v="7.8"/>
    <n v="178.2"/>
    <s v="Hindi"/>
    <s v="Bong Joon-ho"/>
    <s v="Chris Evans"/>
    <m/>
    <n v="188"/>
    <n v="536"/>
    <s v="Average"/>
    <s v="Normal"/>
    <s v="Yes"/>
    <s v="High"/>
    <n v="348"/>
    <n v="285.10638297872339"/>
  </r>
  <r>
    <s v="NFX-100695"/>
    <s v="Crystal Empire 6"/>
    <s v="TV Show"/>
    <x v="1"/>
    <n v="2002"/>
    <x v="4"/>
    <s v="2022-04-09"/>
    <n v="33"/>
    <s v="16+"/>
    <n v="8.9"/>
    <n v="131.6"/>
    <s v="French"/>
    <s v="Martin Scorsese"/>
    <s v="Leonardo DiCaprio"/>
    <n v="3"/>
    <n v="75"/>
    <n v="192.6"/>
    <s v="Hit"/>
    <s v="Normal"/>
    <s v="No"/>
    <s v="Low"/>
    <n v="117.6"/>
    <n v="256.8"/>
  </r>
  <r>
    <s v="NFX-100696"/>
    <s v="Crystal Archive 5"/>
    <s v="TV Show"/>
    <x v="4"/>
    <n v="2005"/>
    <x v="9"/>
    <s v="2020-12-06"/>
    <n v="30"/>
    <s v="PG"/>
    <n v="5.0999999999999996"/>
    <n v="289.39999999999998"/>
    <s v="English"/>
    <s v="Bong Joon-ho"/>
    <s v="Robert Downey Jr."/>
    <n v="6"/>
    <n v="67"/>
    <n v="374.5"/>
    <s v="Flop"/>
    <s v="Popular"/>
    <s v="Yes"/>
    <s v="Low"/>
    <n v="307.5"/>
    <n v="558.95522388059703"/>
  </r>
  <r>
    <s v="NFX-100697"/>
    <s v="Lost Valley 3"/>
    <s v="TV Show"/>
    <x v="8"/>
    <n v="2024"/>
    <x v="6"/>
    <s v="2019-01-09"/>
    <n v="41"/>
    <s v="G"/>
    <n v="5.9"/>
    <n v="108.8"/>
    <s v="Spanish"/>
    <s v="Guillermo del Toro"/>
    <s v="Leonardo DiCaprio"/>
    <n v="2"/>
    <n v="80"/>
    <n v="363.9"/>
    <s v="Flop"/>
    <s v="Normal"/>
    <s v="Yes"/>
    <s v="Low"/>
    <n v="283.89999999999998"/>
    <n v="454.875"/>
  </r>
  <r>
    <s v="NFX-100698"/>
    <s v="Fading Legacy 5"/>
    <s v="TV Show"/>
    <x v="7"/>
    <n v="2018"/>
    <x v="2"/>
    <s v="2020-08-23"/>
    <n v="53"/>
    <s v="16+"/>
    <n v="9.4"/>
    <n v="338.4"/>
    <s v="English"/>
    <s v="Rajkumar Hirani"/>
    <s v="Jennifer Lawrence"/>
    <n v="5"/>
    <n v="109"/>
    <n v="232.6"/>
    <s v="Hit"/>
    <s v="Popular"/>
    <s v="No"/>
    <s v="High"/>
    <n v="123.6"/>
    <n v="213.39449541284404"/>
  </r>
  <r>
    <s v="NFX-100699"/>
    <s v="Crystal Legacy 9"/>
    <s v="Movie"/>
    <x v="10"/>
    <n v="2021"/>
    <x v="2"/>
    <s v="2022-12-31"/>
    <n v="86"/>
    <s v="G"/>
    <n v="9.1"/>
    <n v="247.1"/>
    <s v="Japanese"/>
    <s v="Quentin Tarantino"/>
    <s v="Brad Pitt"/>
    <m/>
    <n v="132"/>
    <n v="462.1"/>
    <s v="Hit"/>
    <s v="Popular"/>
    <s v="Yes"/>
    <s v="High"/>
    <n v="330.1"/>
    <n v="350.07575757575762"/>
  </r>
  <r>
    <s v="NFX-100700"/>
    <s v="Fading Legacy 8"/>
    <s v="Movie"/>
    <x v="6"/>
    <n v="2014"/>
    <x v="7"/>
    <s v="2019-09-07"/>
    <n v="128"/>
    <s v="18+"/>
    <n v="8.6999999999999993"/>
    <n v="199.8"/>
    <s v="German"/>
    <s v="Denis Villeneuve"/>
    <s v="Scarlett Johansson"/>
    <m/>
    <n v="121"/>
    <n v="194.5"/>
    <s v="Hit"/>
    <s v="Normal"/>
    <s v="No"/>
    <s v="High"/>
    <n v="73.5"/>
    <n v="160.74380165289256"/>
  </r>
  <r>
    <s v="NFX-100701"/>
    <s v="Broken City 6"/>
    <s v="Movie"/>
    <x v="4"/>
    <n v="2013"/>
    <x v="6"/>
    <s v="2018-03-03"/>
    <n v="95"/>
    <s v="16+"/>
    <n v="8.9"/>
    <n v="410.2"/>
    <s v="Japanese"/>
    <s v="Bong Joon-ho"/>
    <s v="Chris Evans"/>
    <m/>
    <n v="199"/>
    <n v="246.7"/>
    <s v="Hit"/>
    <s v="Blockbuster"/>
    <s v="No"/>
    <s v="High"/>
    <n v="47.699999999999989"/>
    <n v="123.96984924623115"/>
  </r>
  <r>
    <s v="NFX-100702"/>
    <s v="Lost Protocol 6"/>
    <s v="Movie"/>
    <x v="0"/>
    <n v="2005"/>
    <x v="4"/>
    <s v="2023-06-29"/>
    <n v="84"/>
    <s v="18+"/>
    <n v="5.7"/>
    <n v="54.4"/>
    <s v="German"/>
    <s v="James Cameron"/>
    <s v="Brad Pitt"/>
    <m/>
    <n v="99"/>
    <n v="598.79999999999995"/>
    <s v="Flop"/>
    <s v="Normal"/>
    <s v="No"/>
    <s v="Low"/>
    <n v="499.79999999999995"/>
    <n v="604.84848484848476"/>
  </r>
  <r>
    <s v="NFX-100703"/>
    <s v="Dark Echo 3"/>
    <s v="Movie"/>
    <x v="4"/>
    <n v="2004"/>
    <x v="2"/>
    <s v="2023-10-04"/>
    <n v="172"/>
    <s v="PG"/>
    <n v="8"/>
    <n v="513"/>
    <s v="Hindi"/>
    <s v="Christopher Nolan"/>
    <s v="Leonardo DiCaprio"/>
    <m/>
    <n v="163"/>
    <n v="891.2"/>
    <s v="Hit"/>
    <s v="Blockbuster"/>
    <s v="Yes"/>
    <s v="High"/>
    <n v="728.2"/>
    <n v="546.74846625766872"/>
  </r>
  <r>
    <s v="NFX-100704"/>
    <s v="Fading Chronicles 1"/>
    <s v="TV Show"/>
    <x v="9"/>
    <n v="2020"/>
    <x v="0"/>
    <s v="2018-10-03"/>
    <n v="50"/>
    <s v="G"/>
    <n v="8.6"/>
    <n v="470.6"/>
    <s v="German"/>
    <s v="Greta Gerwig"/>
    <s v="Timothée Chalamet"/>
    <n v="1"/>
    <n v="9"/>
    <n v="33.5"/>
    <s v="Hit"/>
    <s v="Blockbuster"/>
    <s v="Yes"/>
    <s v="Low"/>
    <n v="24.5"/>
    <n v="372.22222222222223"/>
  </r>
  <r>
    <s v="NFX-100705"/>
    <s v="Broken Chronicles 2"/>
    <s v="TV Show"/>
    <x v="0"/>
    <n v="2013"/>
    <x v="3"/>
    <s v="2021-01-01"/>
    <n v="49"/>
    <s v="16+"/>
    <n v="7.8"/>
    <n v="586"/>
    <s v="Korean"/>
    <s v="Park Chan-wook"/>
    <s v="Jennifer Lawrence"/>
    <n v="1"/>
    <n v="42"/>
    <n v="182.3"/>
    <s v="Average"/>
    <s v="Blockbuster"/>
    <s v="No"/>
    <s v="Low"/>
    <n v="140.30000000000001"/>
    <n v="434.04761904761909"/>
  </r>
  <r>
    <s v="NFX-100706"/>
    <s v="Midnight City 5"/>
    <s v="Movie"/>
    <x v="3"/>
    <n v="2019"/>
    <x v="7"/>
    <s v="2021-04-30"/>
    <n v="148"/>
    <s v="16+"/>
    <n v="7.9"/>
    <n v="597.4"/>
    <s v="Japanese"/>
    <s v="Guillermo del Toro"/>
    <s v="Emma Stone"/>
    <m/>
    <n v="191"/>
    <n v="986.7"/>
    <s v="Average"/>
    <s v="Blockbuster"/>
    <s v="No"/>
    <s v="High"/>
    <n v="795.7"/>
    <n v="516.59685863874347"/>
  </r>
  <r>
    <s v="NFX-100707"/>
    <s v="Hidden Valley 2"/>
    <s v="Movie"/>
    <x v="6"/>
    <n v="2014"/>
    <x v="4"/>
    <s v="2023-09-01"/>
    <n v="174"/>
    <s v="18+"/>
    <n v="6"/>
    <n v="486.9"/>
    <s v="German"/>
    <s v="Steven Spielberg"/>
    <s v="Shah Rukh Khan"/>
    <m/>
    <n v="199"/>
    <n v="481.9"/>
    <s v="Average"/>
    <s v="Blockbuster"/>
    <s v="No"/>
    <s v="High"/>
    <n v="282.89999999999998"/>
    <n v="242.16080402010047"/>
  </r>
  <r>
    <s v="NFX-100708"/>
    <s v="Broken Valley 2"/>
    <s v="TV Show"/>
    <x v="2"/>
    <n v="2021"/>
    <x v="2"/>
    <s v="2023-11-30"/>
    <n v="42"/>
    <s v="G"/>
    <n v="9.1999999999999993"/>
    <n v="93.4"/>
    <s v="Spanish"/>
    <s v="Quentin Tarantino"/>
    <s v="Tom Hardy"/>
    <n v="6"/>
    <n v="35"/>
    <n v="176.5"/>
    <s v="Hit"/>
    <s v="Normal"/>
    <s v="Yes"/>
    <s v="Low"/>
    <n v="141.5"/>
    <n v="504.28571428571428"/>
  </r>
  <r>
    <s v="NFX-100709"/>
    <s v="Lost Journey 9"/>
    <s v="Movie"/>
    <x v="5"/>
    <n v="2009"/>
    <x v="3"/>
    <s v="2022-07-12"/>
    <n v="100"/>
    <s v="18+"/>
    <n v="7"/>
    <n v="81.099999999999994"/>
    <s v="German"/>
    <s v="Bong Joon-ho"/>
    <s v="Timothée Chalamet"/>
    <m/>
    <n v="70"/>
    <n v="332.5"/>
    <s v="Average"/>
    <s v="Normal"/>
    <s v="No"/>
    <s v="Low"/>
    <n v="262.5"/>
    <n v="475"/>
  </r>
  <r>
    <s v="NFX-100710"/>
    <s v="Midnight Valley 9"/>
    <s v="TV Show"/>
    <x v="0"/>
    <n v="2013"/>
    <x v="5"/>
    <s v="2024-06-19"/>
    <n v="51"/>
    <s v="G"/>
    <n v="7.5"/>
    <n v="351.8"/>
    <s v="Hindi"/>
    <s v="Denis Villeneuve"/>
    <s v="Robert Downey Jr."/>
    <n v="1"/>
    <n v="104"/>
    <n v="208.5"/>
    <s v="Average"/>
    <s v="Popular"/>
    <s v="Yes"/>
    <s v="High"/>
    <n v="104.5"/>
    <n v="200.48076923076925"/>
  </r>
  <r>
    <s v="NFX-100711"/>
    <s v="Shadow Signal 3"/>
    <s v="Movie"/>
    <x v="1"/>
    <n v="2014"/>
    <x v="9"/>
    <s v="2020-11-23"/>
    <n v="147"/>
    <s v="PG-13"/>
    <n v="8.5"/>
    <n v="461.7"/>
    <s v="Spanish"/>
    <s v="Bong Joon-ho"/>
    <s v="Jennifer Lawrence"/>
    <m/>
    <n v="36"/>
    <n v="88.2"/>
    <s v="Hit"/>
    <s v="Blockbuster"/>
    <s v="No"/>
    <s v="Low"/>
    <n v="52.2"/>
    <n v="245.00000000000003"/>
  </r>
  <r>
    <s v="NFX-100712"/>
    <s v="Shadow Horizon 7"/>
    <s v="Movie"/>
    <x v="2"/>
    <n v="2014"/>
    <x v="4"/>
    <s v="2020-08-04"/>
    <n v="161"/>
    <s v="16+"/>
    <n v="8.1999999999999993"/>
    <n v="473.4"/>
    <s v="Spanish"/>
    <s v="Denis Villeneuve"/>
    <s v="Deepika Padukone"/>
    <m/>
    <n v="76"/>
    <n v="378.3"/>
    <s v="Hit"/>
    <s v="Blockbuster"/>
    <s v="No"/>
    <s v="Low"/>
    <n v="302.3"/>
    <n v="497.76315789473688"/>
  </r>
  <r>
    <s v="NFX-100713"/>
    <s v="Lost Code 8"/>
    <s v="TV Show"/>
    <x v="6"/>
    <n v="2006"/>
    <x v="9"/>
    <s v="2019-01-06"/>
    <n v="31"/>
    <s v="PG-13"/>
    <n v="6.3"/>
    <n v="570.6"/>
    <s v="French"/>
    <s v="James Cameron"/>
    <s v="Song Kang-ho"/>
    <n v="6"/>
    <n v="12"/>
    <n v="76.7"/>
    <s v="Average"/>
    <s v="Blockbuster"/>
    <s v="No"/>
    <s v="Low"/>
    <n v="64.7"/>
    <n v="639.16666666666663"/>
  </r>
  <r>
    <s v="NFX-100714"/>
    <s v="Last Archive 5"/>
    <s v="TV Show"/>
    <x v="5"/>
    <n v="2023"/>
    <x v="5"/>
    <s v="2020-06-15"/>
    <n v="42"/>
    <s v="18+"/>
    <n v="6.6"/>
    <n v="191.5"/>
    <s v="English"/>
    <s v="Bong Joon-ho"/>
    <s v="Robert Downey Jr."/>
    <n v="7"/>
    <n v="94"/>
    <n v="381.7"/>
    <s v="Average"/>
    <s v="Normal"/>
    <s v="No"/>
    <s v="Low"/>
    <n v="287.7"/>
    <n v="406.063829787234"/>
  </r>
  <r>
    <s v="NFX-100715"/>
    <s v="Midnight Code 4"/>
    <s v="Movie"/>
    <x v="6"/>
    <n v="2001"/>
    <x v="2"/>
    <s v="2023-08-02"/>
    <n v="93"/>
    <s v="18+"/>
    <n v="7.6"/>
    <n v="572.6"/>
    <s v="English"/>
    <s v="Sanjay Leela Bhansali"/>
    <s v="Leonardo DiCaprio"/>
    <m/>
    <n v="89"/>
    <n v="485"/>
    <s v="Average"/>
    <s v="Blockbuster"/>
    <s v="No"/>
    <s v="Low"/>
    <n v="396"/>
    <n v="544.94382022471916"/>
  </r>
  <r>
    <s v="NFX-100716"/>
    <s v="Last Frontier 1"/>
    <s v="Movie"/>
    <x v="9"/>
    <n v="2024"/>
    <x v="3"/>
    <s v="2024-07-29"/>
    <n v="112"/>
    <s v="G"/>
    <n v="9.6"/>
    <n v="219.1"/>
    <s v="French"/>
    <s v="Christopher Nolan"/>
    <s v="Tom Hardy"/>
    <m/>
    <n v="65"/>
    <n v="123.4"/>
    <s v="Hit"/>
    <s v="Popular"/>
    <s v="Yes"/>
    <s v="Low"/>
    <n v="58.400000000000006"/>
    <n v="189.84615384615387"/>
  </r>
  <r>
    <s v="NFX-100717"/>
    <s v="Dark City 8"/>
    <s v="Movie"/>
    <x v="0"/>
    <n v="2015"/>
    <x v="3"/>
    <s v="2021-07-12"/>
    <n v="87"/>
    <s v="PG"/>
    <n v="8"/>
    <n v="112.8"/>
    <s v="Spanish"/>
    <s v="Quentin Tarantino"/>
    <s v="Lee Jung-jae"/>
    <m/>
    <n v="149"/>
    <n v="201.6"/>
    <s v="Hit"/>
    <s v="Normal"/>
    <s v="Yes"/>
    <s v="High"/>
    <n v="52.599999999999994"/>
    <n v="135.30201342281879"/>
  </r>
  <r>
    <s v="NFX-100718"/>
    <s v="Burning Code 5"/>
    <s v="TV Show"/>
    <x v="2"/>
    <n v="2007"/>
    <x v="8"/>
    <s v="2019-01-02"/>
    <n v="42"/>
    <s v="PG"/>
    <n v="5.9"/>
    <n v="274.89999999999998"/>
    <s v="French"/>
    <s v="Anurag Kashyap"/>
    <s v="Jennifer Lawrence"/>
    <n v="2"/>
    <n v="177"/>
    <n v="523.6"/>
    <s v="Flop"/>
    <s v="Popular"/>
    <s v="Yes"/>
    <s v="High"/>
    <n v="346.6"/>
    <n v="295.81920903954801"/>
  </r>
  <r>
    <s v="NFX-100719"/>
    <s v="Iron Odyssey 4"/>
    <s v="Movie"/>
    <x v="4"/>
    <n v="2004"/>
    <x v="5"/>
    <s v="2018-05-29"/>
    <n v="133"/>
    <s v="PG-13"/>
    <n v="8.1999999999999993"/>
    <n v="92.2"/>
    <s v="French"/>
    <s v="Sanjay Leela Bhansali"/>
    <s v="Robert Downey Jr."/>
    <m/>
    <n v="23"/>
    <n v="91.9"/>
    <s v="Hit"/>
    <s v="Normal"/>
    <s v="No"/>
    <s v="Low"/>
    <n v="68.900000000000006"/>
    <n v="399.56521739130437"/>
  </r>
  <r>
    <s v="NFX-100720"/>
    <s v="Midnight Code 7"/>
    <s v="Movie"/>
    <x v="3"/>
    <n v="2011"/>
    <x v="0"/>
    <s v="2020-12-22"/>
    <n v="167"/>
    <s v="PG-13"/>
    <n v="5.3"/>
    <n v="102"/>
    <s v="French"/>
    <s v="James Cameron"/>
    <s v="Song Kang-ho"/>
    <m/>
    <n v="115"/>
    <n v="437.4"/>
    <s v="Flop"/>
    <s v="Normal"/>
    <s v="No"/>
    <s v="High"/>
    <n v="322.39999999999998"/>
    <n v="380.3478260869565"/>
  </r>
  <r>
    <s v="NFX-100721"/>
    <s v="Broken Empire 1"/>
    <s v="Movie"/>
    <x v="3"/>
    <n v="2010"/>
    <x v="5"/>
    <s v="2021-06-29"/>
    <n v="103"/>
    <s v="16+"/>
    <n v="8.6"/>
    <n v="23.9"/>
    <s v="Korean"/>
    <s v="Sanjay Leela Bhansali"/>
    <s v="Timothée Chalamet"/>
    <m/>
    <n v="31"/>
    <n v="131"/>
    <s v="Hit"/>
    <s v="Normal"/>
    <s v="No"/>
    <s v="Low"/>
    <n v="100"/>
    <n v="422.58064516129031"/>
  </r>
  <r>
    <s v="NFX-100722"/>
    <s v="Midnight Horizon 4"/>
    <s v="TV Show"/>
    <x v="10"/>
    <n v="2006"/>
    <x v="7"/>
    <s v="2021-04-20"/>
    <n v="47"/>
    <s v="PG-13"/>
    <n v="8.1"/>
    <n v="206.4"/>
    <s v="Korean"/>
    <s v="Park Chan-wook"/>
    <s v="Chris Evans"/>
    <n v="5"/>
    <n v="93"/>
    <n v="502.7"/>
    <s v="Hit"/>
    <s v="Popular"/>
    <s v="No"/>
    <s v="Low"/>
    <n v="409.7"/>
    <n v="540.53763440860212"/>
  </r>
  <r>
    <s v="NFX-100723"/>
    <s v="Golden Signal 7"/>
    <s v="Movie"/>
    <x v="3"/>
    <n v="2007"/>
    <x v="6"/>
    <s v="2018-06-14"/>
    <n v="159"/>
    <s v="PG"/>
    <n v="8.6"/>
    <n v="83.6"/>
    <s v="Japanese"/>
    <s v="Guillermo del Toro"/>
    <s v="Emma Stone"/>
    <m/>
    <n v="45"/>
    <n v="275.3"/>
    <s v="Hit"/>
    <s v="Normal"/>
    <s v="Yes"/>
    <s v="Low"/>
    <n v="230.3"/>
    <n v="611.77777777777783"/>
  </r>
  <r>
    <s v="NFX-100724"/>
    <s v="Midnight Legacy 9"/>
    <s v="Movie"/>
    <x v="8"/>
    <n v="2020"/>
    <x v="2"/>
    <s v="2020-06-17"/>
    <n v="115"/>
    <s v="PG-13"/>
    <n v="5.6"/>
    <n v="161.30000000000001"/>
    <s v="Japanese"/>
    <s v="Zoya Akhtar"/>
    <s v="Tom Hardy"/>
    <m/>
    <n v="49"/>
    <n v="229.2"/>
    <s v="Flop"/>
    <s v="Normal"/>
    <s v="No"/>
    <s v="Low"/>
    <n v="180.2"/>
    <n v="467.75510204081633"/>
  </r>
  <r>
    <s v="NFX-100725"/>
    <s v="Midnight Archive 6"/>
    <s v="TV Show"/>
    <x v="0"/>
    <n v="2001"/>
    <x v="8"/>
    <s v="2018-09-04"/>
    <n v="41"/>
    <s v="PG"/>
    <n v="5.4"/>
    <n v="280.60000000000002"/>
    <s v="Japanese"/>
    <s v="Martin Scorsese"/>
    <s v="Song Kang-ho"/>
    <n v="4"/>
    <n v="184"/>
    <n v="1111.8"/>
    <s v="Flop"/>
    <s v="Popular"/>
    <s v="Yes"/>
    <s v="High"/>
    <n v="927.8"/>
    <n v="604.23913043478251"/>
  </r>
  <r>
    <s v="NFX-100726"/>
    <s v="Crystal Odyssey 5"/>
    <s v="TV Show"/>
    <x v="0"/>
    <n v="2012"/>
    <x v="9"/>
    <s v="2019-05-25"/>
    <n v="36"/>
    <s v="PG-13"/>
    <n v="4.5"/>
    <n v="357.2"/>
    <s v="Korean"/>
    <s v="Zoya Akhtar"/>
    <s v="Lee Jung-jae"/>
    <n v="4"/>
    <n v="121"/>
    <n v="164.2"/>
    <s v="Flop"/>
    <s v="Popular"/>
    <s v="No"/>
    <s v="High"/>
    <n v="43.199999999999989"/>
    <n v="135.70247933884298"/>
  </r>
  <r>
    <s v="NFX-100727"/>
    <s v="Lost Echo 5"/>
    <s v="Movie"/>
    <x v="6"/>
    <n v="2025"/>
    <x v="5"/>
    <s v="2023-03-01"/>
    <n v="90"/>
    <s v="16+"/>
    <n v="8.6999999999999993"/>
    <n v="221.6"/>
    <s v="English"/>
    <s v="Sanjay Leela Bhansali"/>
    <s v="Deepika Padukone"/>
    <m/>
    <n v="73"/>
    <n v="453.5"/>
    <s v="Hit"/>
    <s v="Popular"/>
    <s v="No"/>
    <s v="Low"/>
    <n v="380.5"/>
    <n v="621.23287671232879"/>
  </r>
  <r>
    <s v="NFX-100728"/>
    <s v="Broken Storm 2"/>
    <s v="Movie"/>
    <x v="1"/>
    <n v="2009"/>
    <x v="0"/>
    <s v="2023-11-27"/>
    <n v="149"/>
    <s v="PG"/>
    <n v="6"/>
    <n v="115.8"/>
    <s v="Spanish"/>
    <s v="Steven Spielberg"/>
    <s v="Jennifer Lawrence"/>
    <m/>
    <n v="90"/>
    <n v="133.19999999999999"/>
    <s v="Average"/>
    <s v="Normal"/>
    <s v="Yes"/>
    <s v="Low"/>
    <n v="43.199999999999989"/>
    <n v="148"/>
  </r>
  <r>
    <s v="NFX-100729"/>
    <s v="Hidden Journey 8"/>
    <s v="Movie"/>
    <x v="7"/>
    <n v="2014"/>
    <x v="5"/>
    <s v="2022-06-14"/>
    <n v="96"/>
    <s v="PG"/>
    <n v="5.6"/>
    <n v="99.6"/>
    <s v="German"/>
    <s v="Guillermo del Toro"/>
    <s v="Shah Rukh Khan"/>
    <m/>
    <n v="71"/>
    <n v="284.3"/>
    <s v="Flop"/>
    <s v="Normal"/>
    <s v="Yes"/>
    <s v="Low"/>
    <n v="213.3"/>
    <n v="400.42253521126759"/>
  </r>
  <r>
    <s v="NFX-100730"/>
    <s v="Silent Horizon 5"/>
    <s v="TV Show"/>
    <x v="8"/>
    <n v="2023"/>
    <x v="3"/>
    <s v="2021-09-19"/>
    <n v="37"/>
    <s v="PG"/>
    <n v="6.9"/>
    <n v="153"/>
    <s v="Spanish"/>
    <s v="Park Chan-wook"/>
    <s v="Chris Evans"/>
    <n v="4"/>
    <n v="57"/>
    <n v="366.3"/>
    <s v="Average"/>
    <s v="Normal"/>
    <s v="Yes"/>
    <s v="Low"/>
    <n v="309.3"/>
    <n v="642.63157894736844"/>
  </r>
  <r>
    <s v="NFX-100731"/>
    <s v="Broken Protocol 1"/>
    <s v="Movie"/>
    <x v="2"/>
    <n v="2019"/>
    <x v="5"/>
    <s v="2023-11-07"/>
    <n v="155"/>
    <s v="18+"/>
    <n v="9.6"/>
    <n v="329.5"/>
    <s v="German"/>
    <s v="Steven Spielberg"/>
    <s v="Deepika Padukone"/>
    <m/>
    <n v="128"/>
    <n v="744.3"/>
    <s v="Hit"/>
    <s v="Popular"/>
    <s v="No"/>
    <s v="High"/>
    <n v="616.29999999999995"/>
    <n v="581.484375"/>
  </r>
  <r>
    <s v="NFX-100732"/>
    <s v="Lost Chronicles 9"/>
    <s v="TV Show"/>
    <x v="5"/>
    <n v="2004"/>
    <x v="6"/>
    <s v="2018-09-20"/>
    <n v="45"/>
    <s v="PG"/>
    <n v="9.1999999999999993"/>
    <n v="32.5"/>
    <s v="German"/>
    <s v="Steven Spielberg"/>
    <s v="Song Kang-ho"/>
    <n v="2"/>
    <n v="151"/>
    <n v="695.5"/>
    <s v="Hit"/>
    <s v="Normal"/>
    <s v="Yes"/>
    <s v="High"/>
    <n v="544.5"/>
    <n v="460.59602649006621"/>
  </r>
  <r>
    <s v="NFX-100733"/>
    <s v="Fading Legacy 1"/>
    <s v="TV Show"/>
    <x v="4"/>
    <n v="2022"/>
    <x v="1"/>
    <s v="2018-05-23"/>
    <n v="60"/>
    <s v="18+"/>
    <n v="6.2"/>
    <n v="387.3"/>
    <s v="Japanese"/>
    <s v="Martin Scorsese"/>
    <s v="Ranbir Kapoor"/>
    <n v="3"/>
    <n v="72"/>
    <n v="193.5"/>
    <s v="Average"/>
    <s v="Popular"/>
    <s v="No"/>
    <s v="Low"/>
    <n v="121.5"/>
    <n v="268.75"/>
  </r>
  <r>
    <s v="NFX-100734"/>
    <s v="Broken Journey 7"/>
    <s v="Movie"/>
    <x v="10"/>
    <n v="2014"/>
    <x v="8"/>
    <s v="2018-02-01"/>
    <n v="104"/>
    <s v="PG"/>
    <n v="7.4"/>
    <n v="511.4"/>
    <s v="English"/>
    <s v="James Cameron"/>
    <s v="Brad Pitt"/>
    <m/>
    <n v="9"/>
    <n v="15.2"/>
    <s v="Average"/>
    <s v="Blockbuster"/>
    <s v="Yes"/>
    <s v="Low"/>
    <n v="6.1999999999999993"/>
    <n v="168.88888888888889"/>
  </r>
  <r>
    <s v="NFX-100735"/>
    <s v="Lost Journey 7"/>
    <s v="Movie"/>
    <x v="2"/>
    <n v="2025"/>
    <x v="7"/>
    <s v="2022-11-19"/>
    <n v="89"/>
    <s v="PG"/>
    <n v="9.3000000000000007"/>
    <n v="34.4"/>
    <s v="English"/>
    <s v="Steven Spielberg"/>
    <s v="Robert Downey Jr."/>
    <m/>
    <n v="120"/>
    <n v="628"/>
    <s v="Hit"/>
    <s v="Normal"/>
    <s v="Yes"/>
    <s v="High"/>
    <n v="508"/>
    <n v="523.33333333333337"/>
  </r>
  <r>
    <s v="NFX-100736"/>
    <s v="Golden Empire 8"/>
    <s v="Movie"/>
    <x v="2"/>
    <n v="2000"/>
    <x v="8"/>
    <s v="2021-08-11"/>
    <n v="161"/>
    <s v="PG-13"/>
    <n v="7.6"/>
    <n v="489.3"/>
    <s v="Korean"/>
    <s v="Greta Gerwig"/>
    <s v="Jennifer Lawrence"/>
    <m/>
    <n v="86"/>
    <n v="413.1"/>
    <s v="Average"/>
    <s v="Blockbuster"/>
    <s v="No"/>
    <s v="Low"/>
    <n v="327.10000000000002"/>
    <n v="480.34883720930236"/>
  </r>
  <r>
    <s v="NFX-100737"/>
    <s v="Iron Protocol 9"/>
    <s v="Movie"/>
    <x v="1"/>
    <n v="2021"/>
    <x v="2"/>
    <s v="2022-05-21"/>
    <n v="117"/>
    <s v="PG"/>
    <n v="5.0999999999999996"/>
    <n v="40.5"/>
    <s v="German"/>
    <s v="Rajkumar Hirani"/>
    <s v="Tom Hardy"/>
    <m/>
    <n v="36"/>
    <n v="181.3"/>
    <s v="Flop"/>
    <s v="Normal"/>
    <s v="Yes"/>
    <s v="Low"/>
    <n v="145.30000000000001"/>
    <n v="503.61111111111114"/>
  </r>
  <r>
    <s v="NFX-100738"/>
    <s v="Shadow Valley 5"/>
    <s v="TV Show"/>
    <x v="1"/>
    <n v="2011"/>
    <x v="0"/>
    <s v="2023-02-03"/>
    <n v="31"/>
    <s v="16+"/>
    <n v="6.6"/>
    <n v="292"/>
    <s v="Hindi"/>
    <s v="Anurag Kashyap"/>
    <s v="Robert Downey Jr."/>
    <n v="1"/>
    <n v="7"/>
    <n v="42.3"/>
    <s v="Average"/>
    <s v="Popular"/>
    <s v="No"/>
    <s v="Low"/>
    <n v="35.299999999999997"/>
    <n v="604.28571428571422"/>
  </r>
  <r>
    <s v="NFX-100739"/>
    <s v="Dark Legacy 2"/>
    <s v="Movie"/>
    <x v="2"/>
    <n v="2022"/>
    <x v="0"/>
    <s v="2018-03-23"/>
    <n v="106"/>
    <s v="16+"/>
    <n v="4.9000000000000004"/>
    <n v="540.79999999999995"/>
    <s v="Japanese"/>
    <s v="Greta Gerwig"/>
    <s v="Tom Hardy"/>
    <m/>
    <n v="109"/>
    <n v="333.4"/>
    <s v="Flop"/>
    <s v="Blockbuster"/>
    <s v="No"/>
    <s v="High"/>
    <n v="224.39999999999998"/>
    <n v="305.87155963302752"/>
  </r>
  <r>
    <s v="NFX-100740"/>
    <s v="Last Odyssey 5"/>
    <s v="TV Show"/>
    <x v="9"/>
    <n v="2006"/>
    <x v="8"/>
    <s v="2018-07-22"/>
    <n v="31"/>
    <s v="16+"/>
    <n v="5.4"/>
    <n v="442.3"/>
    <s v="Japanese"/>
    <s v="Park Chan-wook"/>
    <s v="Chris Evans"/>
    <n v="7"/>
    <n v="50"/>
    <n v="252.2"/>
    <s v="Flop"/>
    <s v="Blockbuster"/>
    <s v="No"/>
    <s v="Low"/>
    <n v="202.2"/>
    <n v="504.4"/>
  </r>
  <r>
    <s v="NFX-100741"/>
    <s v="Crystal Valley 6"/>
    <s v="Movie"/>
    <x v="6"/>
    <n v="2018"/>
    <x v="8"/>
    <s v="2022-11-16"/>
    <n v="179"/>
    <s v="PG"/>
    <n v="5"/>
    <n v="166.8"/>
    <s v="French"/>
    <s v="Guillermo del Toro"/>
    <s v="Ranbir Kapoor"/>
    <m/>
    <n v="151"/>
    <n v="223.6"/>
    <s v="Flop"/>
    <s v="Normal"/>
    <s v="Yes"/>
    <s v="High"/>
    <n v="72.599999999999994"/>
    <n v="148.07947019867549"/>
  </r>
  <r>
    <s v="NFX-100742"/>
    <s v="Lost City 6"/>
    <s v="TV Show"/>
    <x v="5"/>
    <n v="2009"/>
    <x v="4"/>
    <s v="2018-02-15"/>
    <n v="56"/>
    <s v="18+"/>
    <n v="5.3"/>
    <n v="272.8"/>
    <s v="German"/>
    <s v="Steven Spielberg"/>
    <s v="Leonardo DiCaprio"/>
    <n v="8"/>
    <n v="47"/>
    <n v="118.4"/>
    <s v="Flop"/>
    <s v="Popular"/>
    <s v="No"/>
    <s v="Low"/>
    <n v="71.400000000000006"/>
    <n v="251.91489361702128"/>
  </r>
  <r>
    <s v="NFX-100743"/>
    <s v="Hidden Storm 4"/>
    <s v="Movie"/>
    <x v="8"/>
    <n v="2003"/>
    <x v="8"/>
    <s v="2023-08-23"/>
    <n v="176"/>
    <s v="G"/>
    <n v="8.1999999999999993"/>
    <n v="3.8"/>
    <s v="Japanese"/>
    <s v="Guillermo del Toro"/>
    <s v="Brad Pitt"/>
    <m/>
    <n v="145"/>
    <n v="907.2"/>
    <s v="Hit"/>
    <s v="Normal"/>
    <s v="Yes"/>
    <s v="High"/>
    <n v="762.2"/>
    <n v="625.65517241379314"/>
  </r>
  <r>
    <s v="NFX-100744"/>
    <s v="Midnight Odyssey 4"/>
    <s v="Movie"/>
    <x v="5"/>
    <n v="2022"/>
    <x v="3"/>
    <s v="2022-03-21"/>
    <n v="86"/>
    <s v="G"/>
    <n v="8.3000000000000007"/>
    <n v="182.2"/>
    <s v="Japanese"/>
    <s v="Christopher Nolan"/>
    <s v="Timothée Chalamet"/>
    <m/>
    <n v="161"/>
    <n v="637.20000000000005"/>
    <s v="Hit"/>
    <s v="Normal"/>
    <s v="Yes"/>
    <s v="High"/>
    <n v="476.20000000000005"/>
    <n v="395.776397515528"/>
  </r>
  <r>
    <s v="NFX-100745"/>
    <s v="Broken Odyssey 5"/>
    <s v="Movie"/>
    <x v="10"/>
    <n v="2002"/>
    <x v="5"/>
    <s v="2019-06-09"/>
    <n v="87"/>
    <s v="G"/>
    <n v="9.3000000000000007"/>
    <n v="526.4"/>
    <s v="Korean"/>
    <s v="Ridley Scott"/>
    <s v="Shah Rukh Khan"/>
    <m/>
    <n v="133"/>
    <n v="441.7"/>
    <s v="Hit"/>
    <s v="Blockbuster"/>
    <s v="Yes"/>
    <s v="High"/>
    <n v="308.7"/>
    <n v="332.10526315789474"/>
  </r>
  <r>
    <s v="NFX-100746"/>
    <s v="Golden Empire 5"/>
    <s v="TV Show"/>
    <x v="1"/>
    <n v="2007"/>
    <x v="3"/>
    <s v="2020-10-07"/>
    <n v="45"/>
    <s v="PG"/>
    <n v="7.1"/>
    <n v="245.4"/>
    <s v="Japanese"/>
    <s v="Steven Spielberg"/>
    <s v="Robert Downey Jr."/>
    <n v="2"/>
    <n v="191"/>
    <n v="814.1"/>
    <s v="Average"/>
    <s v="Popular"/>
    <s v="Yes"/>
    <s v="High"/>
    <n v="623.1"/>
    <n v="426.23036649214663"/>
  </r>
  <r>
    <s v="NFX-100747"/>
    <s v="Golden Chronicles 1"/>
    <s v="TV Show"/>
    <x v="9"/>
    <n v="2025"/>
    <x v="0"/>
    <s v="2019-04-15"/>
    <n v="31"/>
    <s v="16+"/>
    <n v="6.3"/>
    <n v="335.4"/>
    <s v="Hindi"/>
    <s v="Zoya Akhtar"/>
    <s v="Scarlett Johansson"/>
    <n v="3"/>
    <n v="154"/>
    <n v="188.4"/>
    <s v="Average"/>
    <s v="Popular"/>
    <s v="No"/>
    <s v="High"/>
    <n v="34.400000000000006"/>
    <n v="122.33766233766235"/>
  </r>
  <r>
    <s v="NFX-100748"/>
    <s v="Rising Empire 3"/>
    <s v="TV Show"/>
    <x v="6"/>
    <n v="2002"/>
    <x v="0"/>
    <s v="2022-07-05"/>
    <n v="51"/>
    <s v="PG"/>
    <n v="6.9"/>
    <n v="102.4"/>
    <s v="Japanese"/>
    <s v="Ridley Scott"/>
    <s v="Ryan Gosling"/>
    <n v="1"/>
    <n v="18"/>
    <n v="24"/>
    <s v="Average"/>
    <s v="Normal"/>
    <s v="Yes"/>
    <s v="Low"/>
    <n v="6"/>
    <n v="133.33333333333331"/>
  </r>
  <r>
    <s v="NFX-100749"/>
    <s v="Secret Echo 6"/>
    <s v="Movie"/>
    <x v="6"/>
    <n v="2015"/>
    <x v="2"/>
    <s v="2023-07-03"/>
    <n v="96"/>
    <s v="18+"/>
    <n v="6.3"/>
    <n v="16.3"/>
    <s v="French"/>
    <s v="Rajkumar Hirani"/>
    <s v="Ranbir Kapoor"/>
    <m/>
    <n v="120"/>
    <n v="687.2"/>
    <s v="Average"/>
    <s v="Normal"/>
    <s v="No"/>
    <s v="High"/>
    <n v="567.20000000000005"/>
    <n v="572.66666666666674"/>
  </r>
  <r>
    <s v="NFX-100750"/>
    <s v="Iron City 1"/>
    <s v="TV Show"/>
    <x v="2"/>
    <n v="2009"/>
    <x v="9"/>
    <s v="2019-01-21"/>
    <n v="33"/>
    <s v="16+"/>
    <n v="8.1999999999999993"/>
    <n v="233.9"/>
    <s v="Hindi"/>
    <s v="James Cameron"/>
    <s v="Brad Pitt"/>
    <n v="6"/>
    <n v="29"/>
    <n v="170.4"/>
    <s v="Hit"/>
    <s v="Popular"/>
    <s v="No"/>
    <s v="Low"/>
    <n v="141.4"/>
    <n v="587.58620689655174"/>
  </r>
  <r>
    <s v="NFX-100751"/>
    <s v="Last Archive 4"/>
    <s v="TV Show"/>
    <x v="4"/>
    <n v="2020"/>
    <x v="2"/>
    <s v="2023-10-21"/>
    <n v="60"/>
    <s v="18+"/>
    <n v="7.2"/>
    <n v="286.7"/>
    <s v="Japanese"/>
    <s v="Steven Spielberg"/>
    <s v="Lee Jung-jae"/>
    <n v="7"/>
    <n v="153"/>
    <n v="362.7"/>
    <s v="Average"/>
    <s v="Popular"/>
    <s v="No"/>
    <s v="High"/>
    <n v="209.7"/>
    <n v="237.05882352941177"/>
  </r>
  <r>
    <s v="NFX-100752"/>
    <s v="Secret Code 4"/>
    <s v="TV Show"/>
    <x v="1"/>
    <n v="2002"/>
    <x v="3"/>
    <s v="2019-03-10"/>
    <n v="41"/>
    <s v="16+"/>
    <n v="6.5"/>
    <n v="52.2"/>
    <s v="Korean"/>
    <s v="Denis Villeneuve"/>
    <s v="Deepika Padukone"/>
    <n v="2"/>
    <n v="52"/>
    <n v="275.89999999999998"/>
    <s v="Average"/>
    <s v="Normal"/>
    <s v="No"/>
    <s v="Low"/>
    <n v="223.89999999999998"/>
    <n v="530.57692307692298"/>
  </r>
  <r>
    <s v="NFX-100753"/>
    <s v="Iron Journey 8"/>
    <s v="TV Show"/>
    <x v="9"/>
    <n v="2010"/>
    <x v="1"/>
    <s v="2021-11-13"/>
    <n v="56"/>
    <s v="G"/>
    <n v="9.4"/>
    <n v="539.5"/>
    <s v="Hindi"/>
    <s v="Guillermo del Toro"/>
    <s v="Leonardo DiCaprio"/>
    <n v="7"/>
    <n v="85"/>
    <n v="129.6"/>
    <s v="Hit"/>
    <s v="Blockbuster"/>
    <s v="Yes"/>
    <s v="Low"/>
    <n v="44.599999999999994"/>
    <n v="152.47058823529412"/>
  </r>
  <r>
    <s v="NFX-100754"/>
    <s v="Dark Code 5"/>
    <s v="TV Show"/>
    <x v="7"/>
    <n v="2007"/>
    <x v="8"/>
    <s v="2024-02-06"/>
    <n v="41"/>
    <s v="G"/>
    <n v="7"/>
    <n v="113"/>
    <s v="Hindi"/>
    <s v="Quentin Tarantino"/>
    <s v="Chris Evans"/>
    <n v="3"/>
    <n v="61"/>
    <n v="169.6"/>
    <s v="Average"/>
    <s v="Normal"/>
    <s v="Yes"/>
    <s v="Low"/>
    <n v="108.6"/>
    <n v="278.03278688524591"/>
  </r>
  <r>
    <s v="NFX-100755"/>
    <s v="Fading Journey 4"/>
    <s v="Movie"/>
    <x v="1"/>
    <n v="2010"/>
    <x v="9"/>
    <s v="2022-01-03"/>
    <n v="110"/>
    <s v="18+"/>
    <n v="6.4"/>
    <n v="255.6"/>
    <s v="Japanese"/>
    <s v="Zoya Akhtar"/>
    <s v="Ryan Gosling"/>
    <m/>
    <n v="110"/>
    <n v="504.8"/>
    <s v="Average"/>
    <s v="Popular"/>
    <s v="No"/>
    <s v="High"/>
    <n v="394.8"/>
    <n v="458.90909090909088"/>
  </r>
  <r>
    <s v="NFX-100756"/>
    <s v="Iron Chronicles 4"/>
    <s v="Movie"/>
    <x v="9"/>
    <n v="2021"/>
    <x v="3"/>
    <s v="2020-05-07"/>
    <n v="88"/>
    <s v="16+"/>
    <n v="5.9"/>
    <n v="499.7"/>
    <s v="Korean"/>
    <s v="Denis Villeneuve"/>
    <s v="Robert Downey Jr."/>
    <m/>
    <n v="37"/>
    <n v="183.3"/>
    <s v="Flop"/>
    <s v="Blockbuster"/>
    <s v="No"/>
    <s v="Low"/>
    <n v="146.30000000000001"/>
    <n v="495.40540540540547"/>
  </r>
  <r>
    <s v="NFX-100757"/>
    <s v="Crystal Code 4"/>
    <s v="Movie"/>
    <x v="4"/>
    <n v="2018"/>
    <x v="1"/>
    <s v="2024-01-14"/>
    <n v="133"/>
    <s v="PG"/>
    <n v="4.8"/>
    <n v="329.2"/>
    <s v="Hindi"/>
    <s v="Zoya Akhtar"/>
    <s v="Deepika Padukone"/>
    <m/>
    <n v="146"/>
    <n v="891.2"/>
    <s v="Flop"/>
    <s v="Popular"/>
    <s v="Yes"/>
    <s v="High"/>
    <n v="745.2"/>
    <n v="610.41095890410963"/>
  </r>
  <r>
    <s v="NFX-100758"/>
    <s v="Shadow Journey 5"/>
    <s v="TV Show"/>
    <x v="10"/>
    <n v="2016"/>
    <x v="7"/>
    <s v="2022-07-13"/>
    <n v="59"/>
    <s v="G"/>
    <n v="5.9"/>
    <n v="23.9"/>
    <s v="Korean"/>
    <s v="James Cameron"/>
    <s v="Robert Downey Jr."/>
    <n v="6"/>
    <n v="88"/>
    <n v="171.4"/>
    <s v="Flop"/>
    <s v="Normal"/>
    <s v="Yes"/>
    <s v="Low"/>
    <n v="83.4"/>
    <n v="194.77272727272728"/>
  </r>
  <r>
    <s v="NFX-100759"/>
    <s v="Dark City 2"/>
    <s v="TV Show"/>
    <x v="0"/>
    <n v="2003"/>
    <x v="2"/>
    <s v="2021-01-12"/>
    <n v="48"/>
    <s v="G"/>
    <n v="6.4"/>
    <n v="466.7"/>
    <s v="French"/>
    <s v="Greta Gerwig"/>
    <s v="Robert Downey Jr."/>
    <n v="3"/>
    <n v="12"/>
    <n v="48.1"/>
    <s v="Average"/>
    <s v="Blockbuster"/>
    <s v="Yes"/>
    <s v="Low"/>
    <n v="36.1"/>
    <n v="400.83333333333337"/>
  </r>
  <r>
    <s v="NFX-100760"/>
    <s v="Iron Storm 7"/>
    <s v="TV Show"/>
    <x v="0"/>
    <n v="2019"/>
    <x v="8"/>
    <s v="2021-03-18"/>
    <n v="45"/>
    <s v="18+"/>
    <n v="4.5"/>
    <n v="335.4"/>
    <s v="Spanish"/>
    <s v="Anurag Kashyap"/>
    <s v="Song Kang-ho"/>
    <n v="8"/>
    <n v="140"/>
    <n v="270"/>
    <s v="Flop"/>
    <s v="Popular"/>
    <s v="No"/>
    <s v="High"/>
    <n v="130"/>
    <n v="192.85714285714286"/>
  </r>
  <r>
    <s v="NFX-100761"/>
    <s v="Hidden Storm 5"/>
    <s v="Movie"/>
    <x v="2"/>
    <n v="2025"/>
    <x v="3"/>
    <s v="2024-04-28"/>
    <n v="145"/>
    <s v="18+"/>
    <n v="8.5"/>
    <n v="117.9"/>
    <s v="Korean"/>
    <s v="Anurag Kashyap"/>
    <s v="Emma Stone"/>
    <m/>
    <n v="17"/>
    <n v="43.5"/>
    <s v="Hit"/>
    <s v="Normal"/>
    <s v="No"/>
    <s v="Low"/>
    <n v="26.5"/>
    <n v="255.88235294117646"/>
  </r>
  <r>
    <s v="NFX-100762"/>
    <s v="Crystal Echo 7"/>
    <s v="Movie"/>
    <x v="5"/>
    <n v="2008"/>
    <x v="6"/>
    <s v="2019-09-19"/>
    <n v="87"/>
    <s v="G"/>
    <n v="8.9"/>
    <n v="35.6"/>
    <s v="German"/>
    <s v="Martin Scorsese"/>
    <s v="Brad Pitt"/>
    <m/>
    <n v="116"/>
    <n v="312.10000000000002"/>
    <s v="Hit"/>
    <s v="Normal"/>
    <s v="Yes"/>
    <s v="High"/>
    <n v="196.10000000000002"/>
    <n v="269.05172413793105"/>
  </r>
  <r>
    <s v="NFX-100763"/>
    <s v="Crystal Frontier 7"/>
    <s v="Movie"/>
    <x v="2"/>
    <n v="2003"/>
    <x v="7"/>
    <s v="2021-08-13"/>
    <n v="89"/>
    <s v="PG"/>
    <n v="5.6"/>
    <n v="438.8"/>
    <s v="French"/>
    <s v="James Cameron"/>
    <s v="Brad Pitt"/>
    <m/>
    <n v="200"/>
    <n v="470.3"/>
    <s v="Flop"/>
    <s v="Blockbuster"/>
    <s v="Yes"/>
    <s v="High"/>
    <n v="270.3"/>
    <n v="235.15"/>
  </r>
  <r>
    <s v="NFX-100764"/>
    <s v="Secret Odyssey 2"/>
    <s v="TV Show"/>
    <x v="8"/>
    <n v="2006"/>
    <x v="8"/>
    <s v="2023-08-26"/>
    <n v="43"/>
    <s v="PG-13"/>
    <n v="6.4"/>
    <n v="539.70000000000005"/>
    <s v="Japanese"/>
    <s v="Greta Gerwig"/>
    <s v="Song Kang-ho"/>
    <n v="2"/>
    <n v="73"/>
    <n v="406.7"/>
    <s v="Average"/>
    <s v="Blockbuster"/>
    <s v="No"/>
    <s v="Low"/>
    <n v="333.7"/>
    <n v="557.1232876712329"/>
  </r>
  <r>
    <s v="NFX-100765"/>
    <s v="Hidden Valley 4"/>
    <s v="Movie"/>
    <x v="2"/>
    <n v="2022"/>
    <x v="8"/>
    <s v="2019-05-23"/>
    <n v="85"/>
    <s v="18+"/>
    <n v="8"/>
    <n v="519.9"/>
    <s v="English"/>
    <s v="Rajkumar Hirani"/>
    <s v="Brad Pitt"/>
    <m/>
    <n v="112"/>
    <n v="534.79999999999995"/>
    <s v="Hit"/>
    <s v="Blockbuster"/>
    <s v="No"/>
    <s v="High"/>
    <n v="422.79999999999995"/>
    <n v="477.49999999999994"/>
  </r>
  <r>
    <s v="NFX-100766"/>
    <s v="Hidden Chronicles 7"/>
    <s v="Movie"/>
    <x v="5"/>
    <n v="2005"/>
    <x v="0"/>
    <s v="2022-08-02"/>
    <n v="104"/>
    <s v="18+"/>
    <n v="6.7"/>
    <n v="516.4"/>
    <s v="Hindi"/>
    <s v="Steven Spielberg"/>
    <s v="Leonardo DiCaprio"/>
    <m/>
    <n v="138"/>
    <n v="601"/>
    <s v="Average"/>
    <s v="Blockbuster"/>
    <s v="No"/>
    <s v="High"/>
    <n v="463"/>
    <n v="435.50724637681162"/>
  </r>
  <r>
    <s v="NFX-100767"/>
    <s v="Midnight Valley 6"/>
    <s v="TV Show"/>
    <x v="2"/>
    <n v="2003"/>
    <x v="2"/>
    <s v="2022-11-04"/>
    <n v="33"/>
    <s v="18+"/>
    <n v="7.7"/>
    <n v="205.3"/>
    <s v="French"/>
    <s v="Anurag Kashyap"/>
    <s v="Song Kang-ho"/>
    <n v="6"/>
    <n v="70"/>
    <n v="100.7"/>
    <s v="Average"/>
    <s v="Popular"/>
    <s v="No"/>
    <s v="Low"/>
    <n v="30.700000000000003"/>
    <n v="143.85714285714286"/>
  </r>
  <r>
    <s v="NFX-100768"/>
    <s v="Silent Empire 4"/>
    <s v="Movie"/>
    <x v="1"/>
    <n v="2023"/>
    <x v="4"/>
    <s v="2019-08-24"/>
    <n v="168"/>
    <s v="PG"/>
    <n v="7.2"/>
    <n v="230.6"/>
    <s v="German"/>
    <s v="Quentin Tarantino"/>
    <s v="Shah Rukh Khan"/>
    <m/>
    <n v="36"/>
    <n v="132.4"/>
    <s v="Average"/>
    <s v="Popular"/>
    <s v="Yes"/>
    <s v="Low"/>
    <n v="96.4"/>
    <n v="367.77777777777783"/>
  </r>
  <r>
    <s v="NFX-100769"/>
    <s v="Rising Valley 7"/>
    <s v="TV Show"/>
    <x v="6"/>
    <n v="2022"/>
    <x v="9"/>
    <s v="2020-10-11"/>
    <n v="52"/>
    <s v="16+"/>
    <n v="4.9000000000000004"/>
    <n v="573.29999999999995"/>
    <s v="Spanish"/>
    <s v="Martin Scorsese"/>
    <s v="Emma Stone"/>
    <n v="2"/>
    <n v="164"/>
    <n v="1023.4"/>
    <s v="Flop"/>
    <s v="Blockbuster"/>
    <s v="No"/>
    <s v="High"/>
    <n v="859.4"/>
    <n v="624.02439024390242"/>
  </r>
  <r>
    <s v="NFX-100770"/>
    <s v="Secret Storm 1"/>
    <s v="Movie"/>
    <x v="2"/>
    <n v="2011"/>
    <x v="0"/>
    <s v="2020-02-23"/>
    <n v="172"/>
    <s v="16+"/>
    <n v="5.3"/>
    <n v="565.70000000000005"/>
    <s v="Spanish"/>
    <s v="Ridley Scott"/>
    <s v="Robert Downey Jr."/>
    <m/>
    <n v="88"/>
    <n v="422.7"/>
    <s v="Flop"/>
    <s v="Blockbuster"/>
    <s v="No"/>
    <s v="Low"/>
    <n v="334.7"/>
    <n v="480.34090909090912"/>
  </r>
  <r>
    <s v="NFX-100771"/>
    <s v="Shadow Valley 6"/>
    <s v="Movie"/>
    <x v="9"/>
    <n v="2009"/>
    <x v="2"/>
    <s v="2018-12-14"/>
    <n v="137"/>
    <s v="G"/>
    <n v="7.2"/>
    <n v="341.1"/>
    <s v="Korean"/>
    <s v="Denis Villeneuve"/>
    <s v="Song Kang-ho"/>
    <m/>
    <n v="127"/>
    <n v="697.6"/>
    <s v="Average"/>
    <s v="Popular"/>
    <s v="Yes"/>
    <s v="High"/>
    <n v="570.6"/>
    <n v="549.29133858267721"/>
  </r>
  <r>
    <s v="NFX-100772"/>
    <s v="Iron Protocol 7"/>
    <s v="Movie"/>
    <x v="7"/>
    <n v="2019"/>
    <x v="9"/>
    <s v="2018-01-23"/>
    <n v="92"/>
    <s v="PG"/>
    <n v="6.8"/>
    <n v="526.79999999999995"/>
    <s v="Korean"/>
    <s v="Steven Spielberg"/>
    <s v="Emma Stone"/>
    <m/>
    <n v="56"/>
    <n v="99.5"/>
    <s v="Average"/>
    <s v="Blockbuster"/>
    <s v="Yes"/>
    <s v="Low"/>
    <n v="43.5"/>
    <n v="177.67857142857142"/>
  </r>
  <r>
    <s v="NFX-100773"/>
    <s v="Last Horizon 3"/>
    <s v="Movie"/>
    <x v="9"/>
    <n v="2021"/>
    <x v="8"/>
    <s v="2024-06-09"/>
    <n v="115"/>
    <s v="PG"/>
    <n v="4.7"/>
    <n v="233.7"/>
    <s v="Korean"/>
    <s v="Bong Joon-ho"/>
    <s v="Leonardo DiCaprio"/>
    <m/>
    <n v="160"/>
    <n v="709.1"/>
    <s v="Flop"/>
    <s v="Popular"/>
    <s v="Yes"/>
    <s v="High"/>
    <n v="549.1"/>
    <n v="443.1875"/>
  </r>
  <r>
    <s v="NFX-100774"/>
    <s v="Last Archive 9"/>
    <s v="Movie"/>
    <x v="2"/>
    <n v="2007"/>
    <x v="2"/>
    <s v="2019-01-30"/>
    <n v="158"/>
    <s v="G"/>
    <n v="6.5"/>
    <n v="447.2"/>
    <s v="German"/>
    <s v="Christopher Nolan"/>
    <s v="Tom Hardy"/>
    <m/>
    <n v="97"/>
    <n v="212.7"/>
    <s v="Average"/>
    <s v="Blockbuster"/>
    <s v="Yes"/>
    <s v="Low"/>
    <n v="115.69999999999999"/>
    <n v="219.2783505154639"/>
  </r>
  <r>
    <s v="NFX-100775"/>
    <s v="Silent Echo 4"/>
    <s v="Movie"/>
    <x v="2"/>
    <n v="2017"/>
    <x v="7"/>
    <s v="2023-05-12"/>
    <n v="102"/>
    <s v="PG"/>
    <n v="8.8000000000000007"/>
    <n v="306"/>
    <s v="Hindi"/>
    <s v="Park Chan-wook"/>
    <s v="Tom Hardy"/>
    <m/>
    <n v="75"/>
    <n v="483.6"/>
    <s v="Hit"/>
    <s v="Popular"/>
    <s v="Yes"/>
    <s v="Low"/>
    <n v="408.6"/>
    <n v="644.80000000000007"/>
  </r>
  <r>
    <s v="NFX-100776"/>
    <s v="Last Empire 3"/>
    <s v="Movie"/>
    <x v="4"/>
    <n v="2023"/>
    <x v="2"/>
    <s v="2019-10-08"/>
    <n v="149"/>
    <s v="PG-13"/>
    <n v="7.3"/>
    <n v="593.70000000000005"/>
    <s v="Japanese"/>
    <s v="Sanjay Leela Bhansali"/>
    <s v="Lee Jung-jae"/>
    <m/>
    <n v="160"/>
    <n v="285.89999999999998"/>
    <s v="Average"/>
    <s v="Blockbuster"/>
    <s v="No"/>
    <s v="High"/>
    <n v="125.89999999999998"/>
    <n v="178.68749999999997"/>
  </r>
  <r>
    <s v="NFX-100777"/>
    <s v="Dark Frontier 7"/>
    <s v="Movie"/>
    <x v="1"/>
    <n v="2003"/>
    <x v="4"/>
    <s v="2023-06-19"/>
    <n v="175"/>
    <s v="G"/>
    <n v="7.3"/>
    <n v="464.2"/>
    <s v="English"/>
    <s v="James Cameron"/>
    <s v="Emma Stone"/>
    <m/>
    <n v="118"/>
    <n v="269.3"/>
    <s v="Average"/>
    <s v="Blockbuster"/>
    <s v="Yes"/>
    <s v="High"/>
    <n v="151.30000000000001"/>
    <n v="228.22033898305088"/>
  </r>
  <r>
    <s v="NFX-100778"/>
    <s v="Burning Archive 8"/>
    <s v="Movie"/>
    <x v="8"/>
    <n v="2009"/>
    <x v="5"/>
    <s v="2023-10-19"/>
    <n v="148"/>
    <s v="PG-13"/>
    <n v="5.9"/>
    <n v="380.5"/>
    <s v="Japanese"/>
    <s v="Park Chan-wook"/>
    <s v="Shah Rukh Khan"/>
    <m/>
    <n v="26"/>
    <n v="97.8"/>
    <s v="Flop"/>
    <s v="Popular"/>
    <s v="No"/>
    <s v="Low"/>
    <n v="71.8"/>
    <n v="376.15384615384613"/>
  </r>
  <r>
    <s v="NFX-100779"/>
    <s v="Fading Frontier 6"/>
    <s v="TV Show"/>
    <x v="4"/>
    <n v="2018"/>
    <x v="6"/>
    <s v="2020-10-29"/>
    <n v="39"/>
    <s v="16+"/>
    <n v="5.2"/>
    <n v="66.3"/>
    <s v="Spanish"/>
    <s v="Steven Spielberg"/>
    <s v="Timothée Chalamet"/>
    <n v="5"/>
    <n v="145"/>
    <n v="372.4"/>
    <s v="Flop"/>
    <s v="Normal"/>
    <s v="No"/>
    <s v="High"/>
    <n v="227.39999999999998"/>
    <n v="256.82758620689651"/>
  </r>
  <r>
    <s v="NFX-100780"/>
    <s v="Dark Valley 1"/>
    <s v="Movie"/>
    <x v="9"/>
    <n v="2025"/>
    <x v="0"/>
    <s v="2020-12-26"/>
    <n v="117"/>
    <s v="PG"/>
    <n v="7.4"/>
    <n v="535.5"/>
    <s v="Hindi"/>
    <s v="Rajkumar Hirani"/>
    <s v="Scarlett Johansson"/>
    <m/>
    <n v="31"/>
    <n v="161.80000000000001"/>
    <s v="Average"/>
    <s v="Blockbuster"/>
    <s v="Yes"/>
    <s v="Low"/>
    <n v="130.80000000000001"/>
    <n v="521.9354838709678"/>
  </r>
  <r>
    <s v="NFX-100781"/>
    <s v="Last Horizon 1"/>
    <s v="TV Show"/>
    <x v="0"/>
    <n v="2012"/>
    <x v="7"/>
    <s v="2023-08-07"/>
    <n v="38"/>
    <s v="16+"/>
    <n v="6.4"/>
    <n v="246.6"/>
    <s v="German"/>
    <s v="Greta Gerwig"/>
    <s v="Timothée Chalamet"/>
    <n v="4"/>
    <n v="147"/>
    <n v="247.8"/>
    <s v="Average"/>
    <s v="Popular"/>
    <s v="No"/>
    <s v="High"/>
    <n v="100.80000000000001"/>
    <n v="168.57142857142858"/>
  </r>
  <r>
    <s v="NFX-100782"/>
    <s v="Hidden City 2"/>
    <s v="Movie"/>
    <x v="7"/>
    <n v="2001"/>
    <x v="0"/>
    <s v="2020-04-10"/>
    <n v="171"/>
    <s v="PG-13"/>
    <n v="4.9000000000000004"/>
    <n v="160"/>
    <s v="English"/>
    <s v="Ridley Scott"/>
    <s v="Song Kang-ho"/>
    <m/>
    <n v="88"/>
    <n v="319.7"/>
    <s v="Flop"/>
    <s v="Normal"/>
    <s v="No"/>
    <s v="Low"/>
    <n v="231.7"/>
    <n v="363.2954545454545"/>
  </r>
  <r>
    <s v="NFX-100783"/>
    <s v="Midnight City 6"/>
    <s v="Movie"/>
    <x v="7"/>
    <n v="2023"/>
    <x v="8"/>
    <s v="2023-01-13"/>
    <n v="161"/>
    <s v="PG-13"/>
    <n v="7.1"/>
    <n v="313.39999999999998"/>
    <s v="Japanese"/>
    <s v="Greta Gerwig"/>
    <s v="Timothée Chalamet"/>
    <m/>
    <n v="181"/>
    <n v="786"/>
    <s v="Average"/>
    <s v="Popular"/>
    <s v="No"/>
    <s v="High"/>
    <n v="605"/>
    <n v="434.25414364640886"/>
  </r>
  <r>
    <s v="NFX-100784"/>
    <s v="Golden Storm 8"/>
    <s v="Movie"/>
    <x v="0"/>
    <n v="2012"/>
    <x v="0"/>
    <s v="2021-05-02"/>
    <n v="96"/>
    <s v="PG"/>
    <n v="9.6"/>
    <n v="553.9"/>
    <s v="Korean"/>
    <s v="Ridley Scott"/>
    <s v="Brad Pitt"/>
    <m/>
    <n v="17"/>
    <n v="39.1"/>
    <s v="Hit"/>
    <s v="Blockbuster"/>
    <s v="Yes"/>
    <s v="Low"/>
    <n v="22.1"/>
    <n v="230.00000000000003"/>
  </r>
  <r>
    <s v="NFX-100785"/>
    <s v="Secret Chronicles 5"/>
    <s v="Movie"/>
    <x v="1"/>
    <n v="2002"/>
    <x v="4"/>
    <s v="2024-10-17"/>
    <n v="116"/>
    <s v="G"/>
    <n v="9.5"/>
    <n v="314.5"/>
    <s v="English"/>
    <s v="Quentin Tarantino"/>
    <s v="Robert Downey Jr."/>
    <m/>
    <n v="154"/>
    <n v="250.2"/>
    <s v="Hit"/>
    <s v="Popular"/>
    <s v="Yes"/>
    <s v="High"/>
    <n v="96.199999999999989"/>
    <n v="162.46753246753244"/>
  </r>
  <r>
    <s v="NFX-100786"/>
    <s v="Crystal City 3"/>
    <s v="TV Show"/>
    <x v="3"/>
    <n v="2024"/>
    <x v="6"/>
    <s v="2019-03-17"/>
    <n v="58"/>
    <s v="18+"/>
    <n v="8.6999999999999993"/>
    <n v="522.20000000000005"/>
    <s v="Korean"/>
    <s v="Greta Gerwig"/>
    <s v="Brad Pitt"/>
    <n v="4"/>
    <n v="110"/>
    <n v="213.5"/>
    <s v="Hit"/>
    <s v="Blockbuster"/>
    <s v="No"/>
    <s v="High"/>
    <n v="103.5"/>
    <n v="194.09090909090909"/>
  </r>
  <r>
    <s v="NFX-100787"/>
    <s v="Silent Frontier 6"/>
    <s v="Movie"/>
    <x v="8"/>
    <n v="2022"/>
    <x v="4"/>
    <s v="2020-11-10"/>
    <n v="145"/>
    <s v="G"/>
    <n v="5.8"/>
    <n v="193.5"/>
    <s v="Spanish"/>
    <s v="Quentin Tarantino"/>
    <s v="Ranbir Kapoor"/>
    <m/>
    <n v="187"/>
    <n v="1139"/>
    <s v="Flop"/>
    <s v="Normal"/>
    <s v="Yes"/>
    <s v="High"/>
    <n v="952"/>
    <n v="609.09090909090912"/>
  </r>
  <r>
    <s v="NFX-100788"/>
    <s v="Shadow Empire 7"/>
    <s v="TV Show"/>
    <x v="4"/>
    <n v="2002"/>
    <x v="6"/>
    <s v="2023-06-03"/>
    <n v="46"/>
    <s v="PG-13"/>
    <n v="6.8"/>
    <n v="6.8"/>
    <s v="Hindi"/>
    <s v="Denis Villeneuve"/>
    <s v="Emma Stone"/>
    <n v="3"/>
    <n v="81"/>
    <n v="206.6"/>
    <s v="Average"/>
    <s v="Normal"/>
    <s v="No"/>
    <s v="Low"/>
    <n v="125.6"/>
    <n v="255.06172839506172"/>
  </r>
  <r>
    <s v="NFX-100789"/>
    <s v="Iron Storm 6"/>
    <s v="TV Show"/>
    <x v="8"/>
    <n v="2012"/>
    <x v="6"/>
    <s v="2019-07-03"/>
    <n v="49"/>
    <s v="PG"/>
    <n v="7.1"/>
    <n v="578.79999999999995"/>
    <s v="German"/>
    <s v="Greta Gerwig"/>
    <s v="Leonardo DiCaprio"/>
    <n v="5"/>
    <n v="152"/>
    <n v="694.5"/>
    <s v="Average"/>
    <s v="Blockbuster"/>
    <s v="Yes"/>
    <s v="High"/>
    <n v="542.5"/>
    <n v="456.90789473684214"/>
  </r>
  <r>
    <s v="NFX-100790"/>
    <s v="Silent Echo 5"/>
    <s v="TV Show"/>
    <x v="0"/>
    <n v="2023"/>
    <x v="0"/>
    <s v="2023-08-05"/>
    <n v="50"/>
    <s v="G"/>
    <n v="7.8"/>
    <n v="266.2"/>
    <s v="English"/>
    <s v="Park Chan-wook"/>
    <s v="Brad Pitt"/>
    <n v="7"/>
    <n v="140"/>
    <n v="200.9"/>
    <s v="Average"/>
    <s v="Popular"/>
    <s v="Yes"/>
    <s v="High"/>
    <n v="60.900000000000006"/>
    <n v="143.5"/>
  </r>
  <r>
    <s v="NFX-100791"/>
    <s v="Last Code 4"/>
    <s v="Movie"/>
    <x v="3"/>
    <n v="2000"/>
    <x v="5"/>
    <s v="2022-10-01"/>
    <n v="180"/>
    <s v="G"/>
    <n v="8.8000000000000007"/>
    <n v="427.5"/>
    <s v="Korean"/>
    <s v="Guillermo del Toro"/>
    <s v="Robert Downey Jr."/>
    <m/>
    <n v="39"/>
    <n v="196.7"/>
    <s v="Hit"/>
    <s v="Blockbuster"/>
    <s v="Yes"/>
    <s v="Low"/>
    <n v="157.69999999999999"/>
    <n v="504.35897435897436"/>
  </r>
  <r>
    <s v="NFX-100792"/>
    <s v="Crystal Frontier 2"/>
    <s v="Movie"/>
    <x v="4"/>
    <n v="2023"/>
    <x v="9"/>
    <s v="2023-08-14"/>
    <n v="166"/>
    <s v="G"/>
    <n v="7.2"/>
    <n v="16"/>
    <s v="Japanese"/>
    <s v="Martin Scorsese"/>
    <s v="Timothée Chalamet"/>
    <m/>
    <n v="36"/>
    <n v="155"/>
    <s v="Average"/>
    <s v="Normal"/>
    <s v="Yes"/>
    <s v="Low"/>
    <n v="119"/>
    <n v="430.55555555555554"/>
  </r>
  <r>
    <s v="NFX-100793"/>
    <s v="Hidden Archive 7"/>
    <s v="TV Show"/>
    <x v="2"/>
    <n v="2016"/>
    <x v="5"/>
    <s v="2018-07-30"/>
    <n v="49"/>
    <s v="PG"/>
    <n v="6.9"/>
    <n v="288.89999999999998"/>
    <s v="English"/>
    <s v="Sanjay Leela Bhansali"/>
    <s v="Scarlett Johansson"/>
    <n v="8"/>
    <n v="59"/>
    <n v="314.5"/>
    <s v="Average"/>
    <s v="Popular"/>
    <s v="Yes"/>
    <s v="Low"/>
    <n v="255.5"/>
    <n v="533.05084745762713"/>
  </r>
  <r>
    <s v="NFX-100794"/>
    <s v="Midnight Odyssey 5"/>
    <s v="Movie"/>
    <x v="6"/>
    <n v="2020"/>
    <x v="8"/>
    <s v="2019-06-09"/>
    <n v="109"/>
    <s v="PG-13"/>
    <n v="7.8"/>
    <n v="189.2"/>
    <s v="Spanish"/>
    <s v="Denis Villeneuve"/>
    <s v="Jennifer Lawrence"/>
    <m/>
    <n v="24"/>
    <n v="92.4"/>
    <s v="Average"/>
    <s v="Normal"/>
    <s v="No"/>
    <s v="Low"/>
    <n v="68.400000000000006"/>
    <n v="385"/>
  </r>
  <r>
    <s v="NFX-100795"/>
    <s v="Silent Protocol 5"/>
    <s v="TV Show"/>
    <x v="3"/>
    <n v="2010"/>
    <x v="4"/>
    <s v="2023-06-27"/>
    <n v="33"/>
    <s v="G"/>
    <n v="4.5"/>
    <n v="218.9"/>
    <s v="Japanese"/>
    <s v="Denis Villeneuve"/>
    <s v="Chris Evans"/>
    <n v="8"/>
    <n v="37"/>
    <n v="234.2"/>
    <s v="Flop"/>
    <s v="Popular"/>
    <s v="Yes"/>
    <s v="Low"/>
    <n v="197.2"/>
    <n v="632.97297297297291"/>
  </r>
  <r>
    <s v="NFX-100796"/>
    <s v="Lost Frontier 6"/>
    <s v="TV Show"/>
    <x v="8"/>
    <n v="2015"/>
    <x v="4"/>
    <s v="2021-10-05"/>
    <n v="40"/>
    <s v="16+"/>
    <n v="8.6"/>
    <n v="200.1"/>
    <s v="Korean"/>
    <s v="Zoya Akhtar"/>
    <s v="Ranbir Kapoor"/>
    <n v="1"/>
    <n v="48"/>
    <n v="203.5"/>
    <s v="Hit"/>
    <s v="Popular"/>
    <s v="No"/>
    <s v="Low"/>
    <n v="155.5"/>
    <n v="423.95833333333331"/>
  </r>
  <r>
    <s v="NFX-100797"/>
    <s v="Shadow Storm 7"/>
    <s v="Movie"/>
    <x v="0"/>
    <n v="2002"/>
    <x v="8"/>
    <s v="2019-08-30"/>
    <n v="85"/>
    <s v="16+"/>
    <n v="5.2"/>
    <n v="195.1"/>
    <s v="Hindi"/>
    <s v="James Cameron"/>
    <s v="Chris Evans"/>
    <m/>
    <n v="55"/>
    <n v="91.7"/>
    <s v="Flop"/>
    <s v="Normal"/>
    <s v="No"/>
    <s v="Low"/>
    <n v="36.700000000000003"/>
    <n v="166.72727272727272"/>
  </r>
  <r>
    <s v="NFX-100798"/>
    <s v="Lost Legacy 1"/>
    <s v="TV Show"/>
    <x v="6"/>
    <n v="2023"/>
    <x v="7"/>
    <s v="2022-08-07"/>
    <n v="31"/>
    <s v="18+"/>
    <n v="9.1999999999999993"/>
    <n v="15.3"/>
    <s v="Japanese"/>
    <s v="Quentin Tarantino"/>
    <s v="Brad Pitt"/>
    <n v="7"/>
    <n v="181"/>
    <n v="422.3"/>
    <s v="Hit"/>
    <s v="Normal"/>
    <s v="No"/>
    <s v="High"/>
    <n v="241.3"/>
    <n v="233.31491712707182"/>
  </r>
  <r>
    <s v="NFX-100799"/>
    <s v="Burning Empire 9"/>
    <s v="Movie"/>
    <x v="8"/>
    <n v="2004"/>
    <x v="0"/>
    <s v="2020-09-17"/>
    <n v="144"/>
    <s v="G"/>
    <n v="4.9000000000000004"/>
    <n v="421.9"/>
    <s v="Japanese"/>
    <s v="Park Chan-wook"/>
    <s v="Song Kang-ho"/>
    <m/>
    <n v="190"/>
    <n v="1111.0999999999999"/>
    <s v="Flop"/>
    <s v="Blockbuster"/>
    <s v="Yes"/>
    <s v="High"/>
    <n v="921.09999999999991"/>
    <n v="584.78947368421052"/>
  </r>
  <r>
    <s v="NFX-100800"/>
    <s v="Dark Frontier 2"/>
    <s v="TV Show"/>
    <x v="9"/>
    <n v="2007"/>
    <x v="0"/>
    <s v="2020-03-23"/>
    <n v="49"/>
    <s v="G"/>
    <n v="6.6"/>
    <n v="13.2"/>
    <s v="French"/>
    <s v="Sanjay Leela Bhansali"/>
    <s v="Chris Evans"/>
    <n v="1"/>
    <n v="169"/>
    <n v="835.3"/>
    <s v="Average"/>
    <s v="Normal"/>
    <s v="Yes"/>
    <s v="High"/>
    <n v="666.3"/>
    <n v="494.26035502958581"/>
  </r>
  <r>
    <s v="NFX-100801"/>
    <s v="Fading Valley 5"/>
    <s v="TV Show"/>
    <x v="2"/>
    <n v="2021"/>
    <x v="2"/>
    <s v="2022-05-24"/>
    <n v="32"/>
    <s v="16+"/>
    <n v="8.6"/>
    <n v="435.4"/>
    <s v="German"/>
    <s v="James Cameron"/>
    <s v="Jennifer Lawrence"/>
    <n v="1"/>
    <n v="79"/>
    <n v="227.4"/>
    <s v="Hit"/>
    <s v="Blockbuster"/>
    <s v="No"/>
    <s v="Low"/>
    <n v="148.4"/>
    <n v="287.84810126582283"/>
  </r>
  <r>
    <s v="NFX-100802"/>
    <s v="Iron Archive 4"/>
    <s v="Movie"/>
    <x v="1"/>
    <n v="2007"/>
    <x v="0"/>
    <s v="2023-09-24"/>
    <n v="114"/>
    <s v="18+"/>
    <n v="5.3"/>
    <n v="559.1"/>
    <s v="German"/>
    <s v="Greta Gerwig"/>
    <s v="Jennifer Lawrence"/>
    <m/>
    <n v="67"/>
    <n v="202.4"/>
    <s v="Flop"/>
    <s v="Blockbuster"/>
    <s v="No"/>
    <s v="Low"/>
    <n v="135.4"/>
    <n v="302.08955223880599"/>
  </r>
  <r>
    <s v="NFX-100803"/>
    <s v="Shadow Horizon 1"/>
    <s v="TV Show"/>
    <x v="5"/>
    <n v="2000"/>
    <x v="1"/>
    <s v="2018-02-28"/>
    <n v="47"/>
    <s v="PG-13"/>
    <n v="8.6999999999999993"/>
    <n v="379.8"/>
    <s v="Spanish"/>
    <s v="Quentin Tarantino"/>
    <s v="Jennifer Lawrence"/>
    <n v="8"/>
    <n v="179"/>
    <n v="874.3"/>
    <s v="Hit"/>
    <s v="Popular"/>
    <s v="No"/>
    <s v="High"/>
    <n v="695.3"/>
    <n v="488.43575418994413"/>
  </r>
  <r>
    <s v="NFX-100804"/>
    <s v="Dark Code 9"/>
    <s v="Movie"/>
    <x v="7"/>
    <n v="2005"/>
    <x v="8"/>
    <s v="2024-03-25"/>
    <n v="160"/>
    <s v="G"/>
    <n v="6.2"/>
    <n v="488"/>
    <s v="Korean"/>
    <s v="Guillermo del Toro"/>
    <s v="Leonardo DiCaprio"/>
    <m/>
    <n v="179"/>
    <n v="1044.8"/>
    <s v="Average"/>
    <s v="Blockbuster"/>
    <s v="Yes"/>
    <s v="High"/>
    <n v="865.8"/>
    <n v="583.68715083798884"/>
  </r>
  <r>
    <s v="NFX-100805"/>
    <s v="Broken Empire 7"/>
    <s v="TV Show"/>
    <x v="2"/>
    <n v="2021"/>
    <x v="4"/>
    <s v="2018-07-14"/>
    <n v="60"/>
    <s v="G"/>
    <n v="7.1"/>
    <n v="96"/>
    <s v="Hindi"/>
    <s v="Rajkumar Hirani"/>
    <s v="Leonardo DiCaprio"/>
    <n v="4"/>
    <n v="175"/>
    <n v="531.1"/>
    <s v="Average"/>
    <s v="Normal"/>
    <s v="Yes"/>
    <s v="High"/>
    <n v="356.1"/>
    <n v="303.48571428571432"/>
  </r>
  <r>
    <s v="NFX-100806"/>
    <s v="Broken Signal"/>
    <s v="Movie"/>
    <x v="0"/>
    <n v="2003"/>
    <x v="9"/>
    <s v="2022-10-26"/>
    <n v="168"/>
    <s v="16+"/>
    <n v="6.9"/>
    <n v="325.5"/>
    <s v="Hindi"/>
    <s v="Quentin Tarantino"/>
    <s v="Shah Rukh Khan"/>
    <m/>
    <n v="79"/>
    <n v="234.8"/>
    <s v="Average"/>
    <s v="Popular"/>
    <s v="No"/>
    <s v="Low"/>
    <n v="155.80000000000001"/>
    <n v="297.21518987341773"/>
  </r>
  <r>
    <s v="NFX-100807"/>
    <s v="Shadow Protocol 1"/>
    <s v="TV Show"/>
    <x v="3"/>
    <n v="2001"/>
    <x v="2"/>
    <s v="2023-08-21"/>
    <n v="53"/>
    <s v="16+"/>
    <n v="5.6"/>
    <n v="208.2"/>
    <s v="Spanish"/>
    <s v="Christopher Nolan"/>
    <s v="Deepika Padukone"/>
    <n v="7"/>
    <n v="102"/>
    <n v="577.9"/>
    <s v="Flop"/>
    <s v="Popular"/>
    <s v="No"/>
    <s v="High"/>
    <n v="475.9"/>
    <n v="566.56862745098033"/>
  </r>
  <r>
    <s v="NFX-100808"/>
    <s v="Hidden Valley 6"/>
    <s v="TV Show"/>
    <x v="2"/>
    <n v="2008"/>
    <x v="3"/>
    <s v="2023-10-10"/>
    <n v="32"/>
    <s v="16+"/>
    <n v="5.2"/>
    <n v="559.29999999999995"/>
    <s v="German"/>
    <s v="Sanjay Leela Bhansali"/>
    <s v="Shah Rukh Khan"/>
    <n v="3"/>
    <n v="148"/>
    <n v="601.79999999999995"/>
    <s v="Flop"/>
    <s v="Blockbuster"/>
    <s v="No"/>
    <s v="High"/>
    <n v="453.79999999999995"/>
    <n v="406.62162162162161"/>
  </r>
  <r>
    <s v="NFX-100809"/>
    <s v="Secret Frontier 8"/>
    <s v="TV Show"/>
    <x v="0"/>
    <n v="2020"/>
    <x v="4"/>
    <s v="2023-06-17"/>
    <n v="59"/>
    <s v="16+"/>
    <n v="8.6"/>
    <n v="155.9"/>
    <s v="Korean"/>
    <s v="Guillermo del Toro"/>
    <s v="Ranbir Kapoor"/>
    <n v="1"/>
    <n v="188"/>
    <n v="910.7"/>
    <s v="Hit"/>
    <s v="Normal"/>
    <s v="No"/>
    <s v="High"/>
    <n v="722.7"/>
    <n v="484.41489361702128"/>
  </r>
  <r>
    <s v="NFX-100810"/>
    <s v="Midnight Valley"/>
    <s v="TV Show"/>
    <x v="1"/>
    <n v="2017"/>
    <x v="0"/>
    <s v="2018-01-31"/>
    <n v="43"/>
    <s v="G"/>
    <n v="5.3"/>
    <n v="97.5"/>
    <s v="Hindi"/>
    <s v="Greta Gerwig"/>
    <s v="Leonardo DiCaprio"/>
    <n v="6"/>
    <n v="109"/>
    <n v="475.9"/>
    <s v="Flop"/>
    <s v="Normal"/>
    <s v="Yes"/>
    <s v="High"/>
    <n v="366.9"/>
    <n v="436.60550458715591"/>
  </r>
  <r>
    <s v="NFX-100811"/>
    <s v="Crystal City 2"/>
    <s v="Movie"/>
    <x v="5"/>
    <n v="2006"/>
    <x v="5"/>
    <s v="2022-07-27"/>
    <n v="140"/>
    <s v="PG-13"/>
    <n v="9.3000000000000007"/>
    <n v="34.299999999999997"/>
    <s v="Hindi"/>
    <s v="Martin Scorsese"/>
    <s v="Robert Downey Jr."/>
    <m/>
    <n v="12"/>
    <n v="17.600000000000001"/>
    <s v="Hit"/>
    <s v="Normal"/>
    <s v="No"/>
    <s v="Low"/>
    <n v="5.6000000000000014"/>
    <n v="146.66666666666669"/>
  </r>
  <r>
    <s v="NFX-100812"/>
    <s v="Crystal Archive 9"/>
    <s v="Movie"/>
    <x v="1"/>
    <n v="2002"/>
    <x v="2"/>
    <s v="2019-11-18"/>
    <n v="119"/>
    <s v="PG-13"/>
    <n v="6.6"/>
    <n v="566"/>
    <s v="French"/>
    <s v="Ridley Scott"/>
    <s v="Shah Rukh Khan"/>
    <m/>
    <n v="95"/>
    <n v="541.4"/>
    <s v="Average"/>
    <s v="Blockbuster"/>
    <s v="No"/>
    <s v="Low"/>
    <n v="446.4"/>
    <n v="569.8947368421052"/>
  </r>
  <r>
    <s v="NFX-100813"/>
    <s v="Secret Frontier 3"/>
    <s v="TV Show"/>
    <x v="9"/>
    <n v="2001"/>
    <x v="4"/>
    <s v="2022-06-16"/>
    <n v="59"/>
    <s v="PG-13"/>
    <n v="7.2"/>
    <n v="72.8"/>
    <s v="Hindi"/>
    <s v="Christopher Nolan"/>
    <s v="Brad Pitt"/>
    <n v="8"/>
    <n v="120"/>
    <n v="221.5"/>
    <s v="Average"/>
    <s v="Normal"/>
    <s v="No"/>
    <s v="High"/>
    <n v="101.5"/>
    <n v="184.58333333333334"/>
  </r>
  <r>
    <s v="NFX-100814"/>
    <s v="Silent Protocol 8"/>
    <s v="TV Show"/>
    <x v="7"/>
    <n v="2020"/>
    <x v="9"/>
    <s v="2018-07-11"/>
    <n v="47"/>
    <s v="16+"/>
    <n v="8"/>
    <n v="130.69999999999999"/>
    <s v="Hindi"/>
    <s v="Zoya Akhtar"/>
    <s v="Song Kang-ho"/>
    <n v="8"/>
    <n v="122"/>
    <n v="398.4"/>
    <s v="Hit"/>
    <s v="Normal"/>
    <s v="No"/>
    <s v="High"/>
    <n v="276.39999999999998"/>
    <n v="326.55737704918033"/>
  </r>
  <r>
    <s v="NFX-100815"/>
    <s v="Dark Code 3"/>
    <s v="TV Show"/>
    <x v="1"/>
    <n v="2015"/>
    <x v="1"/>
    <s v="2019-12-21"/>
    <n v="49"/>
    <s v="PG"/>
    <n v="7.7"/>
    <n v="497.5"/>
    <s v="Hindi"/>
    <s v="Christopher Nolan"/>
    <s v="Tom Hardy"/>
    <n v="7"/>
    <n v="146"/>
    <n v="915.3"/>
    <s v="Average"/>
    <s v="Blockbuster"/>
    <s v="Yes"/>
    <s v="High"/>
    <n v="769.3"/>
    <n v="626.91780821917803"/>
  </r>
  <r>
    <s v="NFX-100816"/>
    <s v="Last Signal 4"/>
    <s v="Movie"/>
    <x v="8"/>
    <n v="2013"/>
    <x v="2"/>
    <s v="2019-04-06"/>
    <n v="98"/>
    <s v="16+"/>
    <n v="5.0999999999999996"/>
    <n v="561.70000000000005"/>
    <s v="French"/>
    <s v="Quentin Tarantino"/>
    <s v="Jennifer Lawrence"/>
    <m/>
    <n v="45"/>
    <n v="125.2"/>
    <s v="Flop"/>
    <s v="Blockbuster"/>
    <s v="No"/>
    <s v="Low"/>
    <n v="80.2"/>
    <n v="278.22222222222223"/>
  </r>
  <r>
    <s v="NFX-100817"/>
    <s v="Lost Journey 5"/>
    <s v="TV Show"/>
    <x v="10"/>
    <n v="2020"/>
    <x v="2"/>
    <s v="2020-05-31"/>
    <n v="39"/>
    <s v="PG-13"/>
    <n v="9.1"/>
    <n v="384.1"/>
    <s v="Korean"/>
    <s v="James Cameron"/>
    <s v="Lee Jung-jae"/>
    <n v="1"/>
    <n v="107"/>
    <n v="564.1"/>
    <s v="Hit"/>
    <s v="Popular"/>
    <s v="No"/>
    <s v="High"/>
    <n v="457.1"/>
    <n v="527.19626168224295"/>
  </r>
  <r>
    <s v="NFX-100818"/>
    <s v="Hidden Journey 7"/>
    <s v="TV Show"/>
    <x v="6"/>
    <n v="2022"/>
    <x v="1"/>
    <s v="2020-10-06"/>
    <n v="50"/>
    <s v="18+"/>
    <n v="6.4"/>
    <n v="588"/>
    <s v="French"/>
    <s v="Sanjay Leela Bhansali"/>
    <s v="Deepika Padukone"/>
    <n v="4"/>
    <n v="97"/>
    <n v="169.6"/>
    <s v="Average"/>
    <s v="Blockbuster"/>
    <s v="No"/>
    <s v="Low"/>
    <n v="72.599999999999994"/>
    <n v="174.84536082474227"/>
  </r>
  <r>
    <s v="NFX-100819"/>
    <s v="Dark Echo 7"/>
    <s v="Movie"/>
    <x v="10"/>
    <n v="2014"/>
    <x v="2"/>
    <s v="2020-06-17"/>
    <n v="121"/>
    <s v="18+"/>
    <n v="6.5"/>
    <n v="180.6"/>
    <s v="English"/>
    <s v="Quentin Tarantino"/>
    <s v="Deepika Padukone"/>
    <m/>
    <n v="5"/>
    <n v="24"/>
    <s v="Average"/>
    <s v="Normal"/>
    <s v="No"/>
    <s v="Low"/>
    <n v="19"/>
    <n v="480"/>
  </r>
  <r>
    <s v="NFX-100820"/>
    <s v="Lost Code 9"/>
    <s v="Movie"/>
    <x v="5"/>
    <n v="2015"/>
    <x v="9"/>
    <s v="2020-08-28"/>
    <n v="180"/>
    <s v="G"/>
    <n v="4.8"/>
    <n v="267.39999999999998"/>
    <s v="Japanese"/>
    <s v="Greta Gerwig"/>
    <s v="Brad Pitt"/>
    <m/>
    <n v="134"/>
    <n v="378.8"/>
    <s v="Flop"/>
    <s v="Popular"/>
    <s v="Yes"/>
    <s v="High"/>
    <n v="244.8"/>
    <n v="282.68656716417911"/>
  </r>
  <r>
    <s v="NFX-100821"/>
    <s v="Burning Horizon 2"/>
    <s v="TV Show"/>
    <x v="3"/>
    <n v="2022"/>
    <x v="1"/>
    <s v="2018-05-13"/>
    <n v="37"/>
    <s v="18+"/>
    <n v="5.4"/>
    <n v="69.900000000000006"/>
    <s v="French"/>
    <s v="Rajkumar Hirani"/>
    <s v="Emma Stone"/>
    <n v="8"/>
    <n v="5"/>
    <n v="10.6"/>
    <s v="Flop"/>
    <s v="Normal"/>
    <s v="No"/>
    <s v="Low"/>
    <n v="5.6"/>
    <n v="212"/>
  </r>
  <r>
    <s v="NFX-100822"/>
    <s v="Rising Empire 6"/>
    <s v="TV Show"/>
    <x v="5"/>
    <n v="2000"/>
    <x v="1"/>
    <s v="2019-07-02"/>
    <n v="59"/>
    <s v="18+"/>
    <n v="8.9"/>
    <n v="326.10000000000002"/>
    <s v="Japanese"/>
    <s v="Steven Spielberg"/>
    <s v="Deepika Padukone"/>
    <n v="2"/>
    <n v="194"/>
    <n v="623.1"/>
    <s v="Hit"/>
    <s v="Popular"/>
    <s v="No"/>
    <s v="High"/>
    <n v="429.1"/>
    <n v="321.18556701030928"/>
  </r>
  <r>
    <s v="NFX-100823"/>
    <s v="Hidden Protocol 1"/>
    <s v="TV Show"/>
    <x v="8"/>
    <n v="2005"/>
    <x v="3"/>
    <s v="2022-06-02"/>
    <n v="47"/>
    <s v="G"/>
    <n v="8.6999999999999993"/>
    <n v="449.1"/>
    <s v="Korean"/>
    <s v="Denis Villeneuve"/>
    <s v="Robert Downey Jr."/>
    <n v="3"/>
    <n v="130"/>
    <n v="237.7"/>
    <s v="Hit"/>
    <s v="Blockbuster"/>
    <s v="Yes"/>
    <s v="High"/>
    <n v="107.69999999999999"/>
    <n v="182.84615384615384"/>
  </r>
  <r>
    <s v="NFX-100824"/>
    <s v="Silent Chronicles 4"/>
    <s v="TV Show"/>
    <x v="2"/>
    <n v="2009"/>
    <x v="0"/>
    <s v="2024-02-26"/>
    <n v="36"/>
    <s v="18+"/>
    <n v="9.1999999999999993"/>
    <n v="203.5"/>
    <s v="Hindi"/>
    <s v="Anurag Kashyap"/>
    <s v="Robert Downey Jr."/>
    <n v="7"/>
    <n v="100"/>
    <n v="630.9"/>
    <s v="Hit"/>
    <s v="Popular"/>
    <s v="No"/>
    <s v="High"/>
    <n v="530.9"/>
    <n v="630.9"/>
  </r>
  <r>
    <s v="NFX-100825"/>
    <s v="Shadow Horizon 8"/>
    <s v="TV Show"/>
    <x v="10"/>
    <n v="2007"/>
    <x v="1"/>
    <s v="2023-07-21"/>
    <n v="47"/>
    <s v="16+"/>
    <n v="5"/>
    <n v="418.7"/>
    <s v="Hindi"/>
    <s v="Christopher Nolan"/>
    <s v="Shah Rukh Khan"/>
    <n v="2"/>
    <n v="25"/>
    <n v="68.2"/>
    <s v="Flop"/>
    <s v="Blockbuster"/>
    <s v="No"/>
    <s v="Low"/>
    <n v="43.2"/>
    <n v="272.8"/>
  </r>
  <r>
    <s v="NFX-100826"/>
    <s v="Burning Empire 7"/>
    <s v="TV Show"/>
    <x v="2"/>
    <n v="2021"/>
    <x v="2"/>
    <s v="2021-12-10"/>
    <n v="32"/>
    <s v="PG"/>
    <n v="6.2"/>
    <n v="325.2"/>
    <s v="Japanese"/>
    <s v="Greta Gerwig"/>
    <s v="Brad Pitt"/>
    <n v="6"/>
    <n v="105"/>
    <n v="192.2"/>
    <s v="Average"/>
    <s v="Popular"/>
    <s v="Yes"/>
    <s v="High"/>
    <n v="87.199999999999989"/>
    <n v="183.04761904761904"/>
  </r>
  <r>
    <s v="NFX-100827"/>
    <s v="Midnight City 1"/>
    <s v="TV Show"/>
    <x v="7"/>
    <n v="2015"/>
    <x v="2"/>
    <s v="2018-10-14"/>
    <n v="30"/>
    <s v="G"/>
    <n v="8.9"/>
    <n v="370.4"/>
    <s v="French"/>
    <s v="Ridley Scott"/>
    <s v="Timothée Chalamet"/>
    <n v="5"/>
    <n v="106"/>
    <n v="180.4"/>
    <s v="Hit"/>
    <s v="Popular"/>
    <s v="Yes"/>
    <s v="High"/>
    <n v="74.400000000000006"/>
    <n v="170.18867924528303"/>
  </r>
  <r>
    <s v="NFX-100828"/>
    <s v="Midnight Horizon 9"/>
    <s v="TV Show"/>
    <x v="7"/>
    <n v="2011"/>
    <x v="9"/>
    <s v="2023-02-19"/>
    <n v="41"/>
    <s v="16+"/>
    <n v="8.6"/>
    <n v="196.3"/>
    <s v="Spanish"/>
    <s v="Martin Scorsese"/>
    <s v="Lee Jung-jae"/>
    <n v="8"/>
    <n v="59"/>
    <n v="355.8"/>
    <s v="Hit"/>
    <s v="Normal"/>
    <s v="No"/>
    <s v="Low"/>
    <n v="296.8"/>
    <n v="603.05084745762713"/>
  </r>
  <r>
    <s v="NFX-100829"/>
    <s v="Golden Chronicles 2"/>
    <s v="TV Show"/>
    <x v="2"/>
    <n v="2011"/>
    <x v="2"/>
    <s v="2023-04-15"/>
    <n v="45"/>
    <s v="G"/>
    <n v="8.9"/>
    <n v="56.2"/>
    <s v="Korean"/>
    <s v="Greta Gerwig"/>
    <s v="Ranbir Kapoor"/>
    <n v="5"/>
    <n v="89"/>
    <n v="418.9"/>
    <s v="Hit"/>
    <s v="Normal"/>
    <s v="Yes"/>
    <s v="Low"/>
    <n v="329.9"/>
    <n v="470.67415730337075"/>
  </r>
  <r>
    <s v="NFX-100830"/>
    <s v="Lost Protocol 4"/>
    <s v="TV Show"/>
    <x v="0"/>
    <n v="2023"/>
    <x v="3"/>
    <s v="2020-08-06"/>
    <n v="45"/>
    <s v="PG-13"/>
    <n v="8.6"/>
    <n v="376.2"/>
    <s v="Spanish"/>
    <s v="Anurag Kashyap"/>
    <s v="Leonardo DiCaprio"/>
    <n v="6"/>
    <n v="149"/>
    <n v="579"/>
    <s v="Hit"/>
    <s v="Popular"/>
    <s v="No"/>
    <s v="High"/>
    <n v="430"/>
    <n v="388.59060402684565"/>
  </r>
  <r>
    <s v="NFX-100831"/>
    <s v="Lost Code"/>
    <s v="TV Show"/>
    <x v="8"/>
    <n v="2023"/>
    <x v="1"/>
    <s v="2019-11-29"/>
    <n v="54"/>
    <s v="G"/>
    <n v="6.1"/>
    <n v="326.7"/>
    <s v="Korean"/>
    <s v="Sanjay Leela Bhansali"/>
    <s v="Ryan Gosling"/>
    <n v="8"/>
    <n v="22"/>
    <n v="80.2"/>
    <s v="Average"/>
    <s v="Popular"/>
    <s v="Yes"/>
    <s v="Low"/>
    <n v="58.2"/>
    <n v="364.54545454545456"/>
  </r>
  <r>
    <s v="NFX-100832"/>
    <s v="Silent Empire 6"/>
    <s v="TV Show"/>
    <x v="1"/>
    <n v="2014"/>
    <x v="8"/>
    <s v="2019-04-20"/>
    <n v="47"/>
    <s v="PG-13"/>
    <n v="7.9"/>
    <n v="458.5"/>
    <s v="French"/>
    <s v="Park Chan-wook"/>
    <s v="Lee Jung-jae"/>
    <n v="7"/>
    <n v="53"/>
    <n v="220.2"/>
    <s v="Average"/>
    <s v="Blockbuster"/>
    <s v="No"/>
    <s v="Low"/>
    <n v="167.2"/>
    <n v="415.47169811320759"/>
  </r>
  <r>
    <s v="NFX-100833"/>
    <s v="Dark Echo 5"/>
    <s v="TV Show"/>
    <x v="5"/>
    <n v="2006"/>
    <x v="3"/>
    <s v="2024-02-08"/>
    <n v="40"/>
    <s v="16+"/>
    <n v="7.2"/>
    <n v="131.5"/>
    <s v="French"/>
    <s v="Martin Scorsese"/>
    <s v="Lee Jung-jae"/>
    <n v="8"/>
    <n v="52"/>
    <n v="202.5"/>
    <s v="Average"/>
    <s v="Normal"/>
    <s v="No"/>
    <s v="Low"/>
    <n v="150.5"/>
    <n v="389.42307692307691"/>
  </r>
  <r>
    <s v="NFX-100834"/>
    <s v="Burning Signal 8"/>
    <s v="TV Show"/>
    <x v="1"/>
    <n v="2010"/>
    <x v="0"/>
    <s v="2018-01-06"/>
    <n v="48"/>
    <s v="16+"/>
    <n v="7.4"/>
    <n v="191.1"/>
    <s v="French"/>
    <s v="Martin Scorsese"/>
    <s v="Jennifer Lawrence"/>
    <n v="3"/>
    <n v="147"/>
    <n v="605.6"/>
    <s v="Average"/>
    <s v="Normal"/>
    <s v="No"/>
    <s v="High"/>
    <n v="458.6"/>
    <n v="411.97278911564626"/>
  </r>
  <r>
    <s v="NFX-100835"/>
    <s v="Hidden Protocol 9"/>
    <s v="TV Show"/>
    <x v="8"/>
    <n v="2018"/>
    <x v="9"/>
    <s v="2023-10-07"/>
    <n v="39"/>
    <s v="PG"/>
    <n v="5.5"/>
    <n v="53.2"/>
    <s v="German"/>
    <s v="Steven Spielberg"/>
    <s v="Timothée Chalamet"/>
    <n v="5"/>
    <n v="62"/>
    <n v="225.6"/>
    <s v="Flop"/>
    <s v="Normal"/>
    <s v="Yes"/>
    <s v="Low"/>
    <n v="163.6"/>
    <n v="363.87096774193549"/>
  </r>
  <r>
    <s v="NFX-100836"/>
    <s v="Hidden Horizon 4"/>
    <s v="Movie"/>
    <x v="5"/>
    <n v="2003"/>
    <x v="4"/>
    <s v="2018-05-11"/>
    <n v="112"/>
    <s v="PG-13"/>
    <n v="5.3"/>
    <n v="439.2"/>
    <s v="Korean"/>
    <s v="Bong Joon-ho"/>
    <s v="Shah Rukh Khan"/>
    <m/>
    <n v="195"/>
    <n v="851.3"/>
    <s v="Flop"/>
    <s v="Blockbuster"/>
    <s v="No"/>
    <s v="High"/>
    <n v="656.3"/>
    <n v="436.56410256410254"/>
  </r>
  <r>
    <s v="NFX-100837"/>
    <s v="Fading Archive 4"/>
    <s v="Movie"/>
    <x v="0"/>
    <n v="2021"/>
    <x v="1"/>
    <s v="2019-10-27"/>
    <n v="159"/>
    <s v="PG-13"/>
    <n v="6.2"/>
    <n v="12.7"/>
    <s v="Japanese"/>
    <s v="Martin Scorsese"/>
    <s v="Scarlett Johansson"/>
    <m/>
    <n v="126"/>
    <n v="566.20000000000005"/>
    <s v="Average"/>
    <s v="Normal"/>
    <s v="No"/>
    <s v="High"/>
    <n v="440.20000000000005"/>
    <n v="449.3650793650794"/>
  </r>
  <r>
    <s v="NFX-100838"/>
    <s v="Lost Frontier 4"/>
    <s v="Movie"/>
    <x v="9"/>
    <n v="2024"/>
    <x v="6"/>
    <s v="2018-06-02"/>
    <n v="96"/>
    <s v="PG-13"/>
    <n v="6.2"/>
    <n v="25.4"/>
    <s v="Korean"/>
    <s v="Denis Villeneuve"/>
    <s v="Scarlett Johansson"/>
    <m/>
    <n v="32"/>
    <n v="172.2"/>
    <s v="Average"/>
    <s v="Normal"/>
    <s v="No"/>
    <s v="Low"/>
    <n v="140.19999999999999"/>
    <n v="538.125"/>
  </r>
  <r>
    <s v="NFX-100839"/>
    <s v="Burning Odyssey"/>
    <s v="Movie"/>
    <x v="7"/>
    <n v="2006"/>
    <x v="9"/>
    <s v="2024-09-27"/>
    <n v="145"/>
    <s v="G"/>
    <n v="5"/>
    <n v="390.4"/>
    <s v="German"/>
    <s v="Steven Spielberg"/>
    <s v="Shah Rukh Khan"/>
    <m/>
    <n v="190"/>
    <n v="1100.5"/>
    <s v="Flop"/>
    <s v="Popular"/>
    <s v="Yes"/>
    <s v="High"/>
    <n v="910.5"/>
    <n v="579.21052631578948"/>
  </r>
  <r>
    <s v="NFX-100840"/>
    <s v="Lost Frontier 8"/>
    <s v="Movie"/>
    <x v="0"/>
    <n v="2001"/>
    <x v="7"/>
    <s v="2019-07-21"/>
    <n v="93"/>
    <s v="16+"/>
    <n v="9.1999999999999993"/>
    <n v="525.5"/>
    <s v="Japanese"/>
    <s v="Quentin Tarantino"/>
    <s v="Ranbir Kapoor"/>
    <m/>
    <n v="66"/>
    <n v="251.3"/>
    <s v="Hit"/>
    <s v="Blockbuster"/>
    <s v="No"/>
    <s v="Low"/>
    <n v="185.3"/>
    <n v="380.75757575757575"/>
  </r>
  <r>
    <s v="NFX-100841"/>
    <s v="Lost Storm 2"/>
    <s v="Movie"/>
    <x v="4"/>
    <n v="2009"/>
    <x v="0"/>
    <s v="2020-03-16"/>
    <n v="94"/>
    <s v="PG-13"/>
    <n v="8.1"/>
    <n v="303.8"/>
    <s v="Korean"/>
    <s v="Anurag Kashyap"/>
    <s v="Ranbir Kapoor"/>
    <m/>
    <n v="26"/>
    <n v="48.3"/>
    <s v="Hit"/>
    <s v="Popular"/>
    <s v="No"/>
    <s v="Low"/>
    <n v="22.299999999999997"/>
    <n v="185.76923076923075"/>
  </r>
  <r>
    <s v="NFX-100842"/>
    <s v="Midnight Echo 8"/>
    <s v="TV Show"/>
    <x v="5"/>
    <n v="2004"/>
    <x v="9"/>
    <s v="2021-06-03"/>
    <n v="54"/>
    <s v="16+"/>
    <n v="7.7"/>
    <n v="539.70000000000005"/>
    <s v="Japanese"/>
    <s v="Rajkumar Hirani"/>
    <s v="Shah Rukh Khan"/>
    <n v="3"/>
    <n v="158"/>
    <n v="718"/>
    <s v="Average"/>
    <s v="Blockbuster"/>
    <s v="No"/>
    <s v="High"/>
    <n v="560"/>
    <n v="454.43037974683546"/>
  </r>
  <r>
    <s v="NFX-100843"/>
    <s v="Last Storm 8"/>
    <s v="Movie"/>
    <x v="5"/>
    <n v="2002"/>
    <x v="2"/>
    <s v="2020-04-23"/>
    <n v="107"/>
    <s v="18+"/>
    <n v="9"/>
    <n v="459.9"/>
    <s v="Korean"/>
    <s v="Steven Spielberg"/>
    <s v="Robert Downey Jr."/>
    <m/>
    <n v="128"/>
    <n v="374.5"/>
    <s v="Hit"/>
    <s v="Blockbuster"/>
    <s v="No"/>
    <s v="High"/>
    <n v="246.5"/>
    <n v="292.578125"/>
  </r>
  <r>
    <s v="NFX-100844"/>
    <s v="Broken Echo 3"/>
    <s v="TV Show"/>
    <x v="7"/>
    <n v="2008"/>
    <x v="9"/>
    <s v="2024-08-13"/>
    <n v="49"/>
    <s v="PG-13"/>
    <n v="7.4"/>
    <n v="41.7"/>
    <s v="Japanese"/>
    <s v="Anurag Kashyap"/>
    <s v="Timothée Chalamet"/>
    <n v="4"/>
    <n v="163"/>
    <n v="1058.5999999999999"/>
    <s v="Average"/>
    <s v="Normal"/>
    <s v="No"/>
    <s v="High"/>
    <n v="895.59999999999991"/>
    <n v="649.44785276073617"/>
  </r>
  <r>
    <s v="NFX-100845"/>
    <s v="Golden Odyssey 1"/>
    <s v="TV Show"/>
    <x v="7"/>
    <n v="2020"/>
    <x v="2"/>
    <s v="2021-05-22"/>
    <n v="30"/>
    <s v="G"/>
    <n v="7"/>
    <n v="225.9"/>
    <s v="Korean"/>
    <s v="Denis Villeneuve"/>
    <s v="Tom Hardy"/>
    <n v="5"/>
    <n v="112"/>
    <n v="719.5"/>
    <s v="Average"/>
    <s v="Popular"/>
    <s v="Yes"/>
    <s v="High"/>
    <n v="607.5"/>
    <n v="642.41071428571433"/>
  </r>
  <r>
    <s v="NFX-100846"/>
    <s v="Golden Echo 8"/>
    <s v="Movie"/>
    <x v="4"/>
    <n v="2016"/>
    <x v="4"/>
    <s v="2022-12-25"/>
    <n v="173"/>
    <s v="PG-13"/>
    <n v="7.4"/>
    <n v="14.6"/>
    <s v="German"/>
    <s v="Rajkumar Hirani"/>
    <s v="Timothée Chalamet"/>
    <m/>
    <n v="43"/>
    <n v="231.9"/>
    <s v="Average"/>
    <s v="Normal"/>
    <s v="No"/>
    <s v="Low"/>
    <n v="188.9"/>
    <n v="539.30232558139539"/>
  </r>
  <r>
    <s v="NFX-100847"/>
    <s v="Last Journey 4"/>
    <s v="TV Show"/>
    <x v="10"/>
    <n v="2009"/>
    <x v="4"/>
    <s v="2020-06-01"/>
    <n v="49"/>
    <s v="PG"/>
    <n v="5.0999999999999996"/>
    <n v="409.6"/>
    <s v="Korean"/>
    <s v="Martin Scorsese"/>
    <s v="Tom Hardy"/>
    <n v="6"/>
    <n v="12"/>
    <n v="70.2"/>
    <s v="Flop"/>
    <s v="Blockbuster"/>
    <s v="Yes"/>
    <s v="Low"/>
    <n v="58.2"/>
    <n v="585"/>
  </r>
  <r>
    <s v="NFX-100848"/>
    <s v="Lost City 7"/>
    <s v="TV Show"/>
    <x v="6"/>
    <n v="2020"/>
    <x v="4"/>
    <s v="2023-04-15"/>
    <n v="44"/>
    <s v="PG"/>
    <n v="8.5"/>
    <n v="376.9"/>
    <s v="French"/>
    <s v="Quentin Tarantino"/>
    <s v="Scarlett Johansson"/>
    <n v="6"/>
    <n v="139"/>
    <n v="298.5"/>
    <s v="Hit"/>
    <s v="Popular"/>
    <s v="Yes"/>
    <s v="High"/>
    <n v="159.5"/>
    <n v="214.74820143884892"/>
  </r>
  <r>
    <s v="NFX-100849"/>
    <s v="Iron Journey 7"/>
    <s v="Movie"/>
    <x v="2"/>
    <n v="2018"/>
    <x v="5"/>
    <s v="2018-08-18"/>
    <n v="179"/>
    <s v="16+"/>
    <n v="6.8"/>
    <n v="508.9"/>
    <s v="German"/>
    <s v="Quentin Tarantino"/>
    <s v="Ranbir Kapoor"/>
    <m/>
    <n v="143"/>
    <n v="859.3"/>
    <s v="Average"/>
    <s v="Blockbuster"/>
    <s v="No"/>
    <s v="High"/>
    <n v="716.3"/>
    <n v="600.90909090909088"/>
  </r>
  <r>
    <s v="NFX-100850"/>
    <s v="Fading Echo 5"/>
    <s v="Movie"/>
    <x v="6"/>
    <n v="2018"/>
    <x v="8"/>
    <s v="2021-12-04"/>
    <n v="129"/>
    <s v="18+"/>
    <n v="9.4"/>
    <n v="363.8"/>
    <s v="Spanish"/>
    <s v="Park Chan-wook"/>
    <s v="Brad Pitt"/>
    <m/>
    <n v="73"/>
    <n v="92.4"/>
    <s v="Hit"/>
    <s v="Popular"/>
    <s v="No"/>
    <s v="Low"/>
    <n v="19.400000000000006"/>
    <n v="126.57534246575344"/>
  </r>
  <r>
    <s v="NFX-100851"/>
    <s v="Fading City 3"/>
    <s v="TV Show"/>
    <x v="1"/>
    <n v="2001"/>
    <x v="4"/>
    <s v="2023-04-03"/>
    <n v="43"/>
    <s v="18+"/>
    <n v="5.9"/>
    <n v="429.4"/>
    <s v="English"/>
    <s v="Steven Spielberg"/>
    <s v="Ryan Gosling"/>
    <n v="5"/>
    <n v="98"/>
    <n v="148.1"/>
    <s v="Flop"/>
    <s v="Blockbuster"/>
    <s v="No"/>
    <s v="Low"/>
    <n v="50.099999999999994"/>
    <n v="151.12244897959184"/>
  </r>
  <r>
    <s v="NFX-100852"/>
    <s v="Shadow Code 8"/>
    <s v="Movie"/>
    <x v="9"/>
    <n v="2000"/>
    <x v="1"/>
    <s v="2019-03-28"/>
    <n v="147"/>
    <s v="18+"/>
    <n v="6.3"/>
    <n v="153.4"/>
    <s v="Spanish"/>
    <s v="Denis Villeneuve"/>
    <s v="Shah Rukh Khan"/>
    <m/>
    <n v="174"/>
    <n v="986.3"/>
    <s v="Average"/>
    <s v="Normal"/>
    <s v="No"/>
    <s v="High"/>
    <n v="812.3"/>
    <n v="566.83908045977012"/>
  </r>
  <r>
    <s v="NFX-100853"/>
    <s v="Midnight Valley 4"/>
    <s v="Movie"/>
    <x v="4"/>
    <n v="2007"/>
    <x v="9"/>
    <s v="2024-03-10"/>
    <n v="142"/>
    <s v="PG-13"/>
    <n v="8.8000000000000007"/>
    <n v="71.099999999999994"/>
    <s v="Spanish"/>
    <s v="Christopher Nolan"/>
    <s v="Jennifer Lawrence"/>
    <m/>
    <n v="50"/>
    <n v="131.69999999999999"/>
    <s v="Hit"/>
    <s v="Normal"/>
    <s v="No"/>
    <s v="Low"/>
    <n v="81.699999999999989"/>
    <n v="263.39999999999998"/>
  </r>
  <r>
    <s v="NFX-100854"/>
    <s v="Midnight Code 3"/>
    <s v="Movie"/>
    <x v="9"/>
    <n v="2020"/>
    <x v="7"/>
    <s v="2021-12-13"/>
    <n v="143"/>
    <s v="16+"/>
    <n v="8.1"/>
    <n v="431.1"/>
    <s v="Japanese"/>
    <s v="Ridley Scott"/>
    <s v="Song Kang-ho"/>
    <m/>
    <n v="180"/>
    <n v="993.3"/>
    <s v="Hit"/>
    <s v="Blockbuster"/>
    <s v="No"/>
    <s v="High"/>
    <n v="813.3"/>
    <n v="551.83333333333326"/>
  </r>
  <r>
    <s v="NFX-100855"/>
    <s v="Burning Echo 7"/>
    <s v="TV Show"/>
    <x v="4"/>
    <n v="2000"/>
    <x v="4"/>
    <s v="2018-01-04"/>
    <n v="45"/>
    <s v="G"/>
    <n v="5.5"/>
    <n v="82.1"/>
    <s v="German"/>
    <s v="Bong Joon-ho"/>
    <s v="Ranbir Kapoor"/>
    <n v="4"/>
    <n v="90"/>
    <n v="529.6"/>
    <s v="Flop"/>
    <s v="Normal"/>
    <s v="Yes"/>
    <s v="Low"/>
    <n v="439.6"/>
    <n v="588.44444444444446"/>
  </r>
  <r>
    <s v="NFX-100856"/>
    <s v="Secret Code 2"/>
    <s v="TV Show"/>
    <x v="2"/>
    <n v="2021"/>
    <x v="0"/>
    <s v="2021-09-06"/>
    <n v="30"/>
    <s v="PG-13"/>
    <n v="7.7"/>
    <n v="579.79999999999995"/>
    <s v="English"/>
    <s v="Guillermo del Toro"/>
    <s v="Scarlett Johansson"/>
    <n v="5"/>
    <n v="97"/>
    <n v="372.5"/>
    <s v="Average"/>
    <s v="Blockbuster"/>
    <s v="No"/>
    <s v="Low"/>
    <n v="275.5"/>
    <n v="384.02061855670104"/>
  </r>
  <r>
    <s v="NFX-100857"/>
    <s v="Iron City 3"/>
    <s v="Movie"/>
    <x v="8"/>
    <n v="2025"/>
    <x v="4"/>
    <s v="2023-02-12"/>
    <n v="161"/>
    <s v="PG-13"/>
    <n v="7.3"/>
    <n v="408.3"/>
    <s v="German"/>
    <s v="Christopher Nolan"/>
    <s v="Lee Jung-jae"/>
    <m/>
    <n v="164"/>
    <n v="659.3"/>
    <s v="Average"/>
    <s v="Blockbuster"/>
    <s v="No"/>
    <s v="High"/>
    <n v="495.29999999999995"/>
    <n v="402.01219512195115"/>
  </r>
  <r>
    <s v="NFX-100858"/>
    <s v="Fading Empire 5"/>
    <s v="TV Show"/>
    <x v="4"/>
    <n v="2022"/>
    <x v="7"/>
    <s v="2024-07-30"/>
    <n v="43"/>
    <s v="16+"/>
    <n v="5"/>
    <n v="3"/>
    <s v="Spanish"/>
    <s v="James Cameron"/>
    <s v="Robert Downey Jr."/>
    <n v="4"/>
    <n v="161"/>
    <n v="606.79999999999995"/>
    <s v="Flop"/>
    <s v="Normal"/>
    <s v="No"/>
    <s v="High"/>
    <n v="445.79999999999995"/>
    <n v="376.89440993788821"/>
  </r>
  <r>
    <s v="NFX-100859"/>
    <s v="Hidden Frontier 6"/>
    <s v="Movie"/>
    <x v="2"/>
    <n v="2025"/>
    <x v="8"/>
    <s v="2024-03-23"/>
    <n v="82"/>
    <s v="16+"/>
    <n v="7.1"/>
    <n v="233.2"/>
    <s v="English"/>
    <s v="Martin Scorsese"/>
    <s v="Deepika Padukone"/>
    <m/>
    <n v="86"/>
    <n v="343.5"/>
    <s v="Average"/>
    <s v="Popular"/>
    <s v="No"/>
    <s v="Low"/>
    <n v="257.5"/>
    <n v="399.41860465116281"/>
  </r>
  <r>
    <s v="NFX-100860"/>
    <s v="Secret Protocol 8"/>
    <s v="Movie"/>
    <x v="4"/>
    <n v="2009"/>
    <x v="7"/>
    <s v="2018-05-15"/>
    <n v="106"/>
    <s v="18+"/>
    <n v="7.8"/>
    <n v="594.79999999999995"/>
    <s v="Spanish"/>
    <s v="Quentin Tarantino"/>
    <s v="Robert Downey Jr."/>
    <m/>
    <n v="14"/>
    <n v="54"/>
    <s v="Average"/>
    <s v="Blockbuster"/>
    <s v="No"/>
    <s v="Low"/>
    <n v="40"/>
    <n v="385.71428571428572"/>
  </r>
  <r>
    <s v="NFX-100861"/>
    <s v="Crystal Odyssey 4"/>
    <s v="TV Show"/>
    <x v="3"/>
    <n v="2018"/>
    <x v="7"/>
    <s v="2023-03-12"/>
    <n v="43"/>
    <s v="PG"/>
    <n v="8"/>
    <n v="242.4"/>
    <s v="English"/>
    <s v="Greta Gerwig"/>
    <s v="Jennifer Lawrence"/>
    <n v="1"/>
    <n v="99"/>
    <n v="155.6"/>
    <s v="Hit"/>
    <s v="Popular"/>
    <s v="Yes"/>
    <s v="Low"/>
    <n v="56.599999999999994"/>
    <n v="157.17171717171715"/>
  </r>
  <r>
    <s v="NFX-100862"/>
    <s v="Golden Code 4"/>
    <s v="Movie"/>
    <x v="4"/>
    <n v="2023"/>
    <x v="5"/>
    <s v="2020-03-26"/>
    <n v="112"/>
    <s v="PG"/>
    <n v="7.7"/>
    <n v="584.9"/>
    <s v="Korean"/>
    <s v="James Cameron"/>
    <s v="Chris Evans"/>
    <m/>
    <n v="157"/>
    <n v="605.4"/>
    <s v="Average"/>
    <s v="Blockbuster"/>
    <s v="Yes"/>
    <s v="High"/>
    <n v="448.4"/>
    <n v="385.60509554140128"/>
  </r>
  <r>
    <s v="NFX-100863"/>
    <s v="Crystal Archive 6"/>
    <s v="TV Show"/>
    <x v="9"/>
    <n v="2005"/>
    <x v="3"/>
    <s v="2019-12-12"/>
    <n v="51"/>
    <s v="18+"/>
    <n v="4.8"/>
    <n v="46.8"/>
    <s v="Japanese"/>
    <s v="James Cameron"/>
    <s v="Robert Downey Jr."/>
    <n v="8"/>
    <n v="92"/>
    <n v="172.7"/>
    <s v="Flop"/>
    <s v="Normal"/>
    <s v="No"/>
    <s v="Low"/>
    <n v="80.699999999999989"/>
    <n v="187.71739130434781"/>
  </r>
  <r>
    <s v="NFX-100864"/>
    <s v="Silent Legacy 3"/>
    <s v="TV Show"/>
    <x v="5"/>
    <n v="2021"/>
    <x v="9"/>
    <s v="2018-09-21"/>
    <n v="57"/>
    <s v="G"/>
    <n v="7.9"/>
    <n v="459.2"/>
    <s v="Korean"/>
    <s v="Anurag Kashyap"/>
    <s v="Robert Downey Jr."/>
    <n v="6"/>
    <n v="109"/>
    <n v="513.1"/>
    <s v="Average"/>
    <s v="Blockbuster"/>
    <s v="Yes"/>
    <s v="High"/>
    <n v="404.1"/>
    <n v="470.73394495412845"/>
  </r>
  <r>
    <s v="NFX-100865"/>
    <s v="Last Chronicles 4"/>
    <s v="TV Show"/>
    <x v="4"/>
    <n v="2008"/>
    <x v="4"/>
    <s v="2020-07-26"/>
    <n v="38"/>
    <s v="G"/>
    <n v="8.9"/>
    <n v="219.5"/>
    <s v="Hindi"/>
    <s v="Bong Joon-ho"/>
    <s v="Leonardo DiCaprio"/>
    <n v="6"/>
    <n v="91"/>
    <n v="455.3"/>
    <s v="Hit"/>
    <s v="Popular"/>
    <s v="Yes"/>
    <s v="Low"/>
    <n v="364.3"/>
    <n v="500.32967032967031"/>
  </r>
  <r>
    <s v="NFX-100866"/>
    <s v="Last Legacy 9"/>
    <s v="TV Show"/>
    <x v="10"/>
    <n v="2022"/>
    <x v="1"/>
    <s v="2018-04-13"/>
    <n v="59"/>
    <s v="G"/>
    <n v="6.1"/>
    <n v="60.3"/>
    <s v="Spanish"/>
    <s v="Denis Villeneuve"/>
    <s v="Tom Hardy"/>
    <n v="4"/>
    <n v="67"/>
    <n v="83.5"/>
    <s v="Average"/>
    <s v="Normal"/>
    <s v="Yes"/>
    <s v="Low"/>
    <n v="16.5"/>
    <n v="124.62686567164178"/>
  </r>
  <r>
    <s v="NFX-100867"/>
    <s v="Rising Frontier 9"/>
    <s v="TV Show"/>
    <x v="5"/>
    <n v="2008"/>
    <x v="6"/>
    <s v="2019-12-01"/>
    <n v="53"/>
    <s v="16+"/>
    <n v="4.7"/>
    <n v="493.4"/>
    <s v="Spanish"/>
    <s v="Steven Spielberg"/>
    <s v="Ranbir Kapoor"/>
    <n v="3"/>
    <n v="152"/>
    <n v="470.1"/>
    <s v="Flop"/>
    <s v="Blockbuster"/>
    <s v="No"/>
    <s v="High"/>
    <n v="318.10000000000002"/>
    <n v="309.2763157894737"/>
  </r>
  <r>
    <s v="NFX-100868"/>
    <s v="Dark Echo"/>
    <s v="Movie"/>
    <x v="1"/>
    <n v="2005"/>
    <x v="8"/>
    <s v="2020-07-18"/>
    <n v="163"/>
    <s v="PG"/>
    <n v="7.6"/>
    <n v="53.5"/>
    <s v="Spanish"/>
    <s v="Sanjay Leela Bhansali"/>
    <s v="Robert Downey Jr."/>
    <m/>
    <n v="73"/>
    <n v="161.80000000000001"/>
    <s v="Average"/>
    <s v="Normal"/>
    <s v="Yes"/>
    <s v="Low"/>
    <n v="88.800000000000011"/>
    <n v="221.64383561643839"/>
  </r>
  <r>
    <s v="NFX-100869"/>
    <s v="Silent Chronicles 5"/>
    <s v="TV Show"/>
    <x v="5"/>
    <n v="2007"/>
    <x v="4"/>
    <s v="2019-10-30"/>
    <n v="47"/>
    <s v="16+"/>
    <n v="8.1"/>
    <n v="366.3"/>
    <s v="German"/>
    <s v="Martin Scorsese"/>
    <s v="Chris Evans"/>
    <n v="7"/>
    <n v="72"/>
    <n v="442.2"/>
    <s v="Hit"/>
    <s v="Popular"/>
    <s v="No"/>
    <s v="Low"/>
    <n v="370.2"/>
    <n v="614.16666666666663"/>
  </r>
  <r>
    <s v="NFX-100870"/>
    <s v="Silent Odyssey 7"/>
    <s v="Movie"/>
    <x v="0"/>
    <n v="2020"/>
    <x v="8"/>
    <s v="2018-03-13"/>
    <n v="163"/>
    <s v="PG"/>
    <n v="9.5"/>
    <n v="547.20000000000005"/>
    <s v="French"/>
    <s v="Christopher Nolan"/>
    <s v="Ryan Gosling"/>
    <m/>
    <n v="53"/>
    <n v="123.1"/>
    <s v="Hit"/>
    <s v="Blockbuster"/>
    <s v="Yes"/>
    <s v="Low"/>
    <n v="70.099999999999994"/>
    <n v="232.2641509433962"/>
  </r>
  <r>
    <s v="NFX-100871"/>
    <s v="Golden Storm 7"/>
    <s v="TV Show"/>
    <x v="4"/>
    <n v="2006"/>
    <x v="1"/>
    <s v="2024-08-18"/>
    <n v="55"/>
    <s v="18+"/>
    <n v="5.8"/>
    <n v="145.30000000000001"/>
    <s v="Hindi"/>
    <s v="Guillermo del Toro"/>
    <s v="Jennifer Lawrence"/>
    <n v="5"/>
    <n v="81"/>
    <n v="157.1"/>
    <s v="Flop"/>
    <s v="Normal"/>
    <s v="No"/>
    <s v="Low"/>
    <n v="76.099999999999994"/>
    <n v="193.95061728395061"/>
  </r>
  <r>
    <s v="NFX-100872"/>
    <s v="Broken Empire 8"/>
    <s v="Movie"/>
    <x v="6"/>
    <n v="2003"/>
    <x v="2"/>
    <s v="2018-10-24"/>
    <n v="151"/>
    <s v="PG-13"/>
    <n v="9"/>
    <n v="271.7"/>
    <s v="French"/>
    <s v="Anurag Kashyap"/>
    <s v="Shah Rukh Khan"/>
    <m/>
    <n v="61"/>
    <n v="201.1"/>
    <s v="Hit"/>
    <s v="Popular"/>
    <s v="No"/>
    <s v="Low"/>
    <n v="140.1"/>
    <n v="329.67213114754099"/>
  </r>
  <r>
    <s v="NFX-100873"/>
    <s v="Shadow Valley 8"/>
    <s v="TV Show"/>
    <x v="6"/>
    <n v="2005"/>
    <x v="5"/>
    <s v="2023-09-04"/>
    <n v="43"/>
    <s v="16+"/>
    <n v="8.3000000000000007"/>
    <n v="565.9"/>
    <s v="Hindi"/>
    <s v="Christopher Nolan"/>
    <s v="Ranbir Kapoor"/>
    <n v="4"/>
    <n v="193"/>
    <n v="1009.1"/>
    <s v="Hit"/>
    <s v="Blockbuster"/>
    <s v="No"/>
    <s v="High"/>
    <n v="816.1"/>
    <n v="522.84974093264248"/>
  </r>
  <r>
    <s v="NFX-100874"/>
    <s v="Iron Echo 9"/>
    <s v="Movie"/>
    <x v="5"/>
    <n v="2011"/>
    <x v="6"/>
    <s v="2021-12-19"/>
    <n v="134"/>
    <s v="PG"/>
    <n v="8.5"/>
    <n v="410.5"/>
    <s v="English"/>
    <s v="Park Chan-wook"/>
    <s v="Jennifer Lawrence"/>
    <m/>
    <n v="128"/>
    <n v="726.7"/>
    <s v="Hit"/>
    <s v="Blockbuster"/>
    <s v="Yes"/>
    <s v="High"/>
    <n v="598.70000000000005"/>
    <n v="567.734375"/>
  </r>
  <r>
    <s v="NFX-100875"/>
    <s v="Burning City 1"/>
    <s v="Movie"/>
    <x v="0"/>
    <n v="2009"/>
    <x v="1"/>
    <s v="2020-07-05"/>
    <n v="102"/>
    <s v="PG-13"/>
    <n v="5"/>
    <n v="528.20000000000005"/>
    <s v="French"/>
    <s v="Rajkumar Hirani"/>
    <s v="Emma Stone"/>
    <m/>
    <n v="159"/>
    <n v="729.3"/>
    <s v="Flop"/>
    <s v="Blockbuster"/>
    <s v="No"/>
    <s v="High"/>
    <n v="570.29999999999995"/>
    <n v="458.67924528301887"/>
  </r>
  <r>
    <s v="NFX-100876"/>
    <s v="Broken Code 2"/>
    <s v="Movie"/>
    <x v="4"/>
    <n v="2023"/>
    <x v="1"/>
    <s v="2022-05-26"/>
    <n v="149"/>
    <s v="16+"/>
    <n v="7.2"/>
    <n v="439.4"/>
    <s v="French"/>
    <s v="Ridley Scott"/>
    <s v="Leonardo DiCaprio"/>
    <m/>
    <n v="66"/>
    <n v="312.8"/>
    <s v="Average"/>
    <s v="Blockbuster"/>
    <s v="No"/>
    <s v="Low"/>
    <n v="246.8"/>
    <n v="473.93939393939394"/>
  </r>
  <r>
    <s v="NFX-100877"/>
    <s v="Silent Legacy 5"/>
    <s v="Movie"/>
    <x v="6"/>
    <n v="2019"/>
    <x v="4"/>
    <s v="2023-08-07"/>
    <n v="106"/>
    <s v="16+"/>
    <n v="8.3000000000000007"/>
    <n v="7"/>
    <s v="German"/>
    <s v="Christopher Nolan"/>
    <s v="Timothée Chalamet"/>
    <m/>
    <n v="184"/>
    <n v="415.3"/>
    <s v="Hit"/>
    <s v="Normal"/>
    <s v="No"/>
    <s v="High"/>
    <n v="231.3"/>
    <n v="225.70652173913044"/>
  </r>
  <r>
    <s v="NFX-100878"/>
    <s v="Silent Code 8"/>
    <s v="TV Show"/>
    <x v="1"/>
    <n v="2012"/>
    <x v="3"/>
    <s v="2019-09-21"/>
    <n v="43"/>
    <s v="PG-13"/>
    <n v="7.8"/>
    <n v="333.8"/>
    <s v="German"/>
    <s v="Martin Scorsese"/>
    <s v="Deepika Padukone"/>
    <n v="1"/>
    <n v="27"/>
    <n v="143.69999999999999"/>
    <s v="Average"/>
    <s v="Popular"/>
    <s v="No"/>
    <s v="Low"/>
    <n v="116.69999999999999"/>
    <n v="532.22222222222217"/>
  </r>
  <r>
    <s v="NFX-100879"/>
    <s v="Burning Empire 6"/>
    <s v="Movie"/>
    <x v="8"/>
    <n v="2014"/>
    <x v="9"/>
    <s v="2022-04-29"/>
    <n v="175"/>
    <s v="PG"/>
    <n v="8.4"/>
    <n v="253.3"/>
    <s v="English"/>
    <s v="Denis Villeneuve"/>
    <s v="Shah Rukh Khan"/>
    <m/>
    <n v="51"/>
    <n v="307.89999999999998"/>
    <s v="Hit"/>
    <s v="Popular"/>
    <s v="Yes"/>
    <s v="Low"/>
    <n v="256.89999999999998"/>
    <n v="603.72549019607845"/>
  </r>
  <r>
    <s v="NFX-100880"/>
    <s v="Dark Odyssey 2"/>
    <s v="Movie"/>
    <x v="3"/>
    <n v="2018"/>
    <x v="3"/>
    <s v="2020-12-09"/>
    <n v="132"/>
    <s v="18+"/>
    <n v="8.1"/>
    <n v="197.1"/>
    <s v="French"/>
    <s v="Denis Villeneuve"/>
    <s v="Leonardo DiCaprio"/>
    <m/>
    <n v="56"/>
    <n v="232.8"/>
    <s v="Hit"/>
    <s v="Normal"/>
    <s v="No"/>
    <s v="Low"/>
    <n v="176.8"/>
    <n v="415.71428571428572"/>
  </r>
  <r>
    <s v="NFX-100881"/>
    <s v="Dark Legacy 1"/>
    <s v="TV Show"/>
    <x v="0"/>
    <n v="2013"/>
    <x v="3"/>
    <s v="2024-07-11"/>
    <n v="53"/>
    <s v="18+"/>
    <n v="6.8"/>
    <n v="201.6"/>
    <s v="Japanese"/>
    <s v="Park Chan-wook"/>
    <s v="Tom Hardy"/>
    <n v="2"/>
    <n v="88"/>
    <n v="542.5"/>
    <s v="Average"/>
    <s v="Popular"/>
    <s v="No"/>
    <s v="Low"/>
    <n v="454.5"/>
    <n v="616.47727272727275"/>
  </r>
  <r>
    <s v="NFX-100882"/>
    <s v="Secret Empire 8"/>
    <s v="TV Show"/>
    <x v="3"/>
    <n v="2012"/>
    <x v="5"/>
    <s v="2022-06-28"/>
    <n v="57"/>
    <s v="G"/>
    <n v="8.1999999999999993"/>
    <n v="557.4"/>
    <s v="Japanese"/>
    <s v="Steven Spielberg"/>
    <s v="Deepika Padukone"/>
    <n v="3"/>
    <n v="116"/>
    <n v="411.4"/>
    <s v="Hit"/>
    <s v="Blockbuster"/>
    <s v="Yes"/>
    <s v="High"/>
    <n v="295.39999999999998"/>
    <n v="354.65517241379308"/>
  </r>
  <r>
    <s v="NFX-100883"/>
    <s v="Dark Empire 2"/>
    <s v="TV Show"/>
    <x v="9"/>
    <n v="2005"/>
    <x v="1"/>
    <s v="2021-09-05"/>
    <n v="42"/>
    <s v="18+"/>
    <n v="6.4"/>
    <n v="289.2"/>
    <s v="French"/>
    <s v="Martin Scorsese"/>
    <s v="Brad Pitt"/>
    <n v="7"/>
    <n v="13"/>
    <n v="48.4"/>
    <s v="Average"/>
    <s v="Popular"/>
    <s v="No"/>
    <s v="Low"/>
    <n v="35.4"/>
    <n v="372.30769230769232"/>
  </r>
  <r>
    <s v="NFX-100884"/>
    <s v="Iron Frontier"/>
    <s v="Movie"/>
    <x v="4"/>
    <n v="2017"/>
    <x v="8"/>
    <s v="2023-06-07"/>
    <n v="168"/>
    <s v="16+"/>
    <n v="8.1"/>
    <n v="147.4"/>
    <s v="Hindi"/>
    <s v="Ridley Scott"/>
    <s v="Song Kang-ho"/>
    <m/>
    <n v="79"/>
    <n v="504.7"/>
    <s v="Hit"/>
    <s v="Normal"/>
    <s v="No"/>
    <s v="Low"/>
    <n v="425.7"/>
    <n v="638.86075949367091"/>
  </r>
  <r>
    <s v="NFX-100885"/>
    <s v="Shadow Legacy 5"/>
    <s v="Movie"/>
    <x v="8"/>
    <n v="2004"/>
    <x v="6"/>
    <s v="2018-03-24"/>
    <n v="175"/>
    <s v="PG-13"/>
    <n v="8.3000000000000007"/>
    <n v="200.8"/>
    <s v="Spanish"/>
    <s v="Denis Villeneuve"/>
    <s v="Leonardo DiCaprio"/>
    <m/>
    <n v="188"/>
    <n v="709.7"/>
    <s v="Hit"/>
    <s v="Popular"/>
    <s v="No"/>
    <s v="High"/>
    <n v="521.70000000000005"/>
    <n v="377.50000000000006"/>
  </r>
  <r>
    <s v="NFX-100886"/>
    <s v="Silent Storm 8"/>
    <s v="TV Show"/>
    <x v="2"/>
    <n v="2022"/>
    <x v="1"/>
    <s v="2024-02-18"/>
    <n v="38"/>
    <s v="PG"/>
    <n v="4.7"/>
    <n v="10"/>
    <s v="Spanish"/>
    <s v="Park Chan-wook"/>
    <s v="Tom Hardy"/>
    <n v="1"/>
    <n v="10"/>
    <n v="51.5"/>
    <s v="Flop"/>
    <s v="Normal"/>
    <s v="Yes"/>
    <s v="Low"/>
    <n v="41.5"/>
    <n v="515"/>
  </r>
  <r>
    <s v="NFX-100887"/>
    <s v="Rising Signal 1"/>
    <s v="Movie"/>
    <x v="9"/>
    <n v="2004"/>
    <x v="6"/>
    <s v="2024-09-25"/>
    <n v="140"/>
    <s v="G"/>
    <n v="5.5"/>
    <n v="321.3"/>
    <s v="Korean"/>
    <s v="Zoya Akhtar"/>
    <s v="Ryan Gosling"/>
    <m/>
    <n v="100"/>
    <n v="418.4"/>
    <s v="Flop"/>
    <s v="Popular"/>
    <s v="Yes"/>
    <s v="High"/>
    <n v="318.39999999999998"/>
    <n v="418.40000000000003"/>
  </r>
  <r>
    <s v="NFX-100888"/>
    <s v="Lost Odyssey 1"/>
    <s v="Movie"/>
    <x v="8"/>
    <n v="2009"/>
    <x v="0"/>
    <s v="2019-11-26"/>
    <n v="93"/>
    <s v="16+"/>
    <n v="6.6"/>
    <n v="557.70000000000005"/>
    <s v="Japanese"/>
    <s v="Park Chan-wook"/>
    <s v="Shah Rukh Khan"/>
    <m/>
    <n v="114"/>
    <n v="645.29999999999995"/>
    <s v="Average"/>
    <s v="Blockbuster"/>
    <s v="No"/>
    <s v="High"/>
    <n v="531.29999999999995"/>
    <n v="566.0526315789474"/>
  </r>
  <r>
    <s v="NFX-100889"/>
    <s v="Shadow City 8"/>
    <s v="TV Show"/>
    <x v="4"/>
    <n v="2012"/>
    <x v="7"/>
    <s v="2023-07-22"/>
    <n v="36"/>
    <s v="PG"/>
    <n v="7.4"/>
    <n v="179.2"/>
    <s v="Hindi"/>
    <s v="Guillermo del Toro"/>
    <s v="Lee Jung-jae"/>
    <n v="1"/>
    <n v="101"/>
    <n v="435.5"/>
    <s v="Average"/>
    <s v="Normal"/>
    <s v="Yes"/>
    <s v="High"/>
    <n v="334.5"/>
    <n v="431.18811881188117"/>
  </r>
  <r>
    <s v="NFX-100890"/>
    <s v="Iron Legacy 1"/>
    <s v="TV Show"/>
    <x v="1"/>
    <n v="2015"/>
    <x v="7"/>
    <s v="2022-04-11"/>
    <n v="40"/>
    <s v="PG"/>
    <n v="6.4"/>
    <n v="151.6"/>
    <s v="German"/>
    <s v="Martin Scorsese"/>
    <s v="Ryan Gosling"/>
    <n v="8"/>
    <n v="31"/>
    <n v="78.8"/>
    <s v="Average"/>
    <s v="Normal"/>
    <s v="Yes"/>
    <s v="Low"/>
    <n v="47.8"/>
    <n v="254.19354838709677"/>
  </r>
  <r>
    <s v="NFX-100891"/>
    <s v="Secret Journey 3"/>
    <s v="Movie"/>
    <x v="5"/>
    <n v="2018"/>
    <x v="6"/>
    <s v="2021-11-23"/>
    <n v="160"/>
    <s v="G"/>
    <n v="8.3000000000000007"/>
    <n v="195.1"/>
    <s v="Korean"/>
    <s v="Ridley Scott"/>
    <s v="Timothée Chalamet"/>
    <m/>
    <n v="55"/>
    <n v="287.2"/>
    <s v="Hit"/>
    <s v="Normal"/>
    <s v="Yes"/>
    <s v="Low"/>
    <n v="232.2"/>
    <n v="522.18181818181813"/>
  </r>
  <r>
    <s v="NFX-100892"/>
    <s v="Silent Journey 1"/>
    <s v="TV Show"/>
    <x v="1"/>
    <n v="2011"/>
    <x v="4"/>
    <s v="2024-09-18"/>
    <n v="55"/>
    <s v="16+"/>
    <n v="9.5"/>
    <n v="271.89999999999998"/>
    <s v="German"/>
    <s v="Park Chan-wook"/>
    <s v="Robert Downey Jr."/>
    <n v="3"/>
    <n v="159"/>
    <n v="401.4"/>
    <s v="Hit"/>
    <s v="Popular"/>
    <s v="No"/>
    <s v="High"/>
    <n v="242.39999999999998"/>
    <n v="252.4528301886792"/>
  </r>
  <r>
    <s v="NFX-100893"/>
    <s v="Burning Protocol 9"/>
    <s v="TV Show"/>
    <x v="1"/>
    <n v="2016"/>
    <x v="2"/>
    <s v="2024-10-14"/>
    <n v="54"/>
    <s v="18+"/>
    <n v="5"/>
    <n v="56.8"/>
    <s v="German"/>
    <s v="Bong Joon-ho"/>
    <s v="Deepika Padukone"/>
    <n v="1"/>
    <n v="91"/>
    <n v="581.6"/>
    <s v="Flop"/>
    <s v="Normal"/>
    <s v="No"/>
    <s v="Low"/>
    <n v="490.6"/>
    <n v="639.12087912087918"/>
  </r>
  <r>
    <s v="NFX-100894"/>
    <s v="Burning Archive 2"/>
    <s v="Movie"/>
    <x v="3"/>
    <n v="2017"/>
    <x v="0"/>
    <s v="2024-09-27"/>
    <n v="144"/>
    <s v="16+"/>
    <n v="7.9"/>
    <n v="501.6"/>
    <s v="English"/>
    <s v="Anurag Kashyap"/>
    <s v="Tom Hardy"/>
    <m/>
    <n v="184"/>
    <n v="331.4"/>
    <s v="Average"/>
    <s v="Blockbuster"/>
    <s v="No"/>
    <s v="High"/>
    <n v="147.39999999999998"/>
    <n v="180.10869565217391"/>
  </r>
  <r>
    <s v="NFX-100895"/>
    <s v="Last Frontier 5"/>
    <s v="Movie"/>
    <x v="5"/>
    <n v="2007"/>
    <x v="0"/>
    <s v="2021-05-20"/>
    <n v="125"/>
    <s v="18+"/>
    <n v="6"/>
    <n v="51.3"/>
    <s v="German"/>
    <s v="Denis Villeneuve"/>
    <s v="Scarlett Johansson"/>
    <m/>
    <n v="91"/>
    <n v="299.2"/>
    <s v="Average"/>
    <s v="Normal"/>
    <s v="No"/>
    <s v="Low"/>
    <n v="208.2"/>
    <n v="328.79120879120876"/>
  </r>
  <r>
    <s v="NFX-100896"/>
    <s v="Shadow Odyssey 2"/>
    <s v="Movie"/>
    <x v="9"/>
    <n v="2021"/>
    <x v="2"/>
    <s v="2018-01-26"/>
    <n v="127"/>
    <s v="PG"/>
    <n v="5.6"/>
    <n v="595.5"/>
    <s v="Spanish"/>
    <s v="Quentin Tarantino"/>
    <s v="Brad Pitt"/>
    <m/>
    <n v="140"/>
    <n v="787.5"/>
    <s v="Flop"/>
    <s v="Blockbuster"/>
    <s v="Yes"/>
    <s v="High"/>
    <n v="647.5"/>
    <n v="562.5"/>
  </r>
  <r>
    <s v="NFX-100897"/>
    <s v="Iron Journey 2"/>
    <s v="TV Show"/>
    <x v="3"/>
    <n v="2003"/>
    <x v="7"/>
    <s v="2020-11-25"/>
    <n v="42"/>
    <s v="G"/>
    <n v="9.4"/>
    <n v="386.5"/>
    <s v="Hindi"/>
    <s v="Anurag Kashyap"/>
    <s v="Song Kang-ho"/>
    <n v="1"/>
    <n v="45"/>
    <n v="268.89999999999998"/>
    <s v="Hit"/>
    <s v="Popular"/>
    <s v="Yes"/>
    <s v="Low"/>
    <n v="223.89999999999998"/>
    <n v="597.55555555555554"/>
  </r>
  <r>
    <s v="NFX-100898"/>
    <s v="Midnight City 3"/>
    <s v="TV Show"/>
    <x v="2"/>
    <n v="2014"/>
    <x v="8"/>
    <s v="2021-01-18"/>
    <n v="60"/>
    <s v="G"/>
    <n v="7.6"/>
    <n v="256.5"/>
    <s v="French"/>
    <s v="Bong Joon-ho"/>
    <s v="Ranbir Kapoor"/>
    <n v="2"/>
    <n v="176"/>
    <n v="838.2"/>
    <s v="Average"/>
    <s v="Popular"/>
    <s v="Yes"/>
    <s v="High"/>
    <n v="662.2"/>
    <n v="476.25"/>
  </r>
  <r>
    <s v="NFX-100899"/>
    <s v="Midnight Protocol 8"/>
    <s v="Movie"/>
    <x v="0"/>
    <n v="2004"/>
    <x v="4"/>
    <s v="2021-10-12"/>
    <n v="144"/>
    <s v="G"/>
    <n v="4.7"/>
    <n v="216.9"/>
    <s v="French"/>
    <s v="Rajkumar Hirani"/>
    <s v="Jennifer Lawrence"/>
    <m/>
    <n v="64"/>
    <n v="100.9"/>
    <s v="Flop"/>
    <s v="Popular"/>
    <s v="Yes"/>
    <s v="Low"/>
    <n v="36.900000000000006"/>
    <n v="157.65625"/>
  </r>
  <r>
    <s v="NFX-100900"/>
    <s v="Fading Signal 2"/>
    <s v="Movie"/>
    <x v="7"/>
    <n v="2000"/>
    <x v="9"/>
    <s v="2023-11-14"/>
    <n v="148"/>
    <s v="G"/>
    <n v="5.4"/>
    <n v="81.3"/>
    <s v="English"/>
    <s v="Guillermo del Toro"/>
    <s v="Tom Hardy"/>
    <m/>
    <n v="19"/>
    <n v="52.7"/>
    <s v="Flop"/>
    <s v="Normal"/>
    <s v="Yes"/>
    <s v="Low"/>
    <n v="33.700000000000003"/>
    <n v="277.36842105263156"/>
  </r>
  <r>
    <s v="NFX-100901"/>
    <s v="Silent Protocol 3"/>
    <s v="Movie"/>
    <x v="1"/>
    <n v="2020"/>
    <x v="9"/>
    <s v="2019-12-18"/>
    <n v="133"/>
    <s v="PG"/>
    <n v="8.8000000000000007"/>
    <n v="338.9"/>
    <s v="Korean"/>
    <s v="Christopher Nolan"/>
    <s v="Leonardo DiCaprio"/>
    <m/>
    <n v="94"/>
    <n v="471"/>
    <s v="Hit"/>
    <s v="Popular"/>
    <s v="Yes"/>
    <s v="Low"/>
    <n v="377"/>
    <n v="501.063829787234"/>
  </r>
  <r>
    <s v="NFX-100902"/>
    <s v="Golden Journey 4"/>
    <s v="TV Show"/>
    <x v="2"/>
    <n v="2021"/>
    <x v="3"/>
    <s v="2022-04-03"/>
    <n v="35"/>
    <s v="G"/>
    <n v="6.8"/>
    <n v="474.2"/>
    <s v="German"/>
    <s v="Ridley Scott"/>
    <s v="Scarlett Johansson"/>
    <n v="8"/>
    <n v="138"/>
    <n v="344"/>
    <s v="Average"/>
    <s v="Blockbuster"/>
    <s v="Yes"/>
    <s v="High"/>
    <n v="206"/>
    <n v="249.27536231884056"/>
  </r>
  <r>
    <s v="NFX-100903"/>
    <s v="Burning Empire 4"/>
    <s v="TV Show"/>
    <x v="8"/>
    <n v="2021"/>
    <x v="8"/>
    <s v="2023-12-10"/>
    <n v="60"/>
    <s v="PG"/>
    <n v="8.5"/>
    <n v="375.7"/>
    <s v="Spanish"/>
    <s v="Steven Spielberg"/>
    <s v="Tom Hardy"/>
    <n v="1"/>
    <n v="68"/>
    <n v="439.3"/>
    <s v="Hit"/>
    <s v="Popular"/>
    <s v="Yes"/>
    <s v="Low"/>
    <n v="371.3"/>
    <n v="646.02941176470597"/>
  </r>
  <r>
    <s v="NFX-100904"/>
    <s v="Rising City 8"/>
    <s v="Movie"/>
    <x v="7"/>
    <n v="2009"/>
    <x v="5"/>
    <s v="2018-05-31"/>
    <n v="161"/>
    <s v="PG"/>
    <n v="4.8"/>
    <n v="60.7"/>
    <s v="Japanese"/>
    <s v="Rajkumar Hirani"/>
    <s v="Chris Evans"/>
    <m/>
    <n v="50"/>
    <n v="235.6"/>
    <s v="Flop"/>
    <s v="Normal"/>
    <s v="Yes"/>
    <s v="Low"/>
    <n v="185.6"/>
    <n v="471.2"/>
  </r>
  <r>
    <s v="NFX-100905"/>
    <s v="Dark Signal 4"/>
    <s v="Movie"/>
    <x v="7"/>
    <n v="2023"/>
    <x v="4"/>
    <s v="2020-01-30"/>
    <n v="177"/>
    <s v="16+"/>
    <n v="6.2"/>
    <n v="540.1"/>
    <s v="French"/>
    <s v="Ridley Scott"/>
    <s v="Ryan Gosling"/>
    <m/>
    <n v="117"/>
    <n v="266.5"/>
    <s v="Average"/>
    <s v="Blockbuster"/>
    <s v="No"/>
    <s v="High"/>
    <n v="149.5"/>
    <n v="227.77777777777777"/>
  </r>
  <r>
    <s v="NFX-100906"/>
    <s v="Fading Frontier 8"/>
    <s v="Movie"/>
    <x v="2"/>
    <n v="2016"/>
    <x v="3"/>
    <s v="2023-07-06"/>
    <n v="174"/>
    <s v="18+"/>
    <n v="6.3"/>
    <n v="308.39999999999998"/>
    <s v="German"/>
    <s v="Park Chan-wook"/>
    <s v="Deepika Padukone"/>
    <m/>
    <n v="38"/>
    <n v="172.7"/>
    <s v="Average"/>
    <s v="Popular"/>
    <s v="No"/>
    <s v="Low"/>
    <n v="134.69999999999999"/>
    <n v="454.4736842105263"/>
  </r>
  <r>
    <s v="NFX-100907"/>
    <s v="Silent Storm 6"/>
    <s v="TV Show"/>
    <x v="3"/>
    <n v="2014"/>
    <x v="5"/>
    <s v="2019-08-10"/>
    <n v="37"/>
    <s v="16+"/>
    <n v="9.4"/>
    <n v="42.1"/>
    <s v="English"/>
    <s v="Bong Joon-ho"/>
    <s v="Ranbir Kapoor"/>
    <n v="5"/>
    <n v="60"/>
    <n v="278.10000000000002"/>
    <s v="Hit"/>
    <s v="Normal"/>
    <s v="No"/>
    <s v="Low"/>
    <n v="218.10000000000002"/>
    <n v="463.50000000000006"/>
  </r>
  <r>
    <s v="NFX-100908"/>
    <s v="Broken Echo 6"/>
    <s v="Movie"/>
    <x v="8"/>
    <n v="2000"/>
    <x v="8"/>
    <s v="2021-07-03"/>
    <n v="144"/>
    <s v="16+"/>
    <n v="8"/>
    <n v="502"/>
    <s v="Spanish"/>
    <s v="Bong Joon-ho"/>
    <s v="Shah Rukh Khan"/>
    <m/>
    <n v="118"/>
    <n v="188.7"/>
    <s v="Hit"/>
    <s v="Blockbuster"/>
    <s v="No"/>
    <s v="High"/>
    <n v="70.699999999999989"/>
    <n v="159.91525423728811"/>
  </r>
  <r>
    <s v="NFX-100909"/>
    <s v="Fading Signal 8"/>
    <s v="Movie"/>
    <x v="9"/>
    <n v="2013"/>
    <x v="1"/>
    <s v="2021-07-07"/>
    <n v="89"/>
    <s v="18+"/>
    <n v="9"/>
    <n v="90.5"/>
    <s v="English"/>
    <s v="Greta Gerwig"/>
    <s v="Song Kang-ho"/>
    <m/>
    <n v="101"/>
    <n v="204.7"/>
    <s v="Hit"/>
    <s v="Normal"/>
    <s v="No"/>
    <s v="High"/>
    <n v="103.69999999999999"/>
    <n v="202.67326732673268"/>
  </r>
  <r>
    <s v="NFX-100910"/>
    <s v="Lost Frontier 1"/>
    <s v="Movie"/>
    <x v="0"/>
    <n v="2013"/>
    <x v="0"/>
    <s v="2021-12-18"/>
    <n v="139"/>
    <s v="PG-13"/>
    <n v="5.9"/>
    <n v="86.9"/>
    <s v="French"/>
    <s v="James Cameron"/>
    <s v="Leonardo DiCaprio"/>
    <m/>
    <n v="160"/>
    <n v="575"/>
    <s v="Flop"/>
    <s v="Normal"/>
    <s v="No"/>
    <s v="High"/>
    <n v="415"/>
    <n v="359.375"/>
  </r>
  <r>
    <s v="NFX-100911"/>
    <s v="Crystal Legacy 5"/>
    <s v="TV Show"/>
    <x v="2"/>
    <n v="2001"/>
    <x v="5"/>
    <s v="2023-05-11"/>
    <n v="31"/>
    <s v="16+"/>
    <n v="7.6"/>
    <n v="422.6"/>
    <s v="Korean"/>
    <s v="Martin Scorsese"/>
    <s v="Scarlett Johansson"/>
    <n v="1"/>
    <n v="14"/>
    <n v="18.100000000000001"/>
    <s v="Average"/>
    <s v="Blockbuster"/>
    <s v="No"/>
    <s v="Low"/>
    <n v="4.1000000000000014"/>
    <n v="129.28571428571431"/>
  </r>
  <r>
    <s v="NFX-100912"/>
    <s v="Hidden Frontier 4"/>
    <s v="TV Show"/>
    <x v="9"/>
    <n v="2006"/>
    <x v="6"/>
    <s v="2021-07-26"/>
    <n v="33"/>
    <s v="PG"/>
    <n v="4.7"/>
    <n v="180.3"/>
    <s v="German"/>
    <s v="Greta Gerwig"/>
    <s v="Deepika Padukone"/>
    <n v="7"/>
    <n v="68"/>
    <n v="374.5"/>
    <s v="Flop"/>
    <s v="Normal"/>
    <s v="Yes"/>
    <s v="Low"/>
    <n v="306.5"/>
    <n v="550.73529411764707"/>
  </r>
  <r>
    <s v="NFX-100913"/>
    <s v="Crystal Protocol 7"/>
    <s v="Movie"/>
    <x v="4"/>
    <n v="2024"/>
    <x v="6"/>
    <s v="2018-05-18"/>
    <n v="106"/>
    <s v="PG"/>
    <n v="9.6"/>
    <n v="176.1"/>
    <s v="Hindi"/>
    <s v="Guillermo del Toro"/>
    <s v="Tom Hardy"/>
    <m/>
    <n v="29"/>
    <n v="36.700000000000003"/>
    <s v="Hit"/>
    <s v="Normal"/>
    <s v="Yes"/>
    <s v="Low"/>
    <n v="7.7000000000000028"/>
    <n v="126.55172413793106"/>
  </r>
  <r>
    <s v="NFX-100914"/>
    <s v="Iron Journey 5"/>
    <s v="Movie"/>
    <x v="3"/>
    <n v="2024"/>
    <x v="3"/>
    <s v="2020-02-26"/>
    <n v="147"/>
    <s v="16+"/>
    <n v="6.3"/>
    <n v="249.2"/>
    <s v="German"/>
    <s v="Anurag Kashyap"/>
    <s v="Leonardo DiCaprio"/>
    <m/>
    <n v="115"/>
    <n v="339.3"/>
    <s v="Average"/>
    <s v="Popular"/>
    <s v="No"/>
    <s v="High"/>
    <n v="224.3"/>
    <n v="295.04347826086956"/>
  </r>
  <r>
    <s v="NFX-100915"/>
    <s v="Secret Valley 6"/>
    <s v="Movie"/>
    <x v="2"/>
    <n v="2018"/>
    <x v="1"/>
    <s v="2020-11-14"/>
    <n v="147"/>
    <s v="PG-13"/>
    <n v="8.3000000000000007"/>
    <n v="318.7"/>
    <s v="French"/>
    <s v="Anurag Kashyap"/>
    <s v="Scarlett Johansson"/>
    <m/>
    <n v="81"/>
    <n v="114.3"/>
    <s v="Hit"/>
    <s v="Popular"/>
    <s v="No"/>
    <s v="Low"/>
    <n v="33.299999999999997"/>
    <n v="141.11111111111109"/>
  </r>
  <r>
    <s v="NFX-100916"/>
    <s v="Last Chronicles 5"/>
    <s v="Movie"/>
    <x v="3"/>
    <n v="2003"/>
    <x v="9"/>
    <s v="2021-06-11"/>
    <n v="131"/>
    <s v="18+"/>
    <n v="7"/>
    <n v="4.8"/>
    <s v="Japanese"/>
    <s v="Ridley Scott"/>
    <s v="Emma Stone"/>
    <m/>
    <n v="163"/>
    <n v="579.1"/>
    <s v="Average"/>
    <s v="Normal"/>
    <s v="No"/>
    <s v="High"/>
    <n v="416.1"/>
    <n v="355.27607361963192"/>
  </r>
  <r>
    <s v="NFX-100917"/>
    <s v="Fading Odyssey 8"/>
    <s v="Movie"/>
    <x v="8"/>
    <n v="2012"/>
    <x v="7"/>
    <s v="2021-02-08"/>
    <n v="107"/>
    <s v="G"/>
    <n v="8.8000000000000007"/>
    <n v="108.8"/>
    <s v="Spanish"/>
    <s v="Martin Scorsese"/>
    <s v="Leonardo DiCaprio"/>
    <m/>
    <n v="135"/>
    <n v="697.8"/>
    <s v="Hit"/>
    <s v="Normal"/>
    <s v="Yes"/>
    <s v="High"/>
    <n v="562.79999999999995"/>
    <n v="516.88888888888891"/>
  </r>
  <r>
    <s v="NFX-100918"/>
    <s v="Iron Odyssey 5"/>
    <s v="TV Show"/>
    <x v="3"/>
    <n v="2023"/>
    <x v="3"/>
    <s v="2021-02-23"/>
    <n v="54"/>
    <s v="PG"/>
    <n v="9.1"/>
    <n v="533"/>
    <s v="Japanese"/>
    <s v="Denis Villeneuve"/>
    <s v="Scarlett Johansson"/>
    <n v="5"/>
    <n v="30"/>
    <n v="177.1"/>
    <s v="Hit"/>
    <s v="Blockbuster"/>
    <s v="Yes"/>
    <s v="Low"/>
    <n v="147.1"/>
    <n v="590.33333333333337"/>
  </r>
  <r>
    <s v="NFX-100919"/>
    <s v="Fading Signal 5"/>
    <s v="Movie"/>
    <x v="5"/>
    <n v="2010"/>
    <x v="5"/>
    <s v="2023-04-05"/>
    <n v="154"/>
    <s v="PG"/>
    <n v="7.6"/>
    <n v="353.7"/>
    <s v="Hindi"/>
    <s v="Steven Spielberg"/>
    <s v="Chris Evans"/>
    <m/>
    <n v="87"/>
    <n v="406.8"/>
    <s v="Average"/>
    <s v="Popular"/>
    <s v="Yes"/>
    <s v="Low"/>
    <n v="319.8"/>
    <n v="467.58620689655174"/>
  </r>
  <r>
    <s v="NFX-100920"/>
    <s v="Crystal Protocol 6"/>
    <s v="Movie"/>
    <x v="2"/>
    <n v="2015"/>
    <x v="7"/>
    <s v="2020-10-15"/>
    <n v="175"/>
    <s v="16+"/>
    <n v="5.0999999999999996"/>
    <n v="10.199999999999999"/>
    <s v="Korean"/>
    <s v="Bong Joon-ho"/>
    <s v="Shah Rukh Khan"/>
    <m/>
    <n v="24"/>
    <n v="33.799999999999997"/>
    <s v="Flop"/>
    <s v="Normal"/>
    <s v="No"/>
    <s v="Low"/>
    <n v="9.7999999999999972"/>
    <n v="140.83333333333331"/>
  </r>
  <r>
    <s v="NFX-100921"/>
    <s v="Midnight Valley 2"/>
    <s v="TV Show"/>
    <x v="3"/>
    <n v="2011"/>
    <x v="4"/>
    <s v="2023-09-05"/>
    <n v="40"/>
    <s v="PG-13"/>
    <n v="8.8000000000000007"/>
    <n v="423.5"/>
    <s v="English"/>
    <s v="Bong Joon-ho"/>
    <s v="Robert Downey Jr."/>
    <n v="7"/>
    <n v="146"/>
    <n v="507.8"/>
    <s v="Hit"/>
    <s v="Blockbuster"/>
    <s v="No"/>
    <s v="High"/>
    <n v="361.8"/>
    <n v="347.8082191780822"/>
  </r>
  <r>
    <s v="NFX-100922"/>
    <s v="Silent Protocol 2"/>
    <s v="Movie"/>
    <x v="8"/>
    <n v="2012"/>
    <x v="6"/>
    <s v="2023-03-14"/>
    <n v="100"/>
    <s v="G"/>
    <n v="6.8"/>
    <n v="67.400000000000006"/>
    <s v="English"/>
    <s v="Anurag Kashyap"/>
    <s v="Jennifer Lawrence"/>
    <m/>
    <n v="36"/>
    <n v="201.4"/>
    <s v="Average"/>
    <s v="Normal"/>
    <s v="Yes"/>
    <s v="Low"/>
    <n v="165.4"/>
    <n v="559.44444444444446"/>
  </r>
  <r>
    <s v="NFX-100923"/>
    <s v="Secret Protocol 6"/>
    <s v="Movie"/>
    <x v="8"/>
    <n v="2017"/>
    <x v="0"/>
    <s v="2023-10-13"/>
    <n v="131"/>
    <s v="PG"/>
    <n v="5.3"/>
    <n v="171.8"/>
    <s v="German"/>
    <s v="James Cameron"/>
    <s v="Shah Rukh Khan"/>
    <m/>
    <n v="8"/>
    <n v="14.2"/>
    <s v="Flop"/>
    <s v="Normal"/>
    <s v="Yes"/>
    <s v="Low"/>
    <n v="6.1999999999999993"/>
    <n v="177.5"/>
  </r>
  <r>
    <s v="NFX-100924"/>
    <s v="Silent Valley 4"/>
    <s v="Movie"/>
    <x v="5"/>
    <n v="2024"/>
    <x v="3"/>
    <s v="2022-04-18"/>
    <n v="141"/>
    <s v="16+"/>
    <n v="7"/>
    <n v="254.1"/>
    <s v="Japanese"/>
    <s v="James Cameron"/>
    <s v="Ranbir Kapoor"/>
    <m/>
    <n v="131"/>
    <n v="784.1"/>
    <s v="Average"/>
    <s v="Popular"/>
    <s v="No"/>
    <s v="High"/>
    <n v="653.1"/>
    <n v="598.54961832061065"/>
  </r>
  <r>
    <s v="NFX-100925"/>
    <s v="Secret Protocol 5"/>
    <s v="Movie"/>
    <x v="5"/>
    <n v="2009"/>
    <x v="4"/>
    <s v="2020-10-13"/>
    <n v="87"/>
    <s v="G"/>
    <n v="6.8"/>
    <n v="152.1"/>
    <s v="Spanish"/>
    <s v="James Cameron"/>
    <s v="Scarlett Johansson"/>
    <m/>
    <n v="86"/>
    <n v="553.70000000000005"/>
    <s v="Average"/>
    <s v="Normal"/>
    <s v="Yes"/>
    <s v="Low"/>
    <n v="467.70000000000005"/>
    <n v="643.83720930232562"/>
  </r>
  <r>
    <s v="NFX-100926"/>
    <s v="Rising Signal 2"/>
    <s v="TV Show"/>
    <x v="1"/>
    <n v="2001"/>
    <x v="1"/>
    <s v="2020-04-02"/>
    <n v="35"/>
    <s v="G"/>
    <n v="6.4"/>
    <n v="116.6"/>
    <s v="German"/>
    <s v="Martin Scorsese"/>
    <s v="Brad Pitt"/>
    <n v="4"/>
    <n v="121"/>
    <n v="337.1"/>
    <s v="Average"/>
    <s v="Normal"/>
    <s v="Yes"/>
    <s v="High"/>
    <n v="216.10000000000002"/>
    <n v="278.59504132231405"/>
  </r>
  <r>
    <s v="NFX-100927"/>
    <s v="Burning Odyssey 8"/>
    <s v="TV Show"/>
    <x v="9"/>
    <n v="2016"/>
    <x v="9"/>
    <s v="2018-12-13"/>
    <n v="34"/>
    <s v="16+"/>
    <n v="7.3"/>
    <n v="295.5"/>
    <s v="French"/>
    <s v="Ridley Scott"/>
    <s v="Lee Jung-jae"/>
    <n v="7"/>
    <n v="191"/>
    <n v="374.7"/>
    <s v="Average"/>
    <s v="Popular"/>
    <s v="No"/>
    <s v="High"/>
    <n v="183.7"/>
    <n v="196.17801047120417"/>
  </r>
  <r>
    <s v="NFX-100928"/>
    <s v="Midnight Echo 9"/>
    <s v="Movie"/>
    <x v="6"/>
    <n v="2002"/>
    <x v="0"/>
    <s v="2021-04-10"/>
    <n v="146"/>
    <s v="PG-13"/>
    <n v="7.9"/>
    <n v="293.5"/>
    <s v="Hindi"/>
    <s v="Greta Gerwig"/>
    <s v="Deepika Padukone"/>
    <m/>
    <n v="42"/>
    <n v="108.7"/>
    <s v="Average"/>
    <s v="Popular"/>
    <s v="No"/>
    <s v="Low"/>
    <n v="66.7"/>
    <n v="258.8095238095238"/>
  </r>
  <r>
    <s v="NFX-100929"/>
    <s v="Burning Storm 1"/>
    <s v="TV Show"/>
    <x v="10"/>
    <n v="2002"/>
    <x v="8"/>
    <s v="2024-10-23"/>
    <n v="40"/>
    <s v="16+"/>
    <n v="7.9"/>
    <n v="270.7"/>
    <s v="German"/>
    <s v="Park Chan-wook"/>
    <s v="Lee Jung-jae"/>
    <n v="1"/>
    <n v="10"/>
    <n v="20.9"/>
    <s v="Average"/>
    <s v="Popular"/>
    <s v="No"/>
    <s v="Low"/>
    <n v="10.899999999999999"/>
    <n v="209"/>
  </r>
  <r>
    <s v="NFX-100930"/>
    <s v="Dark Echo 1"/>
    <s v="TV Show"/>
    <x v="4"/>
    <n v="2007"/>
    <x v="4"/>
    <s v="2022-09-30"/>
    <n v="37"/>
    <s v="G"/>
    <n v="4.9000000000000004"/>
    <n v="98.2"/>
    <s v="English"/>
    <s v="Ridley Scott"/>
    <s v="Lee Jung-jae"/>
    <n v="3"/>
    <n v="41"/>
    <n v="242"/>
    <s v="Flop"/>
    <s v="Normal"/>
    <s v="Yes"/>
    <s v="Low"/>
    <n v="201"/>
    <n v="590.2439024390244"/>
  </r>
  <r>
    <s v="NFX-100931"/>
    <s v="Crystal Horizon 4"/>
    <s v="Movie"/>
    <x v="6"/>
    <n v="2002"/>
    <x v="5"/>
    <s v="2019-04-26"/>
    <n v="166"/>
    <s v="16+"/>
    <n v="6.3"/>
    <n v="496.7"/>
    <s v="English"/>
    <s v="Park Chan-wook"/>
    <s v="Lee Jung-jae"/>
    <m/>
    <n v="12"/>
    <n v="14.8"/>
    <s v="Average"/>
    <s v="Blockbuster"/>
    <s v="No"/>
    <s v="Low"/>
    <n v="2.8000000000000007"/>
    <n v="123.33333333333334"/>
  </r>
  <r>
    <s v="NFX-100932"/>
    <s v="Midnight Empire 6"/>
    <s v="Movie"/>
    <x v="4"/>
    <n v="2020"/>
    <x v="5"/>
    <s v="2021-02-26"/>
    <n v="139"/>
    <s v="PG"/>
    <n v="9.1999999999999993"/>
    <n v="437.9"/>
    <s v="Spanish"/>
    <s v="Christopher Nolan"/>
    <s v="Song Kang-ho"/>
    <m/>
    <n v="44"/>
    <n v="178.6"/>
    <s v="Hit"/>
    <s v="Blockbuster"/>
    <s v="Yes"/>
    <s v="Low"/>
    <n v="134.6"/>
    <n v="405.90909090909088"/>
  </r>
  <r>
    <s v="NFX-100933"/>
    <s v="Silent Chronicles 8"/>
    <s v="TV Show"/>
    <x v="9"/>
    <n v="2005"/>
    <x v="2"/>
    <s v="2018-05-08"/>
    <n v="47"/>
    <s v="16+"/>
    <n v="4.7"/>
    <n v="279.89999999999998"/>
    <s v="Hindi"/>
    <s v="Christopher Nolan"/>
    <s v="Timothée Chalamet"/>
    <n v="7"/>
    <n v="159"/>
    <n v="917.8"/>
    <s v="Flop"/>
    <s v="Popular"/>
    <s v="No"/>
    <s v="High"/>
    <n v="758.8"/>
    <n v="577.23270440251565"/>
  </r>
  <r>
    <s v="NFX-100934"/>
    <s v="Burning Frontier 1"/>
    <s v="Movie"/>
    <x v="0"/>
    <n v="2002"/>
    <x v="4"/>
    <s v="2023-07-21"/>
    <n v="97"/>
    <s v="PG-13"/>
    <n v="5.6"/>
    <n v="469.5"/>
    <s v="Hindi"/>
    <s v="Martin Scorsese"/>
    <s v="Emma Stone"/>
    <m/>
    <n v="165"/>
    <n v="785.6"/>
    <s v="Flop"/>
    <s v="Blockbuster"/>
    <s v="No"/>
    <s v="High"/>
    <n v="620.6"/>
    <n v="476.12121212121218"/>
  </r>
  <r>
    <s v="NFX-100935"/>
    <s v="Dark Archive 6"/>
    <s v="TV Show"/>
    <x v="10"/>
    <n v="2017"/>
    <x v="7"/>
    <s v="2018-12-20"/>
    <n v="41"/>
    <s v="G"/>
    <n v="5.9"/>
    <n v="89.4"/>
    <s v="Japanese"/>
    <s v="Denis Villeneuve"/>
    <s v="Emma Stone"/>
    <n v="6"/>
    <n v="145"/>
    <n v="716.9"/>
    <s v="Flop"/>
    <s v="Normal"/>
    <s v="Yes"/>
    <s v="High"/>
    <n v="571.9"/>
    <n v="494.41379310344826"/>
  </r>
  <r>
    <s v="NFX-100936"/>
    <s v="Golden Protocol 1"/>
    <s v="Movie"/>
    <x v="0"/>
    <n v="2004"/>
    <x v="7"/>
    <s v="2021-04-13"/>
    <n v="154"/>
    <s v="PG"/>
    <n v="8.4"/>
    <n v="300.7"/>
    <s v="Spanish"/>
    <s v="Ridley Scott"/>
    <s v="Scarlett Johansson"/>
    <m/>
    <n v="83"/>
    <n v="485.8"/>
    <s v="Hit"/>
    <s v="Popular"/>
    <s v="Yes"/>
    <s v="Low"/>
    <n v="402.8"/>
    <n v="585.30120481927713"/>
  </r>
  <r>
    <s v="NFX-100937"/>
    <s v="Lost Empire 5"/>
    <s v="TV Show"/>
    <x v="4"/>
    <n v="2019"/>
    <x v="4"/>
    <s v="2023-07-09"/>
    <n v="47"/>
    <s v="PG-13"/>
    <n v="4.5999999999999996"/>
    <n v="130.19999999999999"/>
    <s v="English"/>
    <s v="James Cameron"/>
    <s v="Lee Jung-jae"/>
    <n v="4"/>
    <n v="155"/>
    <n v="850.7"/>
    <s v="Flop"/>
    <s v="Normal"/>
    <s v="No"/>
    <s v="High"/>
    <n v="695.7"/>
    <n v="548.83870967741939"/>
  </r>
  <r>
    <s v="NFX-100938"/>
    <s v="Hidden Empire 1"/>
    <s v="Movie"/>
    <x v="1"/>
    <n v="2000"/>
    <x v="8"/>
    <s v="2019-08-19"/>
    <n v="81"/>
    <s v="G"/>
    <n v="5.4"/>
    <n v="299.39999999999998"/>
    <s v="French"/>
    <s v="Ridley Scott"/>
    <s v="Scarlett Johansson"/>
    <m/>
    <n v="111"/>
    <n v="668.8"/>
    <s v="Flop"/>
    <s v="Popular"/>
    <s v="Yes"/>
    <s v="High"/>
    <n v="557.79999999999995"/>
    <n v="602.52252252252254"/>
  </r>
  <r>
    <s v="NFX-100939"/>
    <s v="Burning Journey 8"/>
    <s v="Movie"/>
    <x v="2"/>
    <n v="2024"/>
    <x v="1"/>
    <s v="2020-02-21"/>
    <n v="154"/>
    <s v="16+"/>
    <n v="5.8"/>
    <n v="533.70000000000005"/>
    <s v="English"/>
    <s v="Bong Joon-ho"/>
    <s v="Song Kang-ho"/>
    <m/>
    <n v="64"/>
    <n v="396.3"/>
    <s v="Flop"/>
    <s v="Blockbuster"/>
    <s v="No"/>
    <s v="Low"/>
    <n v="332.3"/>
    <n v="619.21875"/>
  </r>
  <r>
    <s v="NFX-100940"/>
    <s v="Rising Code 7"/>
    <s v="TV Show"/>
    <x v="6"/>
    <n v="2000"/>
    <x v="8"/>
    <s v="2022-05-03"/>
    <n v="56"/>
    <s v="PG"/>
    <n v="7.9"/>
    <n v="247.5"/>
    <s v="French"/>
    <s v="Steven Spielberg"/>
    <s v="Emma Stone"/>
    <n v="4"/>
    <n v="152"/>
    <n v="867.5"/>
    <s v="Average"/>
    <s v="Popular"/>
    <s v="Yes"/>
    <s v="High"/>
    <n v="715.5"/>
    <n v="570.72368421052624"/>
  </r>
  <r>
    <s v="NFX-100941"/>
    <s v="Shadow Code 3"/>
    <s v="Movie"/>
    <x v="0"/>
    <n v="2021"/>
    <x v="1"/>
    <s v="2020-06-21"/>
    <n v="104"/>
    <s v="G"/>
    <n v="5.5"/>
    <n v="544.29999999999995"/>
    <s v="Japanese"/>
    <s v="Guillermo del Toro"/>
    <s v="Song Kang-ho"/>
    <m/>
    <n v="62"/>
    <n v="305.8"/>
    <s v="Flop"/>
    <s v="Blockbuster"/>
    <s v="Yes"/>
    <s v="Low"/>
    <n v="243.8"/>
    <n v="493.22580645161293"/>
  </r>
  <r>
    <s v="NFX-100942"/>
    <s v="Hidden Odyssey 3"/>
    <s v="TV Show"/>
    <x v="7"/>
    <n v="2022"/>
    <x v="3"/>
    <s v="2018-03-27"/>
    <n v="58"/>
    <s v="18+"/>
    <n v="8.1999999999999993"/>
    <n v="581"/>
    <s v="German"/>
    <s v="Guillermo del Toro"/>
    <s v="Timothée Chalamet"/>
    <n v="4"/>
    <n v="22"/>
    <n v="71.599999999999994"/>
    <s v="Hit"/>
    <s v="Blockbuster"/>
    <s v="No"/>
    <s v="Low"/>
    <n v="49.599999999999994"/>
    <n v="325.45454545454544"/>
  </r>
  <r>
    <s v="NFX-100943"/>
    <s v="Last Journey 7"/>
    <s v="TV Show"/>
    <x v="10"/>
    <n v="2019"/>
    <x v="7"/>
    <s v="2021-07-23"/>
    <n v="54"/>
    <s v="G"/>
    <n v="6.2"/>
    <n v="342.4"/>
    <s v="Korean"/>
    <s v="Sanjay Leela Bhansali"/>
    <s v="Tom Hardy"/>
    <n v="8"/>
    <n v="77"/>
    <n v="239.5"/>
    <s v="Average"/>
    <s v="Popular"/>
    <s v="Yes"/>
    <s v="Low"/>
    <n v="162.5"/>
    <n v="311.03896103896102"/>
  </r>
  <r>
    <s v="NFX-100944"/>
    <s v="Shadow Valley 4"/>
    <s v="Movie"/>
    <x v="0"/>
    <n v="2015"/>
    <x v="0"/>
    <s v="2020-01-22"/>
    <n v="119"/>
    <s v="PG"/>
    <n v="6.5"/>
    <n v="507"/>
    <s v="Hindi"/>
    <s v="Rajkumar Hirani"/>
    <s v="Timothée Chalamet"/>
    <m/>
    <n v="101"/>
    <n v="640.1"/>
    <s v="Average"/>
    <s v="Blockbuster"/>
    <s v="Yes"/>
    <s v="High"/>
    <n v="539.1"/>
    <n v="633.7623762376237"/>
  </r>
  <r>
    <s v="NFX-100945"/>
    <s v="Shadow Odyssey 9"/>
    <s v="Movie"/>
    <x v="0"/>
    <n v="2002"/>
    <x v="6"/>
    <s v="2024-01-29"/>
    <n v="141"/>
    <s v="PG-13"/>
    <n v="7"/>
    <n v="191.2"/>
    <s v="German"/>
    <s v="Zoya Akhtar"/>
    <s v="Emma Stone"/>
    <m/>
    <n v="69"/>
    <n v="258.7"/>
    <s v="Average"/>
    <s v="Normal"/>
    <s v="No"/>
    <s v="Low"/>
    <n v="189.7"/>
    <n v="374.92753623188406"/>
  </r>
  <r>
    <s v="NFX-100946"/>
    <s v="Fading Code 4"/>
    <s v="TV Show"/>
    <x v="9"/>
    <n v="2002"/>
    <x v="2"/>
    <s v="2024-05-19"/>
    <n v="34"/>
    <s v="PG"/>
    <n v="5.3"/>
    <n v="149.6"/>
    <s v="English"/>
    <s v="Guillermo del Toro"/>
    <s v="Song Kang-ho"/>
    <n v="4"/>
    <n v="21"/>
    <n v="53.6"/>
    <s v="Flop"/>
    <s v="Normal"/>
    <s v="Yes"/>
    <s v="Low"/>
    <n v="32.6"/>
    <n v="255.23809523809527"/>
  </r>
  <r>
    <s v="NFX-100947"/>
    <s v="Broken Empire 2"/>
    <s v="Movie"/>
    <x v="1"/>
    <n v="2022"/>
    <x v="2"/>
    <s v="2024-01-19"/>
    <n v="147"/>
    <s v="16+"/>
    <n v="6.8"/>
    <n v="299.60000000000002"/>
    <s v="German"/>
    <s v="James Cameron"/>
    <s v="Leonardo DiCaprio"/>
    <m/>
    <n v="141"/>
    <n v="352.9"/>
    <s v="Average"/>
    <s v="Popular"/>
    <s v="No"/>
    <s v="High"/>
    <n v="211.89999999999998"/>
    <n v="250.28368794326238"/>
  </r>
  <r>
    <s v="NFX-100948"/>
    <s v="Hidden Protocol 7"/>
    <s v="TV Show"/>
    <x v="0"/>
    <n v="2025"/>
    <x v="2"/>
    <s v="2020-06-17"/>
    <n v="47"/>
    <s v="PG-13"/>
    <n v="7.9"/>
    <n v="344"/>
    <s v="Korean"/>
    <s v="Martin Scorsese"/>
    <s v="Song Kang-ho"/>
    <n v="1"/>
    <n v="192"/>
    <n v="528"/>
    <s v="Average"/>
    <s v="Popular"/>
    <s v="No"/>
    <s v="High"/>
    <n v="336"/>
    <n v="275"/>
  </r>
  <r>
    <s v="NFX-100949"/>
    <s v="Iron Signal 1"/>
    <s v="TV Show"/>
    <x v="5"/>
    <n v="2003"/>
    <x v="5"/>
    <s v="2019-03-29"/>
    <n v="40"/>
    <s v="PG"/>
    <n v="7.2"/>
    <n v="510.4"/>
    <s v="Hindi"/>
    <s v="Ridley Scott"/>
    <s v="Lee Jung-jae"/>
    <n v="3"/>
    <n v="135"/>
    <n v="743.4"/>
    <s v="Average"/>
    <s v="Blockbuster"/>
    <s v="Yes"/>
    <s v="High"/>
    <n v="608.4"/>
    <n v="550.66666666666663"/>
  </r>
  <r>
    <s v="NFX-100950"/>
    <s v="Dark Signal 8"/>
    <s v="TV Show"/>
    <x v="10"/>
    <n v="2025"/>
    <x v="2"/>
    <s v="2020-05-20"/>
    <n v="52"/>
    <s v="G"/>
    <n v="6.8"/>
    <n v="490.3"/>
    <s v="Korean"/>
    <s v="Steven Spielberg"/>
    <s v="Deepika Padukone"/>
    <n v="2"/>
    <n v="23"/>
    <n v="61.4"/>
    <s v="Average"/>
    <s v="Blockbuster"/>
    <s v="Yes"/>
    <s v="Low"/>
    <n v="38.4"/>
    <n v="266.95652173913044"/>
  </r>
  <r>
    <s v="NFX-100951"/>
    <s v="Broken Storm 8"/>
    <s v="TV Show"/>
    <x v="9"/>
    <n v="2012"/>
    <x v="1"/>
    <s v="2023-09-28"/>
    <n v="51"/>
    <s v="PG"/>
    <n v="8.9"/>
    <n v="142.19999999999999"/>
    <s v="Japanese"/>
    <s v="Steven Spielberg"/>
    <s v="Lee Jung-jae"/>
    <n v="8"/>
    <n v="9"/>
    <n v="40.1"/>
    <s v="Hit"/>
    <s v="Normal"/>
    <s v="Yes"/>
    <s v="Low"/>
    <n v="31.1"/>
    <n v="445.55555555555554"/>
  </r>
  <r>
    <s v="NFX-100952"/>
    <s v="Crystal Horizon 5"/>
    <s v="TV Show"/>
    <x v="6"/>
    <n v="2011"/>
    <x v="3"/>
    <s v="2020-01-20"/>
    <n v="33"/>
    <s v="G"/>
    <n v="5.2"/>
    <n v="324.89999999999998"/>
    <s v="English"/>
    <s v="Denis Villeneuve"/>
    <s v="Leonardo DiCaprio"/>
    <n v="7"/>
    <n v="168"/>
    <n v="746.1"/>
    <s v="Flop"/>
    <s v="Popular"/>
    <s v="Yes"/>
    <s v="High"/>
    <n v="578.1"/>
    <n v="444.10714285714289"/>
  </r>
  <r>
    <s v="NFX-100953"/>
    <s v="Dark City 9"/>
    <s v="Movie"/>
    <x v="2"/>
    <n v="2017"/>
    <x v="6"/>
    <s v="2019-09-24"/>
    <n v="164"/>
    <s v="G"/>
    <n v="8.9"/>
    <n v="153.6"/>
    <s v="German"/>
    <s v="Guillermo del Toro"/>
    <s v="Tom Hardy"/>
    <m/>
    <n v="195"/>
    <n v="955.9"/>
    <s v="Hit"/>
    <s v="Normal"/>
    <s v="Yes"/>
    <s v="High"/>
    <n v="760.9"/>
    <n v="490.20512820512818"/>
  </r>
  <r>
    <s v="NFX-100954"/>
    <s v="Last Horizon 5"/>
    <s v="TV Show"/>
    <x v="6"/>
    <n v="2015"/>
    <x v="7"/>
    <s v="2020-09-13"/>
    <n v="59"/>
    <s v="PG-13"/>
    <n v="6.9"/>
    <n v="87.2"/>
    <s v="Spanish"/>
    <s v="Christopher Nolan"/>
    <s v="Leonardo DiCaprio"/>
    <n v="6"/>
    <n v="59"/>
    <n v="305"/>
    <s v="Average"/>
    <s v="Normal"/>
    <s v="No"/>
    <s v="Low"/>
    <n v="246"/>
    <n v="516.94915254237287"/>
  </r>
  <r>
    <s v="NFX-100955"/>
    <s v="Hidden Signal 5"/>
    <s v="Movie"/>
    <x v="4"/>
    <n v="2006"/>
    <x v="2"/>
    <s v="2019-10-31"/>
    <n v="126"/>
    <s v="G"/>
    <n v="9.1"/>
    <n v="559.29999999999995"/>
    <s v="French"/>
    <s v="Martin Scorsese"/>
    <s v="Brad Pitt"/>
    <m/>
    <n v="128"/>
    <n v="256.2"/>
    <s v="Hit"/>
    <s v="Blockbuster"/>
    <s v="Yes"/>
    <s v="High"/>
    <n v="128.19999999999999"/>
    <n v="200.15625"/>
  </r>
  <r>
    <s v="NFX-100956"/>
    <s v="Last Odyssey 8"/>
    <s v="Movie"/>
    <x v="4"/>
    <n v="2006"/>
    <x v="6"/>
    <s v="2018-09-04"/>
    <n v="144"/>
    <s v="PG-13"/>
    <n v="8.5"/>
    <n v="166.8"/>
    <s v="Hindi"/>
    <s v="Anurag Kashyap"/>
    <s v="Jennifer Lawrence"/>
    <m/>
    <n v="79"/>
    <n v="346.5"/>
    <s v="Hit"/>
    <s v="Normal"/>
    <s v="No"/>
    <s v="Low"/>
    <n v="267.5"/>
    <n v="438.60759493670889"/>
  </r>
  <r>
    <s v="NFX-100957"/>
    <s v="Hidden Journey 4"/>
    <s v="Movie"/>
    <x v="3"/>
    <n v="2000"/>
    <x v="7"/>
    <s v="2023-06-26"/>
    <n v="168"/>
    <s v="16+"/>
    <n v="8.3000000000000007"/>
    <n v="483.4"/>
    <s v="Spanish"/>
    <s v="Denis Villeneuve"/>
    <s v="Leonardo DiCaprio"/>
    <m/>
    <n v="24"/>
    <n v="38.799999999999997"/>
    <s v="Hit"/>
    <s v="Blockbuster"/>
    <s v="No"/>
    <s v="Low"/>
    <n v="14.799999999999997"/>
    <n v="161.66666666666666"/>
  </r>
  <r>
    <s v="NFX-100958"/>
    <s v="Lost Horizon 2"/>
    <s v="TV Show"/>
    <x v="10"/>
    <n v="2023"/>
    <x v="1"/>
    <s v="2024-07-12"/>
    <n v="54"/>
    <s v="G"/>
    <n v="6.1"/>
    <n v="291.5"/>
    <s v="French"/>
    <s v="James Cameron"/>
    <s v="Song Kang-ho"/>
    <n v="5"/>
    <n v="198"/>
    <n v="1265.2"/>
    <s v="Average"/>
    <s v="Popular"/>
    <s v="Yes"/>
    <s v="High"/>
    <n v="1067.2"/>
    <n v="638.98989898989896"/>
  </r>
  <r>
    <s v="NFX-100959"/>
    <s v="Golden Code 2"/>
    <s v="Movie"/>
    <x v="5"/>
    <n v="2016"/>
    <x v="1"/>
    <s v="2019-11-16"/>
    <n v="162"/>
    <s v="18+"/>
    <n v="7"/>
    <n v="353.9"/>
    <s v="Japanese"/>
    <s v="Ridley Scott"/>
    <s v="Chris Evans"/>
    <m/>
    <n v="103"/>
    <n v="462.9"/>
    <s v="Average"/>
    <s v="Popular"/>
    <s v="No"/>
    <s v="High"/>
    <n v="359.9"/>
    <n v="449.4174757281553"/>
  </r>
  <r>
    <s v="NFX-100960"/>
    <s v="Burning Valley 4"/>
    <s v="TV Show"/>
    <x v="5"/>
    <n v="2006"/>
    <x v="0"/>
    <s v="2022-03-11"/>
    <n v="52"/>
    <s v="G"/>
    <n v="5.8"/>
    <n v="485.9"/>
    <s v="Japanese"/>
    <s v="Bong Joon-ho"/>
    <s v="Ryan Gosling"/>
    <n v="4"/>
    <n v="124"/>
    <n v="429.7"/>
    <s v="Flop"/>
    <s v="Blockbuster"/>
    <s v="Yes"/>
    <s v="High"/>
    <n v="305.7"/>
    <n v="346.53225806451616"/>
  </r>
  <r>
    <s v="NFX-100961"/>
    <s v="Silent Legacy 2"/>
    <s v="TV Show"/>
    <x v="4"/>
    <n v="2007"/>
    <x v="7"/>
    <s v="2024-06-12"/>
    <n v="53"/>
    <s v="G"/>
    <n v="6.1"/>
    <n v="129.4"/>
    <s v="Korean"/>
    <s v="Park Chan-wook"/>
    <s v="Timothée Chalamet"/>
    <n v="6"/>
    <n v="123"/>
    <n v="430.9"/>
    <s v="Average"/>
    <s v="Normal"/>
    <s v="Yes"/>
    <s v="High"/>
    <n v="307.89999999999998"/>
    <n v="350.32520325203251"/>
  </r>
  <r>
    <s v="NFX-100962"/>
    <s v="Shadow Echo 4"/>
    <s v="TV Show"/>
    <x v="8"/>
    <n v="2001"/>
    <x v="8"/>
    <s v="2022-07-04"/>
    <n v="60"/>
    <s v="18+"/>
    <n v="8.4"/>
    <n v="214.4"/>
    <s v="Korean"/>
    <s v="Steven Spielberg"/>
    <s v="Robert Downey Jr."/>
    <n v="4"/>
    <n v="135"/>
    <n v="373.4"/>
    <s v="Hit"/>
    <s v="Popular"/>
    <s v="No"/>
    <s v="High"/>
    <n v="238.39999999999998"/>
    <n v="276.59259259259261"/>
  </r>
  <r>
    <s v="NFX-100963"/>
    <s v="Secret Legacy 9"/>
    <s v="Movie"/>
    <x v="6"/>
    <n v="2016"/>
    <x v="2"/>
    <s v="2018-09-23"/>
    <n v="113"/>
    <s v="16+"/>
    <n v="4.7"/>
    <n v="453.5"/>
    <s v="Korean"/>
    <s v="Christopher Nolan"/>
    <s v="Song Kang-ho"/>
    <m/>
    <n v="96"/>
    <n v="566.9"/>
    <s v="Flop"/>
    <s v="Blockbuster"/>
    <s v="No"/>
    <s v="Low"/>
    <n v="470.9"/>
    <n v="590.52083333333337"/>
  </r>
  <r>
    <s v="NFX-100964"/>
    <s v="Golden Horizon 7"/>
    <s v="TV Show"/>
    <x v="10"/>
    <n v="2001"/>
    <x v="3"/>
    <s v="2023-04-03"/>
    <n v="38"/>
    <s v="PG"/>
    <n v="4.5999999999999996"/>
    <n v="470"/>
    <s v="French"/>
    <s v="Anurag Kashyap"/>
    <s v="Robert Downey Jr."/>
    <n v="4"/>
    <n v="63"/>
    <n v="190.6"/>
    <s v="Flop"/>
    <s v="Blockbuster"/>
    <s v="Yes"/>
    <s v="Low"/>
    <n v="127.6"/>
    <n v="302.53968253968253"/>
  </r>
  <r>
    <s v="NFX-100965"/>
    <s v="Shadow Code 1"/>
    <s v="Movie"/>
    <x v="4"/>
    <n v="2000"/>
    <x v="5"/>
    <s v="2018-10-03"/>
    <n v="115"/>
    <s v="18+"/>
    <n v="6.7"/>
    <n v="554.4"/>
    <s v="Spanish"/>
    <s v="Christopher Nolan"/>
    <s v="Tom Hardy"/>
    <m/>
    <n v="71"/>
    <n v="416.9"/>
    <s v="Average"/>
    <s v="Blockbuster"/>
    <s v="No"/>
    <s v="Low"/>
    <n v="345.9"/>
    <n v="587.1830985915492"/>
  </r>
  <r>
    <s v="NFX-100966"/>
    <s v="Crystal Storm 1"/>
    <s v="Movie"/>
    <x v="8"/>
    <n v="2009"/>
    <x v="2"/>
    <s v="2022-05-12"/>
    <n v="119"/>
    <s v="16+"/>
    <n v="6.3"/>
    <n v="399.1"/>
    <s v="Korean"/>
    <s v="Ridley Scott"/>
    <s v="Tom Hardy"/>
    <m/>
    <n v="165"/>
    <n v="546.79999999999995"/>
    <s v="Average"/>
    <s v="Popular"/>
    <s v="No"/>
    <s v="High"/>
    <n v="381.79999999999995"/>
    <n v="331.39393939393938"/>
  </r>
  <r>
    <s v="NFX-100967"/>
    <s v="Broken Legacy 5"/>
    <s v="TV Show"/>
    <x v="4"/>
    <n v="2001"/>
    <x v="9"/>
    <s v="2022-03-18"/>
    <n v="36"/>
    <s v="PG-13"/>
    <n v="4.7"/>
    <n v="422.5"/>
    <s v="Spanish"/>
    <s v="Ridley Scott"/>
    <s v="Ryan Gosling"/>
    <n v="5"/>
    <n v="139"/>
    <n v="675.5"/>
    <s v="Flop"/>
    <s v="Blockbuster"/>
    <s v="No"/>
    <s v="High"/>
    <n v="536.5"/>
    <n v="485.97122302158277"/>
  </r>
  <r>
    <s v="NFX-100968"/>
    <s v="Rising Chronicles 9"/>
    <s v="TV Show"/>
    <x v="4"/>
    <n v="2004"/>
    <x v="2"/>
    <s v="2021-01-07"/>
    <n v="34"/>
    <s v="G"/>
    <n v="8.4"/>
    <n v="463.1"/>
    <s v="English"/>
    <s v="Steven Spielberg"/>
    <s v="Leonardo DiCaprio"/>
    <n v="8"/>
    <n v="123"/>
    <n v="669.2"/>
    <s v="Hit"/>
    <s v="Blockbuster"/>
    <s v="Yes"/>
    <s v="High"/>
    <n v="546.20000000000005"/>
    <n v="544.06504065040656"/>
  </r>
  <r>
    <s v="NFX-100969"/>
    <s v="Midnight Journey 6"/>
    <s v="Movie"/>
    <x v="0"/>
    <n v="2013"/>
    <x v="4"/>
    <s v="2024-05-02"/>
    <n v="109"/>
    <s v="G"/>
    <n v="4.9000000000000004"/>
    <n v="27.6"/>
    <s v="Hindi"/>
    <s v="Rajkumar Hirani"/>
    <s v="Robert Downey Jr."/>
    <m/>
    <n v="131"/>
    <n v="690.2"/>
    <s v="Flop"/>
    <s v="Normal"/>
    <s v="Yes"/>
    <s v="High"/>
    <n v="559.20000000000005"/>
    <n v="526.87022900763361"/>
  </r>
  <r>
    <s v="NFX-100970"/>
    <s v="Shadow Signal 8"/>
    <s v="Movie"/>
    <x v="0"/>
    <n v="2006"/>
    <x v="1"/>
    <s v="2022-11-27"/>
    <n v="112"/>
    <s v="PG"/>
    <n v="9.3000000000000007"/>
    <n v="337.4"/>
    <s v="Hindi"/>
    <s v="Guillermo del Toro"/>
    <s v="Lee Jung-jae"/>
    <m/>
    <n v="65"/>
    <n v="312.10000000000002"/>
    <s v="Hit"/>
    <s v="Popular"/>
    <s v="Yes"/>
    <s v="Low"/>
    <n v="247.10000000000002"/>
    <n v="480.15384615384613"/>
  </r>
  <r>
    <s v="NFX-100971"/>
    <s v="Burning Archive 9"/>
    <s v="TV Show"/>
    <x v="9"/>
    <n v="2019"/>
    <x v="5"/>
    <s v="2021-03-02"/>
    <n v="33"/>
    <s v="G"/>
    <n v="7.7"/>
    <n v="64.900000000000006"/>
    <s v="Hindi"/>
    <s v="Steven Spielberg"/>
    <s v="Leonardo DiCaprio"/>
    <n v="7"/>
    <n v="118"/>
    <n v="663.4"/>
    <s v="Average"/>
    <s v="Normal"/>
    <s v="Yes"/>
    <s v="High"/>
    <n v="545.4"/>
    <n v="562.20338983050851"/>
  </r>
  <r>
    <s v="NFX-100972"/>
    <s v="Broken Empire 4"/>
    <s v="Movie"/>
    <x v="8"/>
    <n v="2018"/>
    <x v="9"/>
    <s v="2023-08-05"/>
    <n v="110"/>
    <s v="PG-13"/>
    <n v="4.7"/>
    <n v="56.5"/>
    <s v="Hindi"/>
    <s v="Steven Spielberg"/>
    <s v="Tom Hardy"/>
    <m/>
    <n v="181"/>
    <n v="361.1"/>
    <s v="Flop"/>
    <s v="Normal"/>
    <s v="No"/>
    <s v="High"/>
    <n v="180.10000000000002"/>
    <n v="199.50276243093924"/>
  </r>
  <r>
    <s v="NFX-100973"/>
    <s v="Last City 3"/>
    <s v="Movie"/>
    <x v="10"/>
    <n v="2009"/>
    <x v="4"/>
    <s v="2022-08-03"/>
    <n v="176"/>
    <s v="PG"/>
    <n v="6.1"/>
    <n v="494.4"/>
    <s v="German"/>
    <s v="Quentin Tarantino"/>
    <s v="Song Kang-ho"/>
    <m/>
    <n v="152"/>
    <n v="373.5"/>
    <s v="Average"/>
    <s v="Blockbuster"/>
    <s v="Yes"/>
    <s v="High"/>
    <n v="221.5"/>
    <n v="245.72368421052633"/>
  </r>
  <r>
    <s v="NFX-100974"/>
    <s v="Crystal Storm 8"/>
    <s v="TV Show"/>
    <x v="9"/>
    <n v="2011"/>
    <x v="6"/>
    <s v="2018-11-04"/>
    <n v="53"/>
    <s v="PG"/>
    <n v="9.5"/>
    <n v="177.2"/>
    <s v="English"/>
    <s v="Quentin Tarantino"/>
    <s v="Jennifer Lawrence"/>
    <n v="5"/>
    <n v="125"/>
    <n v="410.7"/>
    <s v="Hit"/>
    <s v="Normal"/>
    <s v="Yes"/>
    <s v="High"/>
    <n v="285.7"/>
    <n v="328.56"/>
  </r>
  <r>
    <s v="NFX-100975"/>
    <s v="Dark Storm 3"/>
    <s v="Movie"/>
    <x v="0"/>
    <n v="2022"/>
    <x v="2"/>
    <s v="2023-05-30"/>
    <n v="149"/>
    <s v="G"/>
    <n v="7.4"/>
    <n v="471.2"/>
    <s v="French"/>
    <s v="Denis Villeneuve"/>
    <s v="Ranbir Kapoor"/>
    <m/>
    <n v="65"/>
    <n v="101.6"/>
    <s v="Average"/>
    <s v="Blockbuster"/>
    <s v="Yes"/>
    <s v="Low"/>
    <n v="36.599999999999994"/>
    <n v="156.30769230769229"/>
  </r>
  <r>
    <s v="NFX-100976"/>
    <s v="Silent Empire 1"/>
    <s v="Movie"/>
    <x v="10"/>
    <n v="2011"/>
    <x v="4"/>
    <s v="2020-11-27"/>
    <n v="99"/>
    <s v="PG"/>
    <n v="5.0999999999999996"/>
    <n v="206.6"/>
    <s v="French"/>
    <s v="Quentin Tarantino"/>
    <s v="Ryan Gosling"/>
    <m/>
    <n v="166"/>
    <n v="1072.7"/>
    <s v="Flop"/>
    <s v="Popular"/>
    <s v="Yes"/>
    <s v="High"/>
    <n v="906.7"/>
    <n v="646.20481927710841"/>
  </r>
  <r>
    <s v="NFX-100977"/>
    <s v="Hidden Empire 5"/>
    <s v="Movie"/>
    <x v="4"/>
    <n v="2016"/>
    <x v="5"/>
    <s v="2020-04-27"/>
    <n v="165"/>
    <s v="PG"/>
    <n v="9.1"/>
    <n v="60.1"/>
    <s v="Korean"/>
    <s v="Sanjay Leela Bhansali"/>
    <s v="Shah Rukh Khan"/>
    <m/>
    <n v="83"/>
    <n v="141.6"/>
    <s v="Hit"/>
    <s v="Normal"/>
    <s v="Yes"/>
    <s v="Low"/>
    <n v="58.599999999999994"/>
    <n v="170.60240963855421"/>
  </r>
  <r>
    <s v="NFX-100978"/>
    <s v="Hidden Archive 1"/>
    <s v="Movie"/>
    <x v="6"/>
    <n v="2009"/>
    <x v="9"/>
    <s v="2018-10-25"/>
    <n v="150"/>
    <s v="G"/>
    <n v="7.7"/>
    <n v="527.4"/>
    <s v="Korean"/>
    <s v="Park Chan-wook"/>
    <s v="Ryan Gosling"/>
    <m/>
    <n v="110"/>
    <n v="350.5"/>
    <s v="Average"/>
    <s v="Blockbuster"/>
    <s v="Yes"/>
    <s v="High"/>
    <n v="240.5"/>
    <n v="318.63636363636363"/>
  </r>
  <r>
    <s v="NFX-100979"/>
    <s v="Golden Signal 6"/>
    <s v="Movie"/>
    <x v="9"/>
    <n v="2002"/>
    <x v="5"/>
    <s v="2019-10-05"/>
    <n v="155"/>
    <s v="PG-13"/>
    <n v="7.9"/>
    <n v="468.1"/>
    <s v="English"/>
    <s v="Rajkumar Hirani"/>
    <s v="Tom Hardy"/>
    <m/>
    <n v="142"/>
    <n v="334.6"/>
    <s v="Average"/>
    <s v="Blockbuster"/>
    <s v="No"/>
    <s v="High"/>
    <n v="192.60000000000002"/>
    <n v="235.63380281690144"/>
  </r>
  <r>
    <s v="NFX-100980"/>
    <s v="Crystal Protocol 4"/>
    <s v="Movie"/>
    <x v="3"/>
    <n v="2002"/>
    <x v="2"/>
    <s v="2024-04-18"/>
    <n v="116"/>
    <s v="G"/>
    <n v="8.8000000000000007"/>
    <n v="514.79999999999995"/>
    <s v="Japanese"/>
    <s v="Steven Spielberg"/>
    <s v="Deepika Padukone"/>
    <m/>
    <n v="47"/>
    <n v="150.30000000000001"/>
    <s v="Hit"/>
    <s v="Blockbuster"/>
    <s v="Yes"/>
    <s v="Low"/>
    <n v="103.30000000000001"/>
    <n v="319.78723404255322"/>
  </r>
  <r>
    <s v="NFX-100981"/>
    <s v="Iron Archive 2"/>
    <s v="TV Show"/>
    <x v="5"/>
    <n v="2001"/>
    <x v="4"/>
    <s v="2020-10-08"/>
    <n v="46"/>
    <s v="PG"/>
    <n v="4.7"/>
    <n v="475.2"/>
    <s v="Korean"/>
    <s v="Anurag Kashyap"/>
    <s v="Deepika Padukone"/>
    <n v="5"/>
    <n v="77"/>
    <n v="385.4"/>
    <s v="Flop"/>
    <s v="Blockbuster"/>
    <s v="Yes"/>
    <s v="Low"/>
    <n v="308.39999999999998"/>
    <n v="500.51948051948045"/>
  </r>
  <r>
    <s v="NFX-100982"/>
    <s v="Silent Signal 6"/>
    <s v="TV Show"/>
    <x v="6"/>
    <n v="2016"/>
    <x v="8"/>
    <s v="2018-06-09"/>
    <n v="36"/>
    <s v="PG-13"/>
    <n v="5.3"/>
    <n v="347.6"/>
    <s v="Japanese"/>
    <s v="James Cameron"/>
    <s v="Ranbir Kapoor"/>
    <n v="8"/>
    <n v="185"/>
    <n v="556.79999999999995"/>
    <s v="Flop"/>
    <s v="Popular"/>
    <s v="No"/>
    <s v="High"/>
    <n v="371.79999999999995"/>
    <n v="300.97297297297297"/>
  </r>
  <r>
    <s v="NFX-100983"/>
    <s v="Shadow Code 6"/>
    <s v="TV Show"/>
    <x v="1"/>
    <n v="2014"/>
    <x v="2"/>
    <s v="2022-11-25"/>
    <n v="55"/>
    <s v="PG"/>
    <n v="6.7"/>
    <n v="356.4"/>
    <s v="English"/>
    <s v="Bong Joon-ho"/>
    <s v="Ryan Gosling"/>
    <n v="7"/>
    <n v="38"/>
    <n v="179.5"/>
    <s v="Average"/>
    <s v="Popular"/>
    <s v="Yes"/>
    <s v="Low"/>
    <n v="141.5"/>
    <n v="472.36842105263162"/>
  </r>
  <r>
    <s v="NFX-100984"/>
    <s v="Dark Chronicles 4"/>
    <s v="TV Show"/>
    <x v="3"/>
    <n v="2017"/>
    <x v="9"/>
    <s v="2023-07-14"/>
    <n v="48"/>
    <s v="16+"/>
    <n v="7.8"/>
    <n v="248.4"/>
    <s v="Korean"/>
    <s v="Steven Spielberg"/>
    <s v="Robert Downey Jr."/>
    <n v="4"/>
    <n v="118"/>
    <n v="652.29999999999995"/>
    <s v="Average"/>
    <s v="Popular"/>
    <s v="No"/>
    <s v="High"/>
    <n v="534.29999999999995"/>
    <n v="552.79661016949149"/>
  </r>
  <r>
    <s v="NFX-100985"/>
    <s v="Iron Signal 9"/>
    <s v="Movie"/>
    <x v="2"/>
    <n v="2000"/>
    <x v="8"/>
    <s v="2024-07-22"/>
    <n v="142"/>
    <s v="G"/>
    <n v="5.2"/>
    <n v="255.9"/>
    <s v="Korean"/>
    <s v="Guillermo del Toro"/>
    <s v="Lee Jung-jae"/>
    <m/>
    <n v="125"/>
    <n v="470.6"/>
    <s v="Flop"/>
    <s v="Popular"/>
    <s v="Yes"/>
    <s v="High"/>
    <n v="345.6"/>
    <n v="376.48"/>
  </r>
  <r>
    <s v="NFX-100986"/>
    <s v="Burning City 7"/>
    <s v="TV Show"/>
    <x v="3"/>
    <n v="2021"/>
    <x v="8"/>
    <s v="2018-05-29"/>
    <n v="33"/>
    <s v="16+"/>
    <n v="5.7"/>
    <n v="566.29999999999995"/>
    <s v="Japanese"/>
    <s v="Quentin Tarantino"/>
    <s v="Emma Stone"/>
    <n v="5"/>
    <n v="39"/>
    <n v="230.5"/>
    <s v="Flop"/>
    <s v="Blockbuster"/>
    <s v="No"/>
    <s v="Low"/>
    <n v="191.5"/>
    <n v="591.02564102564111"/>
  </r>
  <r>
    <s v="NFX-100987"/>
    <s v="Dark Valley 6"/>
    <s v="Movie"/>
    <x v="0"/>
    <n v="2014"/>
    <x v="5"/>
    <s v="2018-10-21"/>
    <n v="147"/>
    <s v="PG"/>
    <n v="8.1"/>
    <n v="356.7"/>
    <s v="German"/>
    <s v="Greta Gerwig"/>
    <s v="Deepika Padukone"/>
    <m/>
    <n v="126"/>
    <n v="746.4"/>
    <s v="Hit"/>
    <s v="Popular"/>
    <s v="Yes"/>
    <s v="High"/>
    <n v="620.4"/>
    <n v="592.38095238095229"/>
  </r>
  <r>
    <s v="NFX-100988"/>
    <s v="Silent Empire 7"/>
    <s v="TV Show"/>
    <x v="6"/>
    <n v="2007"/>
    <x v="8"/>
    <s v="2019-02-06"/>
    <n v="41"/>
    <s v="PG"/>
    <n v="9.3000000000000007"/>
    <n v="266.10000000000002"/>
    <s v="English"/>
    <s v="Anurag Kashyap"/>
    <s v="Emma Stone"/>
    <n v="7"/>
    <n v="70"/>
    <n v="429.6"/>
    <s v="Hit"/>
    <s v="Popular"/>
    <s v="Yes"/>
    <s v="Low"/>
    <n v="359.6"/>
    <n v="613.71428571428578"/>
  </r>
  <r>
    <s v="NFX-100989"/>
    <s v="Dark Valley 4"/>
    <s v="Movie"/>
    <x v="8"/>
    <n v="2016"/>
    <x v="8"/>
    <s v="2018-11-18"/>
    <n v="114"/>
    <s v="18+"/>
    <n v="6.7"/>
    <n v="9.6"/>
    <s v="Japanese"/>
    <s v="Rajkumar Hirani"/>
    <s v="Lee Jung-jae"/>
    <m/>
    <n v="149"/>
    <n v="943.4"/>
    <s v="Average"/>
    <s v="Normal"/>
    <s v="No"/>
    <s v="High"/>
    <n v="794.4"/>
    <n v="633.15436241610735"/>
  </r>
  <r>
    <s v="NFX-100990"/>
    <s v="Midnight Valley 8"/>
    <s v="TV Show"/>
    <x v="9"/>
    <n v="2012"/>
    <x v="4"/>
    <s v="2024-09-18"/>
    <n v="59"/>
    <s v="G"/>
    <n v="7"/>
    <n v="541.70000000000005"/>
    <s v="French"/>
    <s v="Greta Gerwig"/>
    <s v="Shah Rukh Khan"/>
    <n v="7"/>
    <n v="166"/>
    <n v="788.9"/>
    <s v="Average"/>
    <s v="Blockbuster"/>
    <s v="Yes"/>
    <s v="High"/>
    <n v="622.9"/>
    <n v="475.24096385542168"/>
  </r>
  <r>
    <s v="NFX-100991"/>
    <s v="Golden Protocol 6"/>
    <s v="TV Show"/>
    <x v="5"/>
    <n v="2018"/>
    <x v="7"/>
    <s v="2018-01-25"/>
    <n v="54"/>
    <s v="PG-13"/>
    <n v="4.7"/>
    <n v="477.3"/>
    <s v="Korean"/>
    <s v="Rajkumar Hirani"/>
    <s v="Lee Jung-jae"/>
    <n v="4"/>
    <n v="40"/>
    <n v="200.7"/>
    <s v="Flop"/>
    <s v="Blockbuster"/>
    <s v="No"/>
    <s v="Low"/>
    <n v="160.69999999999999"/>
    <n v="501.75"/>
  </r>
  <r>
    <s v="NFX-100992"/>
    <s v="Crystal Chronicles 7"/>
    <s v="Movie"/>
    <x v="2"/>
    <n v="2005"/>
    <x v="2"/>
    <s v="2023-12-21"/>
    <n v="133"/>
    <s v="PG-13"/>
    <n v="7.1"/>
    <n v="422.8"/>
    <s v="English"/>
    <s v="James Cameron"/>
    <s v="Brad Pitt"/>
    <m/>
    <n v="146"/>
    <n v="820.7"/>
    <s v="Average"/>
    <s v="Blockbuster"/>
    <s v="No"/>
    <s v="High"/>
    <n v="674.7"/>
    <n v="562.1232876712329"/>
  </r>
  <r>
    <s v="NFX-100993"/>
    <s v="Lost Chronicles 6"/>
    <s v="TV Show"/>
    <x v="10"/>
    <n v="2004"/>
    <x v="6"/>
    <s v="2022-06-02"/>
    <n v="31"/>
    <s v="G"/>
    <n v="8.1"/>
    <n v="171.6"/>
    <s v="German"/>
    <s v="James Cameron"/>
    <s v="Emma Stone"/>
    <n v="8"/>
    <n v="109"/>
    <n v="351.4"/>
    <s v="Hit"/>
    <s v="Normal"/>
    <s v="Yes"/>
    <s v="High"/>
    <n v="242.39999999999998"/>
    <n v="322.38532110091739"/>
  </r>
  <r>
    <s v="NFX-100994"/>
    <s v="Iron Signal 5"/>
    <s v="Movie"/>
    <x v="10"/>
    <n v="2022"/>
    <x v="6"/>
    <s v="2021-10-28"/>
    <n v="177"/>
    <s v="G"/>
    <n v="8.4"/>
    <n v="543.4"/>
    <s v="French"/>
    <s v="Ridley Scott"/>
    <s v="Lee Jung-jae"/>
    <m/>
    <n v="134"/>
    <n v="207"/>
    <s v="Hit"/>
    <s v="Blockbuster"/>
    <s v="Yes"/>
    <s v="High"/>
    <n v="73"/>
    <n v="154.47761194029849"/>
  </r>
  <r>
    <s v="NFX-100995"/>
    <s v="Shadow Archive 2"/>
    <s v="TV Show"/>
    <x v="1"/>
    <n v="2025"/>
    <x v="8"/>
    <s v="2023-12-26"/>
    <n v="46"/>
    <s v="PG-13"/>
    <n v="5.4"/>
    <n v="25.2"/>
    <s v="Korean"/>
    <s v="Quentin Tarantino"/>
    <s v="Brad Pitt"/>
    <n v="8"/>
    <n v="176"/>
    <n v="605.20000000000005"/>
    <s v="Flop"/>
    <s v="Normal"/>
    <s v="No"/>
    <s v="High"/>
    <n v="429.20000000000005"/>
    <n v="343.86363636363637"/>
  </r>
  <r>
    <s v="NFX-100996"/>
    <s v="Golden Empire 4"/>
    <s v="TV Show"/>
    <x v="6"/>
    <n v="2000"/>
    <x v="0"/>
    <s v="2024-06-06"/>
    <n v="32"/>
    <s v="PG"/>
    <n v="7.6"/>
    <n v="386.2"/>
    <s v="English"/>
    <s v="Anurag Kashyap"/>
    <s v="Ryan Gosling"/>
    <n v="2"/>
    <n v="19"/>
    <n v="30.4"/>
    <s v="Average"/>
    <s v="Popular"/>
    <s v="Yes"/>
    <s v="Low"/>
    <n v="11.399999999999999"/>
    <n v="160"/>
  </r>
  <r>
    <s v="NFX-100997"/>
    <s v="Secret Empire 5"/>
    <s v="TV Show"/>
    <x v="2"/>
    <n v="2018"/>
    <x v="3"/>
    <s v="2023-02-08"/>
    <n v="53"/>
    <s v="16+"/>
    <n v="6.2"/>
    <n v="398.8"/>
    <s v="French"/>
    <s v="Martin Scorsese"/>
    <s v="Chris Evans"/>
    <n v="8"/>
    <n v="43"/>
    <n v="74.900000000000006"/>
    <s v="Average"/>
    <s v="Popular"/>
    <s v="No"/>
    <s v="Low"/>
    <n v="31.900000000000006"/>
    <n v="174.18604651162792"/>
  </r>
  <r>
    <s v="NFX-100998"/>
    <s v="Broken Journey 1"/>
    <s v="Movie"/>
    <x v="4"/>
    <n v="2014"/>
    <x v="8"/>
    <s v="2021-12-29"/>
    <n v="143"/>
    <s v="PG"/>
    <n v="4.5999999999999996"/>
    <n v="243.1"/>
    <s v="English"/>
    <s v="Martin Scorsese"/>
    <s v="Song Kang-ho"/>
    <m/>
    <n v="137"/>
    <n v="766.9"/>
    <s v="Flop"/>
    <s v="Popular"/>
    <s v="Yes"/>
    <s v="High"/>
    <n v="629.9"/>
    <n v="559.78102189781021"/>
  </r>
  <r>
    <s v="NFX-100999"/>
    <s v="Hidden Odyssey 5"/>
    <s v="Movie"/>
    <x v="2"/>
    <n v="2002"/>
    <x v="9"/>
    <s v="2020-11-28"/>
    <n v="127"/>
    <s v="16+"/>
    <n v="7.5"/>
    <n v="537.70000000000005"/>
    <s v="Korean"/>
    <s v="Anurag Kashyap"/>
    <s v="Lee Jung-jae"/>
    <m/>
    <n v="151"/>
    <n v="403.3"/>
    <s v="Average"/>
    <s v="Blockbuster"/>
    <s v="No"/>
    <s v="High"/>
    <n v="252.3"/>
    <n v="267.08609271523176"/>
  </r>
  <r>
    <s v="NFX-101000"/>
    <s v="Crystal Echo 4"/>
    <s v="TV Show"/>
    <x v="0"/>
    <n v="2023"/>
    <x v="1"/>
    <s v="2021-12-22"/>
    <n v="42"/>
    <s v="18+"/>
    <n v="7.1"/>
    <n v="534.29999999999995"/>
    <s v="French"/>
    <s v="Zoya Akhtar"/>
    <s v="Leonardo DiCaprio"/>
    <n v="4"/>
    <n v="107"/>
    <n v="129.4"/>
    <s v="Average"/>
    <s v="Blockbuster"/>
    <s v="No"/>
    <s v="High"/>
    <n v="22.400000000000006"/>
    <n v="120.93457943925235"/>
  </r>
  <r>
    <s v="NFX-101001"/>
    <s v="Iron Code 2"/>
    <s v="Movie"/>
    <x v="10"/>
    <n v="2006"/>
    <x v="4"/>
    <s v="2023-09-17"/>
    <n v="178"/>
    <s v="18+"/>
    <n v="8.5"/>
    <n v="74.599999999999994"/>
    <s v="Hindi"/>
    <s v="Ridley Scott"/>
    <s v="Timothée Chalamet"/>
    <m/>
    <n v="49"/>
    <n v="226.6"/>
    <s v="Hit"/>
    <s v="Normal"/>
    <s v="No"/>
    <s v="Low"/>
    <n v="177.6"/>
    <n v="462.44897959183675"/>
  </r>
  <r>
    <s v="NFX-101002"/>
    <s v="Midnight Signal 1"/>
    <s v="TV Show"/>
    <x v="9"/>
    <n v="2011"/>
    <x v="2"/>
    <s v="2022-02-02"/>
    <n v="54"/>
    <s v="PG-13"/>
    <n v="5.8"/>
    <n v="443.9"/>
    <s v="German"/>
    <s v="Christopher Nolan"/>
    <s v="Chris Evans"/>
    <n v="3"/>
    <n v="67"/>
    <n v="98.7"/>
    <s v="Flop"/>
    <s v="Blockbuster"/>
    <s v="No"/>
    <s v="Low"/>
    <n v="31.700000000000003"/>
    <n v="147.31343283582089"/>
  </r>
  <r>
    <s v="NFX-101003"/>
    <s v="Hidden Echo 2"/>
    <s v="TV Show"/>
    <x v="2"/>
    <n v="2002"/>
    <x v="2"/>
    <s v="2023-04-01"/>
    <n v="46"/>
    <s v="G"/>
    <n v="5.6"/>
    <n v="15.5"/>
    <s v="German"/>
    <s v="James Cameron"/>
    <s v="Tom Hardy"/>
    <n v="2"/>
    <n v="82"/>
    <n v="333.7"/>
    <s v="Flop"/>
    <s v="Normal"/>
    <s v="Yes"/>
    <s v="Low"/>
    <n v="251.7"/>
    <n v="406.95121951219511"/>
  </r>
  <r>
    <s v="NFX-101004"/>
    <s v="Dark Chronicles 3"/>
    <s v="TV Show"/>
    <x v="3"/>
    <n v="2018"/>
    <x v="5"/>
    <s v="2023-07-29"/>
    <n v="37"/>
    <s v="16+"/>
    <n v="6.5"/>
    <n v="345.4"/>
    <s v="English"/>
    <s v="James Cameron"/>
    <s v="Robert Downey Jr."/>
    <n v="5"/>
    <n v="45"/>
    <n v="117.9"/>
    <s v="Average"/>
    <s v="Popular"/>
    <s v="No"/>
    <s v="Low"/>
    <n v="72.900000000000006"/>
    <n v="262"/>
  </r>
  <r>
    <s v="NFX-101005"/>
    <s v="Last Echo 7"/>
    <s v="TV Show"/>
    <x v="4"/>
    <n v="2005"/>
    <x v="7"/>
    <s v="2023-11-08"/>
    <n v="33"/>
    <s v="PG"/>
    <n v="5.8"/>
    <n v="311.5"/>
    <s v="Korean"/>
    <s v="Quentin Tarantino"/>
    <s v="Scarlett Johansson"/>
    <n v="5"/>
    <n v="38"/>
    <n v="141.6"/>
    <s v="Flop"/>
    <s v="Popular"/>
    <s v="Yes"/>
    <s v="Low"/>
    <n v="103.6"/>
    <n v="372.63157894736844"/>
  </r>
  <r>
    <s v="NFX-101006"/>
    <s v="Rising Odyssey 1"/>
    <s v="TV Show"/>
    <x v="9"/>
    <n v="2006"/>
    <x v="8"/>
    <s v="2021-11-06"/>
    <n v="44"/>
    <s v="18+"/>
    <n v="9.3000000000000007"/>
    <n v="67.599999999999994"/>
    <s v="Japanese"/>
    <s v="Guillermo del Toro"/>
    <s v="Brad Pitt"/>
    <n v="6"/>
    <n v="116"/>
    <n v="695.6"/>
    <s v="Hit"/>
    <s v="Normal"/>
    <s v="No"/>
    <s v="High"/>
    <n v="579.6"/>
    <n v="599.65517241379314"/>
  </r>
  <r>
    <s v="NFX-101007"/>
    <s v="Last Signal 7"/>
    <s v="TV Show"/>
    <x v="3"/>
    <n v="2015"/>
    <x v="8"/>
    <s v="2022-09-29"/>
    <n v="36"/>
    <s v="18+"/>
    <n v="9.6"/>
    <n v="271.39999999999998"/>
    <s v="English"/>
    <s v="Zoya Akhtar"/>
    <s v="Ryan Gosling"/>
    <n v="8"/>
    <n v="93"/>
    <n v="374.2"/>
    <s v="Hit"/>
    <s v="Popular"/>
    <s v="No"/>
    <s v="Low"/>
    <n v="281.2"/>
    <n v="402.36559139784947"/>
  </r>
  <r>
    <s v="NFX-101008"/>
    <s v="Shadow Empire 4"/>
    <s v="TV Show"/>
    <x v="5"/>
    <n v="2010"/>
    <x v="8"/>
    <s v="2018-04-22"/>
    <n v="58"/>
    <s v="PG-13"/>
    <n v="6.1"/>
    <n v="420.7"/>
    <s v="Japanese"/>
    <s v="Greta Gerwig"/>
    <s v="Brad Pitt"/>
    <n v="6"/>
    <n v="19"/>
    <n v="98.6"/>
    <s v="Average"/>
    <s v="Blockbuster"/>
    <s v="No"/>
    <s v="Low"/>
    <n v="79.599999999999994"/>
    <n v="518.9473684210526"/>
  </r>
  <r>
    <s v="NFX-101009"/>
    <s v="Lost Chronicles 7"/>
    <s v="Movie"/>
    <x v="6"/>
    <n v="2015"/>
    <x v="1"/>
    <s v="2022-07-18"/>
    <n v="164"/>
    <s v="PG-13"/>
    <n v="8.6"/>
    <n v="401.1"/>
    <s v="Japanese"/>
    <s v="Rajkumar Hirani"/>
    <s v="Robert Downey Jr."/>
    <m/>
    <n v="11"/>
    <n v="23.6"/>
    <s v="Hit"/>
    <s v="Blockbuster"/>
    <s v="No"/>
    <s v="Low"/>
    <n v="12.600000000000001"/>
    <n v="214.54545454545456"/>
  </r>
  <r>
    <s v="NFX-101010"/>
    <s v="Crystal Empire 2"/>
    <s v="TV Show"/>
    <x v="3"/>
    <n v="2019"/>
    <x v="2"/>
    <s v="2024-09-04"/>
    <n v="59"/>
    <s v="PG"/>
    <n v="5.2"/>
    <n v="112.8"/>
    <s v="German"/>
    <s v="Denis Villeneuve"/>
    <s v="Tom Hardy"/>
    <n v="6"/>
    <n v="141"/>
    <n v="358.8"/>
    <s v="Flop"/>
    <s v="Normal"/>
    <s v="Yes"/>
    <s v="High"/>
    <n v="217.8"/>
    <n v="254.46808510638297"/>
  </r>
  <r>
    <s v="NFX-101011"/>
    <s v="Midnight Storm 3"/>
    <s v="TV Show"/>
    <x v="6"/>
    <n v="2018"/>
    <x v="8"/>
    <s v="2023-05-30"/>
    <n v="57"/>
    <s v="18+"/>
    <n v="7.5"/>
    <n v="54.8"/>
    <s v="Japanese"/>
    <s v="Steven Spielberg"/>
    <s v="Shah Rukh Khan"/>
    <n v="6"/>
    <n v="181"/>
    <n v="1110.0999999999999"/>
    <s v="Average"/>
    <s v="Normal"/>
    <s v="No"/>
    <s v="High"/>
    <n v="929.09999999999991"/>
    <n v="613.31491712707179"/>
  </r>
  <r>
    <s v="NFX-101012"/>
    <s v="Silent Storm 9"/>
    <s v="TV Show"/>
    <x v="4"/>
    <n v="2009"/>
    <x v="3"/>
    <s v="2020-09-16"/>
    <n v="45"/>
    <s v="PG-13"/>
    <n v="9.5"/>
    <n v="178.1"/>
    <s v="Korean"/>
    <s v="James Cameron"/>
    <s v="Shah Rukh Khan"/>
    <n v="3"/>
    <n v="132"/>
    <n v="650.1"/>
    <s v="Hit"/>
    <s v="Normal"/>
    <s v="No"/>
    <s v="High"/>
    <n v="518.1"/>
    <n v="492.5"/>
  </r>
  <r>
    <s v="NFX-101013"/>
    <s v="Silent Frontier 3"/>
    <s v="Movie"/>
    <x v="3"/>
    <n v="2014"/>
    <x v="5"/>
    <s v="2018-01-17"/>
    <n v="156"/>
    <s v="16+"/>
    <n v="7.5"/>
    <n v="83.2"/>
    <s v="Japanese"/>
    <s v="James Cameron"/>
    <s v="Deepika Padukone"/>
    <m/>
    <n v="78"/>
    <n v="429.5"/>
    <s v="Average"/>
    <s v="Normal"/>
    <s v="No"/>
    <s v="Low"/>
    <n v="351.5"/>
    <n v="550.64102564102564"/>
  </r>
  <r>
    <s v="NFX-101014"/>
    <s v="Golden Horizon 9"/>
    <s v="Movie"/>
    <x v="6"/>
    <n v="2003"/>
    <x v="1"/>
    <s v="2021-08-30"/>
    <n v="152"/>
    <s v="G"/>
    <n v="9.5"/>
    <n v="165.3"/>
    <s v="Spanish"/>
    <s v="James Cameron"/>
    <s v="Shah Rukh Khan"/>
    <m/>
    <n v="164"/>
    <n v="227.5"/>
    <s v="Hit"/>
    <s v="Normal"/>
    <s v="Yes"/>
    <s v="High"/>
    <n v="63.5"/>
    <n v="138.71951219512195"/>
  </r>
  <r>
    <s v="NFX-101015"/>
    <s v="Crystal Signal 2"/>
    <s v="TV Show"/>
    <x v="9"/>
    <n v="2000"/>
    <x v="3"/>
    <s v="2020-01-01"/>
    <n v="51"/>
    <s v="16+"/>
    <n v="6.3"/>
    <n v="421"/>
    <s v="French"/>
    <s v="James Cameron"/>
    <s v="Lee Jung-jae"/>
    <n v="6"/>
    <n v="198"/>
    <n v="410.6"/>
    <s v="Average"/>
    <s v="Blockbuster"/>
    <s v="No"/>
    <s v="High"/>
    <n v="212.60000000000002"/>
    <n v="207.37373737373738"/>
  </r>
  <r>
    <s v="NFX-101016"/>
    <s v="Last Chronicles 9"/>
    <s v="TV Show"/>
    <x v="7"/>
    <n v="2006"/>
    <x v="9"/>
    <s v="2023-12-30"/>
    <n v="42"/>
    <s v="16+"/>
    <n v="7.6"/>
    <n v="319.2"/>
    <s v="English"/>
    <s v="Christopher Nolan"/>
    <s v="Song Kang-ho"/>
    <n v="4"/>
    <n v="110"/>
    <n v="300.10000000000002"/>
    <s v="Average"/>
    <s v="Popular"/>
    <s v="No"/>
    <s v="High"/>
    <n v="190.10000000000002"/>
    <n v="272.81818181818187"/>
  </r>
  <r>
    <s v="NFX-101017"/>
    <s v="Lost Journey 2"/>
    <s v="Movie"/>
    <x v="9"/>
    <n v="2017"/>
    <x v="1"/>
    <s v="2024-10-07"/>
    <n v="141"/>
    <s v="16+"/>
    <n v="6.5"/>
    <n v="451.6"/>
    <s v="Japanese"/>
    <s v="Christopher Nolan"/>
    <s v="Chris Evans"/>
    <m/>
    <n v="103"/>
    <n v="362.2"/>
    <s v="Average"/>
    <s v="Blockbuster"/>
    <s v="No"/>
    <s v="High"/>
    <n v="259.2"/>
    <n v="351.65048543689318"/>
  </r>
  <r>
    <s v="NFX-101018"/>
    <s v="Midnight Horizon 1"/>
    <s v="Movie"/>
    <x v="1"/>
    <n v="2025"/>
    <x v="4"/>
    <s v="2023-07-01"/>
    <n v="144"/>
    <s v="PG-13"/>
    <n v="5.8"/>
    <n v="120.4"/>
    <s v="Hindi"/>
    <s v="Quentin Tarantino"/>
    <s v="Lee Jung-jae"/>
    <m/>
    <n v="83"/>
    <n v="440.4"/>
    <s v="Flop"/>
    <s v="Normal"/>
    <s v="No"/>
    <s v="Low"/>
    <n v="357.4"/>
    <n v="530.60240963855426"/>
  </r>
  <r>
    <s v="NFX-101019"/>
    <s v="Shadow Valley 9"/>
    <s v="Movie"/>
    <x v="2"/>
    <n v="2013"/>
    <x v="0"/>
    <s v="2019-11-25"/>
    <n v="179"/>
    <s v="PG"/>
    <n v="6.7"/>
    <n v="268.7"/>
    <s v="German"/>
    <s v="Bong Joon-ho"/>
    <s v="Deepika Padukone"/>
    <m/>
    <n v="23"/>
    <n v="27.8"/>
    <s v="Average"/>
    <s v="Popular"/>
    <s v="Yes"/>
    <s v="Low"/>
    <n v="4.8000000000000007"/>
    <n v="120.86956521739131"/>
  </r>
  <r>
    <s v="NFX-101020"/>
    <s v="Golden Odyssey 3"/>
    <s v="TV Show"/>
    <x v="7"/>
    <n v="2011"/>
    <x v="6"/>
    <s v="2024-07-01"/>
    <n v="47"/>
    <s v="18+"/>
    <n v="7.2"/>
    <n v="16.8"/>
    <s v="German"/>
    <s v="Sanjay Leela Bhansali"/>
    <s v="Brad Pitt"/>
    <n v="8"/>
    <n v="139"/>
    <n v="539"/>
    <s v="Average"/>
    <s v="Normal"/>
    <s v="No"/>
    <s v="High"/>
    <n v="400"/>
    <n v="387.76978417266184"/>
  </r>
  <r>
    <s v="NFX-101021"/>
    <s v="Rising Empire 7"/>
    <s v="TV Show"/>
    <x v="2"/>
    <n v="2008"/>
    <x v="3"/>
    <s v="2018-07-01"/>
    <n v="51"/>
    <s v="18+"/>
    <n v="8.8000000000000007"/>
    <n v="256.39999999999998"/>
    <s v="Korean"/>
    <s v="Martin Scorsese"/>
    <s v="Ranbir Kapoor"/>
    <n v="1"/>
    <n v="110"/>
    <n v="432.5"/>
    <s v="Hit"/>
    <s v="Popular"/>
    <s v="No"/>
    <s v="High"/>
    <n v="322.5"/>
    <n v="393.18181818181819"/>
  </r>
  <r>
    <s v="NFX-101022"/>
    <s v="Last Odyssey 4"/>
    <s v="TV Show"/>
    <x v="8"/>
    <n v="2022"/>
    <x v="4"/>
    <s v="2018-12-05"/>
    <n v="53"/>
    <s v="PG"/>
    <n v="8.8000000000000007"/>
    <n v="436.4"/>
    <s v="Spanish"/>
    <s v="Martin Scorsese"/>
    <s v="Deepika Padukone"/>
    <n v="5"/>
    <n v="118"/>
    <n v="398.8"/>
    <s v="Hit"/>
    <s v="Blockbuster"/>
    <s v="Yes"/>
    <s v="High"/>
    <n v="280.8"/>
    <n v="337.96610169491527"/>
  </r>
  <r>
    <s v="NFX-101023"/>
    <s v="Crystal Journey 9"/>
    <s v="Movie"/>
    <x v="7"/>
    <n v="2002"/>
    <x v="8"/>
    <s v="2023-01-21"/>
    <n v="172"/>
    <s v="PG"/>
    <n v="7.2"/>
    <n v="338.7"/>
    <s v="Korean"/>
    <s v="Zoya Akhtar"/>
    <s v="Song Kang-ho"/>
    <m/>
    <n v="150"/>
    <n v="584.5"/>
    <s v="Average"/>
    <s v="Popular"/>
    <s v="Yes"/>
    <s v="High"/>
    <n v="434.5"/>
    <n v="389.66666666666663"/>
  </r>
  <r>
    <s v="NFX-101024"/>
    <s v="Midnight Archive 7"/>
    <s v="TV Show"/>
    <x v="10"/>
    <n v="2009"/>
    <x v="7"/>
    <s v="2019-07-10"/>
    <n v="41"/>
    <s v="18+"/>
    <n v="5.7"/>
    <n v="434.3"/>
    <s v="German"/>
    <s v="Rajkumar Hirani"/>
    <s v="Robert Downey Jr."/>
    <n v="5"/>
    <n v="198"/>
    <n v="962.1"/>
    <s v="Flop"/>
    <s v="Blockbuster"/>
    <s v="No"/>
    <s v="High"/>
    <n v="764.1"/>
    <n v="485.90909090909093"/>
  </r>
  <r>
    <s v="NFX-101025"/>
    <s v="Iron Valley 5"/>
    <s v="TV Show"/>
    <x v="7"/>
    <n v="2025"/>
    <x v="5"/>
    <s v="2022-01-25"/>
    <n v="50"/>
    <s v="PG-13"/>
    <n v="6.7"/>
    <n v="16.7"/>
    <s v="French"/>
    <s v="Anurag Kashyap"/>
    <s v="Deepika Padukone"/>
    <n v="2"/>
    <n v="103"/>
    <n v="332.1"/>
    <s v="Average"/>
    <s v="Normal"/>
    <s v="No"/>
    <s v="High"/>
    <n v="229.10000000000002"/>
    <n v="322.42718446601947"/>
  </r>
  <r>
    <s v="NFX-101026"/>
    <s v="Midnight Signal 5"/>
    <s v="TV Show"/>
    <x v="6"/>
    <n v="2020"/>
    <x v="5"/>
    <s v="2021-07-13"/>
    <n v="43"/>
    <s v="PG"/>
    <n v="5"/>
    <n v="2.2000000000000002"/>
    <s v="English"/>
    <s v="Denis Villeneuve"/>
    <s v="Tom Hardy"/>
    <n v="8"/>
    <n v="49"/>
    <n v="307.8"/>
    <s v="Flop"/>
    <s v="Normal"/>
    <s v="Yes"/>
    <s v="Low"/>
    <n v="258.8"/>
    <n v="628.16326530612253"/>
  </r>
  <r>
    <s v="NFX-101027"/>
    <s v="Rising Odyssey 5"/>
    <s v="Movie"/>
    <x v="7"/>
    <n v="2003"/>
    <x v="5"/>
    <s v="2019-01-10"/>
    <n v="143"/>
    <s v="PG"/>
    <n v="6.6"/>
    <n v="242.3"/>
    <s v="German"/>
    <s v="Denis Villeneuve"/>
    <s v="Chris Evans"/>
    <m/>
    <n v="73"/>
    <n v="347.1"/>
    <s v="Average"/>
    <s v="Popular"/>
    <s v="Yes"/>
    <s v="Low"/>
    <n v="274.10000000000002"/>
    <n v="475.47945205479454"/>
  </r>
  <r>
    <s v="NFX-101028"/>
    <s v="Fading Journey 1"/>
    <s v="Movie"/>
    <x v="0"/>
    <n v="2018"/>
    <x v="0"/>
    <s v="2022-03-14"/>
    <n v="119"/>
    <s v="18+"/>
    <n v="7.8"/>
    <n v="226"/>
    <s v="Hindi"/>
    <s v="Sanjay Leela Bhansali"/>
    <s v="Leonardo DiCaprio"/>
    <m/>
    <n v="125"/>
    <n v="582.20000000000005"/>
    <s v="Average"/>
    <s v="Popular"/>
    <s v="No"/>
    <s v="High"/>
    <n v="457.20000000000005"/>
    <n v="465.76000000000005"/>
  </r>
  <r>
    <s v="NFX-101029"/>
    <s v="Hidden Storm 9"/>
    <s v="Movie"/>
    <x v="3"/>
    <n v="2023"/>
    <x v="9"/>
    <s v="2022-05-08"/>
    <n v="171"/>
    <s v="16+"/>
    <n v="8.6999999999999993"/>
    <n v="556.70000000000005"/>
    <s v="English"/>
    <s v="Steven Spielberg"/>
    <s v="Song Kang-ho"/>
    <m/>
    <n v="135"/>
    <n v="455.1"/>
    <s v="Hit"/>
    <s v="Blockbuster"/>
    <s v="No"/>
    <s v="High"/>
    <n v="320.10000000000002"/>
    <n v="337.11111111111114"/>
  </r>
  <r>
    <s v="NFX-101030"/>
    <s v="Rising Signal 6"/>
    <s v="Movie"/>
    <x v="2"/>
    <n v="2017"/>
    <x v="6"/>
    <s v="2021-04-11"/>
    <n v="151"/>
    <s v="PG"/>
    <n v="8.1999999999999993"/>
    <n v="317.60000000000002"/>
    <s v="German"/>
    <s v="Anurag Kashyap"/>
    <s v="Tom Hardy"/>
    <m/>
    <n v="36"/>
    <n v="98.7"/>
    <s v="Hit"/>
    <s v="Popular"/>
    <s v="Yes"/>
    <s v="Low"/>
    <n v="62.7"/>
    <n v="274.16666666666669"/>
  </r>
  <r>
    <s v="NFX-101031"/>
    <s v="Silent Odyssey 9"/>
    <s v="Movie"/>
    <x v="5"/>
    <n v="2017"/>
    <x v="7"/>
    <s v="2023-09-25"/>
    <n v="151"/>
    <s v="PG"/>
    <n v="7.5"/>
    <n v="29.3"/>
    <s v="Korean"/>
    <s v="Park Chan-wook"/>
    <s v="Ranbir Kapoor"/>
    <m/>
    <n v="33"/>
    <n v="199"/>
    <s v="Average"/>
    <s v="Normal"/>
    <s v="Yes"/>
    <s v="Low"/>
    <n v="166"/>
    <n v="603.030303030303"/>
  </r>
  <r>
    <s v="NFX-101032"/>
    <s v="Lost Chronicles 8"/>
    <s v="Movie"/>
    <x v="4"/>
    <n v="2013"/>
    <x v="9"/>
    <s v="2018-06-12"/>
    <n v="108"/>
    <s v="PG-13"/>
    <n v="5.8"/>
    <n v="227.9"/>
    <s v="German"/>
    <s v="Denis Villeneuve"/>
    <s v="Ryan Gosling"/>
    <m/>
    <n v="144"/>
    <n v="621.6"/>
    <s v="Flop"/>
    <s v="Popular"/>
    <s v="No"/>
    <s v="High"/>
    <n v="477.6"/>
    <n v="431.66666666666663"/>
  </r>
  <r>
    <s v="NFX-101033"/>
    <s v="Crystal Odyssey 6"/>
    <s v="TV Show"/>
    <x v="6"/>
    <n v="2013"/>
    <x v="4"/>
    <s v="2018-06-20"/>
    <n v="52"/>
    <s v="PG-13"/>
    <n v="7.6"/>
    <n v="295.39999999999998"/>
    <s v="Japanese"/>
    <s v="Ridley Scott"/>
    <s v="Timothée Chalamet"/>
    <n v="4"/>
    <n v="125"/>
    <n v="376.9"/>
    <s v="Average"/>
    <s v="Popular"/>
    <s v="No"/>
    <s v="High"/>
    <n v="251.89999999999998"/>
    <n v="301.52"/>
  </r>
  <r>
    <s v="NFX-101034"/>
    <s v="Crystal Code 8"/>
    <s v="TV Show"/>
    <x v="7"/>
    <n v="2021"/>
    <x v="0"/>
    <s v="2022-11-17"/>
    <n v="55"/>
    <s v="18+"/>
    <n v="5.5"/>
    <n v="236"/>
    <s v="Hindi"/>
    <s v="Rajkumar Hirani"/>
    <s v="Ryan Gosling"/>
    <n v="7"/>
    <n v="61"/>
    <n v="188.5"/>
    <s v="Flop"/>
    <s v="Popular"/>
    <s v="No"/>
    <s v="Low"/>
    <n v="127.5"/>
    <n v="309.01639344262298"/>
  </r>
  <r>
    <s v="NFX-101035"/>
    <s v="Broken Chronicles 7"/>
    <s v="Movie"/>
    <x v="1"/>
    <n v="2022"/>
    <x v="7"/>
    <s v="2023-04-27"/>
    <n v="161"/>
    <s v="G"/>
    <n v="6.2"/>
    <n v="153.69999999999999"/>
    <s v="English"/>
    <s v="Ridley Scott"/>
    <s v="Tom Hardy"/>
    <m/>
    <n v="108"/>
    <n v="312.7"/>
    <s v="Average"/>
    <s v="Normal"/>
    <s v="Yes"/>
    <s v="High"/>
    <n v="204.7"/>
    <n v="289.53703703703701"/>
  </r>
  <r>
    <s v="NFX-101036"/>
    <s v="Golden Protocol 9"/>
    <s v="Movie"/>
    <x v="7"/>
    <n v="2008"/>
    <x v="0"/>
    <s v="2020-08-03"/>
    <n v="114"/>
    <s v="16+"/>
    <n v="8.1"/>
    <n v="5.8"/>
    <s v="French"/>
    <s v="Ridley Scott"/>
    <s v="Timothée Chalamet"/>
    <m/>
    <n v="200"/>
    <n v="1182.4000000000001"/>
    <s v="Hit"/>
    <s v="Normal"/>
    <s v="No"/>
    <s v="High"/>
    <n v="982.40000000000009"/>
    <n v="591.20000000000005"/>
  </r>
  <r>
    <s v="NFX-101037"/>
    <s v="Broken Legacy 4"/>
    <s v="TV Show"/>
    <x v="0"/>
    <n v="2019"/>
    <x v="3"/>
    <s v="2022-11-24"/>
    <n v="56"/>
    <s v="16+"/>
    <n v="4.7"/>
    <n v="65"/>
    <s v="Korean"/>
    <s v="Ridley Scott"/>
    <s v="Lee Jung-jae"/>
    <n v="1"/>
    <n v="147"/>
    <n v="232.5"/>
    <s v="Flop"/>
    <s v="Normal"/>
    <s v="No"/>
    <s v="High"/>
    <n v="85.5"/>
    <n v="158.16326530612247"/>
  </r>
  <r>
    <s v="NFX-101038"/>
    <s v="Broken Valley 6"/>
    <s v="TV Show"/>
    <x v="2"/>
    <n v="2000"/>
    <x v="3"/>
    <s v="2018-12-17"/>
    <n v="47"/>
    <s v="G"/>
    <n v="5.8"/>
    <n v="353.8"/>
    <s v="Japanese"/>
    <s v="Steven Spielberg"/>
    <s v="Emma Stone"/>
    <n v="7"/>
    <n v="79"/>
    <n v="187.9"/>
    <s v="Flop"/>
    <s v="Popular"/>
    <s v="Yes"/>
    <s v="Low"/>
    <n v="108.9"/>
    <n v="237.84810126582281"/>
  </r>
  <r>
    <s v="NFX-101039"/>
    <s v="Burning Protocol 4"/>
    <s v="TV Show"/>
    <x v="6"/>
    <n v="2021"/>
    <x v="8"/>
    <s v="2021-08-08"/>
    <n v="34"/>
    <s v="G"/>
    <n v="8.1999999999999993"/>
    <n v="423.2"/>
    <s v="Hindi"/>
    <s v="Bong Joon-ho"/>
    <s v="Chris Evans"/>
    <n v="6"/>
    <n v="196"/>
    <n v="794.4"/>
    <s v="Hit"/>
    <s v="Blockbuster"/>
    <s v="Yes"/>
    <s v="High"/>
    <n v="598.4"/>
    <n v="405.30612244897964"/>
  </r>
  <r>
    <s v="NFX-101040"/>
    <s v="Fading Empire 6"/>
    <s v="TV Show"/>
    <x v="9"/>
    <n v="2018"/>
    <x v="3"/>
    <s v="2019-12-11"/>
    <n v="35"/>
    <s v="PG"/>
    <n v="8.3000000000000007"/>
    <n v="228.3"/>
    <s v="Korean"/>
    <s v="James Cameron"/>
    <s v="Scarlett Johansson"/>
    <n v="6"/>
    <n v="182"/>
    <n v="1140.5999999999999"/>
    <s v="Hit"/>
    <s v="Popular"/>
    <s v="Yes"/>
    <s v="High"/>
    <n v="958.59999999999991"/>
    <n v="626.7032967032967"/>
  </r>
  <r>
    <s v="NFX-101041"/>
    <s v="Silent Valley 2"/>
    <s v="TV Show"/>
    <x v="4"/>
    <n v="2011"/>
    <x v="1"/>
    <s v="2020-09-14"/>
    <n v="57"/>
    <s v="16+"/>
    <n v="4.7"/>
    <n v="474.3"/>
    <s v="German"/>
    <s v="Zoya Akhtar"/>
    <s v="Song Kang-ho"/>
    <n v="1"/>
    <n v="192"/>
    <n v="231.6"/>
    <s v="Flop"/>
    <s v="Blockbuster"/>
    <s v="No"/>
    <s v="High"/>
    <n v="39.599999999999994"/>
    <n v="120.625"/>
  </r>
  <r>
    <s v="NFX-101042"/>
    <s v="Secret Journey 9"/>
    <s v="Movie"/>
    <x v="2"/>
    <n v="2002"/>
    <x v="5"/>
    <s v="2023-08-06"/>
    <n v="152"/>
    <s v="18+"/>
    <n v="5.6"/>
    <n v="189.3"/>
    <s v="English"/>
    <s v="Guillermo del Toro"/>
    <s v="Tom Hardy"/>
    <m/>
    <n v="100"/>
    <n v="414.1"/>
    <s v="Flop"/>
    <s v="Normal"/>
    <s v="No"/>
    <s v="High"/>
    <n v="314.10000000000002"/>
    <n v="414.1"/>
  </r>
  <r>
    <s v="NFX-101043"/>
    <s v="Silent Chronicles 1"/>
    <s v="TV Show"/>
    <x v="2"/>
    <n v="2014"/>
    <x v="2"/>
    <s v="2021-08-28"/>
    <n v="59"/>
    <s v="18+"/>
    <n v="9.1999999999999993"/>
    <n v="335.2"/>
    <s v="English"/>
    <s v="Christopher Nolan"/>
    <s v="Ryan Gosling"/>
    <n v="4"/>
    <n v="10"/>
    <n v="31.8"/>
    <s v="Hit"/>
    <s v="Popular"/>
    <s v="No"/>
    <s v="Low"/>
    <n v="21.8"/>
    <n v="318"/>
  </r>
  <r>
    <s v="NFX-101044"/>
    <s v="Dark Horizon 2"/>
    <s v="Movie"/>
    <x v="1"/>
    <n v="2021"/>
    <x v="1"/>
    <s v="2018-02-14"/>
    <n v="152"/>
    <s v="PG-13"/>
    <n v="8.8000000000000007"/>
    <n v="460"/>
    <s v="Spanish"/>
    <s v="Greta Gerwig"/>
    <s v="Song Kang-ho"/>
    <m/>
    <n v="133"/>
    <n v="835.7"/>
    <s v="Hit"/>
    <s v="Blockbuster"/>
    <s v="No"/>
    <s v="High"/>
    <n v="702.7"/>
    <n v="628.34586466165422"/>
  </r>
  <r>
    <s v="NFX-101045"/>
    <s v="Golden City 2"/>
    <s v="TV Show"/>
    <x v="10"/>
    <n v="2018"/>
    <x v="4"/>
    <s v="2024-03-15"/>
    <n v="42"/>
    <s v="18+"/>
    <n v="9.3000000000000007"/>
    <n v="176.2"/>
    <s v="English"/>
    <s v="Guillermo del Toro"/>
    <s v="Jennifer Lawrence"/>
    <n v="4"/>
    <n v="41"/>
    <n v="56.4"/>
    <s v="Hit"/>
    <s v="Normal"/>
    <s v="No"/>
    <s v="Low"/>
    <n v="15.399999999999999"/>
    <n v="137.5609756097561"/>
  </r>
  <r>
    <s v="NFX-101046"/>
    <s v="Golden Protocol 5"/>
    <s v="TV Show"/>
    <x v="1"/>
    <n v="2013"/>
    <x v="7"/>
    <s v="2018-05-22"/>
    <n v="53"/>
    <s v="18+"/>
    <n v="6.4"/>
    <n v="190.6"/>
    <s v="Japanese"/>
    <s v="Park Chan-wook"/>
    <s v="Robert Downey Jr."/>
    <n v="8"/>
    <n v="12"/>
    <n v="41.1"/>
    <s v="Average"/>
    <s v="Normal"/>
    <s v="No"/>
    <s v="Low"/>
    <n v="29.1"/>
    <n v="342.5"/>
  </r>
  <r>
    <s v="NFX-101047"/>
    <s v="Dark Storm 2"/>
    <s v="Movie"/>
    <x v="5"/>
    <n v="2015"/>
    <x v="7"/>
    <s v="2021-06-27"/>
    <n v="157"/>
    <s v="G"/>
    <n v="4.5999999999999996"/>
    <n v="247.6"/>
    <s v="Hindi"/>
    <s v="Anurag Kashyap"/>
    <s v="Robert Downey Jr."/>
    <m/>
    <n v="182"/>
    <n v="952.2"/>
    <s v="Flop"/>
    <s v="Popular"/>
    <s v="Yes"/>
    <s v="High"/>
    <n v="770.2"/>
    <n v="523.1868131868132"/>
  </r>
  <r>
    <s v="NFX-101048"/>
    <s v="Midnight Signal 3"/>
    <s v="Movie"/>
    <x v="7"/>
    <n v="2018"/>
    <x v="1"/>
    <s v="2024-10-10"/>
    <n v="113"/>
    <s v="PG-13"/>
    <n v="8.4"/>
    <n v="587.79999999999995"/>
    <s v="Spanish"/>
    <s v="Bong Joon-ho"/>
    <s v="Timothée Chalamet"/>
    <m/>
    <n v="11"/>
    <n v="52.8"/>
    <s v="Hit"/>
    <s v="Blockbuster"/>
    <s v="No"/>
    <s v="Low"/>
    <n v="41.8"/>
    <n v="480"/>
  </r>
  <r>
    <s v="NFX-101049"/>
    <s v="Crystal Signal 9"/>
    <s v="TV Show"/>
    <x v="7"/>
    <n v="2021"/>
    <x v="8"/>
    <s v="2024-06-02"/>
    <n v="35"/>
    <s v="16+"/>
    <n v="8.6"/>
    <n v="405.5"/>
    <s v="Hindi"/>
    <s v="Ridley Scott"/>
    <s v="Scarlett Johansson"/>
    <n v="1"/>
    <n v="109"/>
    <n v="156.80000000000001"/>
    <s v="Hit"/>
    <s v="Blockbuster"/>
    <s v="No"/>
    <s v="High"/>
    <n v="47.800000000000011"/>
    <n v="143.85321100917432"/>
  </r>
  <r>
    <s v="NFX-101050"/>
    <s v="Lost Journey 3"/>
    <s v="Movie"/>
    <x v="1"/>
    <n v="2023"/>
    <x v="0"/>
    <s v="2024-02-20"/>
    <n v="124"/>
    <s v="18+"/>
    <n v="9.5"/>
    <n v="201.7"/>
    <s v="German"/>
    <s v="Christopher Nolan"/>
    <s v="Tom Hardy"/>
    <m/>
    <n v="196"/>
    <n v="725"/>
    <s v="Hit"/>
    <s v="Popular"/>
    <s v="No"/>
    <s v="High"/>
    <n v="529"/>
    <n v="369.89795918367349"/>
  </r>
  <r>
    <s v="NFX-101051"/>
    <s v="Crystal Journey 3"/>
    <s v="Movie"/>
    <x v="4"/>
    <n v="2013"/>
    <x v="2"/>
    <s v="2021-12-27"/>
    <n v="81"/>
    <s v="PG-13"/>
    <n v="9.5"/>
    <n v="235.4"/>
    <s v="French"/>
    <s v="Denis Villeneuve"/>
    <s v="Emma Stone"/>
    <m/>
    <n v="94"/>
    <n v="116.6"/>
    <s v="Hit"/>
    <s v="Popular"/>
    <s v="No"/>
    <s v="Low"/>
    <n v="22.599999999999994"/>
    <n v="124.04255319148936"/>
  </r>
  <r>
    <s v="NFX-101052"/>
    <s v="Rising Signal 8"/>
    <s v="Movie"/>
    <x v="1"/>
    <n v="2014"/>
    <x v="1"/>
    <s v="2021-04-04"/>
    <n v="145"/>
    <s v="16+"/>
    <n v="5.8"/>
    <n v="571.79999999999995"/>
    <s v="English"/>
    <s v="Sanjay Leela Bhansali"/>
    <s v="Song Kang-ho"/>
    <m/>
    <n v="61"/>
    <n v="283.60000000000002"/>
    <s v="Flop"/>
    <s v="Blockbuster"/>
    <s v="No"/>
    <s v="Low"/>
    <n v="222.60000000000002"/>
    <n v="464.91803278688531"/>
  </r>
  <r>
    <s v="NFX-101053"/>
    <s v="Lost Valley 4"/>
    <s v="Movie"/>
    <x v="3"/>
    <n v="2010"/>
    <x v="5"/>
    <s v="2018-10-12"/>
    <n v="163"/>
    <s v="PG"/>
    <n v="6.1"/>
    <n v="449.6"/>
    <s v="French"/>
    <s v="Quentin Tarantino"/>
    <s v="Leonardo DiCaprio"/>
    <m/>
    <n v="114"/>
    <n v="626.79999999999995"/>
    <s v="Average"/>
    <s v="Blockbuster"/>
    <s v="Yes"/>
    <s v="High"/>
    <n v="512.79999999999995"/>
    <n v="549.82456140350871"/>
  </r>
  <r>
    <s v="NFX-101054"/>
    <s v="Shadow Storm 9"/>
    <s v="TV Show"/>
    <x v="2"/>
    <n v="2007"/>
    <x v="1"/>
    <s v="2022-03-20"/>
    <n v="49"/>
    <s v="18+"/>
    <n v="7.8"/>
    <n v="311.39999999999998"/>
    <s v="French"/>
    <s v="Quentin Tarantino"/>
    <s v="Song Kang-ho"/>
    <n v="5"/>
    <n v="74"/>
    <n v="163"/>
    <s v="Average"/>
    <s v="Popular"/>
    <s v="No"/>
    <s v="Low"/>
    <n v="89"/>
    <n v="220.27027027027026"/>
  </r>
  <r>
    <s v="NFX-101055"/>
    <s v="Fading Chronicles 9"/>
    <s v="Movie"/>
    <x v="3"/>
    <n v="2011"/>
    <x v="4"/>
    <s v="2021-09-27"/>
    <n v="169"/>
    <s v="G"/>
    <n v="6.5"/>
    <n v="568.6"/>
    <s v="English"/>
    <s v="Anurag Kashyap"/>
    <s v="Chris Evans"/>
    <m/>
    <n v="106"/>
    <n v="149.80000000000001"/>
    <s v="Average"/>
    <s v="Blockbuster"/>
    <s v="Yes"/>
    <s v="High"/>
    <n v="43.800000000000011"/>
    <n v="141.32075471698113"/>
  </r>
  <r>
    <s v="NFX-101056"/>
    <s v="Midnight Horizon 2"/>
    <s v="Movie"/>
    <x v="1"/>
    <n v="2025"/>
    <x v="6"/>
    <s v="2024-08-26"/>
    <n v="111"/>
    <s v="PG"/>
    <n v="8.8000000000000007"/>
    <n v="486.8"/>
    <s v="French"/>
    <s v="Anurag Kashyap"/>
    <s v="Brad Pitt"/>
    <m/>
    <n v="84"/>
    <n v="156.30000000000001"/>
    <s v="Hit"/>
    <s v="Blockbuster"/>
    <s v="Yes"/>
    <s v="Low"/>
    <n v="72.300000000000011"/>
    <n v="186.07142857142858"/>
  </r>
  <r>
    <s v="NFX-101057"/>
    <s v="Last Journey 5"/>
    <s v="TV Show"/>
    <x v="6"/>
    <n v="2001"/>
    <x v="5"/>
    <s v="2020-08-08"/>
    <n v="35"/>
    <s v="PG"/>
    <n v="5.9"/>
    <n v="390"/>
    <s v="Spanish"/>
    <s v="Zoya Akhtar"/>
    <s v="Tom Hardy"/>
    <n v="7"/>
    <n v="145"/>
    <n v="522.9"/>
    <s v="Flop"/>
    <s v="Popular"/>
    <s v="Yes"/>
    <s v="High"/>
    <n v="377.9"/>
    <n v="360.62068965517238"/>
  </r>
  <r>
    <s v="NFX-101058"/>
    <s v="Hidden Frontier 7"/>
    <s v="TV Show"/>
    <x v="3"/>
    <n v="2010"/>
    <x v="9"/>
    <s v="2022-09-07"/>
    <n v="43"/>
    <s v="16+"/>
    <n v="5"/>
    <n v="478.3"/>
    <s v="Japanese"/>
    <s v="Sanjay Leela Bhansali"/>
    <s v="Song Kang-ho"/>
    <n v="1"/>
    <n v="189"/>
    <n v="1197.4000000000001"/>
    <s v="Flop"/>
    <s v="Blockbuster"/>
    <s v="No"/>
    <s v="High"/>
    <n v="1008.4000000000001"/>
    <n v="633.54497354497369"/>
  </r>
  <r>
    <s v="NFX-101059"/>
    <s v="Crystal Code 9"/>
    <s v="Movie"/>
    <x v="6"/>
    <n v="2014"/>
    <x v="1"/>
    <s v="2018-11-14"/>
    <n v="134"/>
    <s v="18+"/>
    <n v="6.8"/>
    <n v="294.2"/>
    <s v="English"/>
    <s v="Sanjay Leela Bhansali"/>
    <s v="Jennifer Lawrence"/>
    <m/>
    <n v="118"/>
    <n v="592.4"/>
    <s v="Average"/>
    <s v="Popular"/>
    <s v="No"/>
    <s v="High"/>
    <n v="474.4"/>
    <n v="502.03389830508473"/>
  </r>
  <r>
    <s v="NFX-101060"/>
    <s v="Crystal Echo 2"/>
    <s v="TV Show"/>
    <x v="6"/>
    <n v="2013"/>
    <x v="0"/>
    <s v="2020-03-28"/>
    <n v="34"/>
    <s v="16+"/>
    <n v="6.5"/>
    <n v="273.89999999999998"/>
    <s v="Hindi"/>
    <s v="Zoya Akhtar"/>
    <s v="Leonardo DiCaprio"/>
    <n v="2"/>
    <n v="153"/>
    <n v="763.2"/>
    <s v="Average"/>
    <s v="Popular"/>
    <s v="No"/>
    <s v="High"/>
    <n v="610.20000000000005"/>
    <n v="498.8235294117647"/>
  </r>
  <r>
    <s v="NFX-101061"/>
    <s v="Lost Archive 7"/>
    <s v="TV Show"/>
    <x v="0"/>
    <n v="2001"/>
    <x v="0"/>
    <s v="2022-08-12"/>
    <n v="52"/>
    <s v="G"/>
    <n v="7.9"/>
    <n v="545.79999999999995"/>
    <s v="German"/>
    <s v="James Cameron"/>
    <s v="Chris Evans"/>
    <n v="6"/>
    <n v="79"/>
    <n v="225.5"/>
    <s v="Average"/>
    <s v="Blockbuster"/>
    <s v="Yes"/>
    <s v="Low"/>
    <n v="146.5"/>
    <n v="285.44303797468353"/>
  </r>
  <r>
    <s v="NFX-101062"/>
    <s v="Fading Archive 1"/>
    <s v="Movie"/>
    <x v="4"/>
    <n v="2023"/>
    <x v="9"/>
    <s v="2018-07-03"/>
    <n v="122"/>
    <s v="PG-13"/>
    <n v="8.6"/>
    <n v="67.099999999999994"/>
    <s v="Hindi"/>
    <s v="Greta Gerwig"/>
    <s v="Deepika Padukone"/>
    <m/>
    <n v="149"/>
    <n v="871.6"/>
    <s v="Hit"/>
    <s v="Normal"/>
    <s v="No"/>
    <s v="High"/>
    <n v="722.6"/>
    <n v="584.96644295302019"/>
  </r>
  <r>
    <s v="NFX-101063"/>
    <s v="Last Valley 1"/>
    <s v="TV Show"/>
    <x v="2"/>
    <n v="2016"/>
    <x v="1"/>
    <s v="2024-05-26"/>
    <n v="39"/>
    <s v="PG"/>
    <n v="5.2"/>
    <n v="424.7"/>
    <s v="Japanese"/>
    <s v="Zoya Akhtar"/>
    <s v="Leonardo DiCaprio"/>
    <n v="4"/>
    <n v="85"/>
    <n v="395.5"/>
    <s v="Flop"/>
    <s v="Blockbuster"/>
    <s v="Yes"/>
    <s v="Low"/>
    <n v="310.5"/>
    <n v="465.29411764705884"/>
  </r>
  <r>
    <s v="NFX-101064"/>
    <s v="Golden Storm 2"/>
    <s v="Movie"/>
    <x v="10"/>
    <n v="2000"/>
    <x v="8"/>
    <s v="2018-02-17"/>
    <n v="106"/>
    <s v="G"/>
    <n v="4.9000000000000004"/>
    <n v="489.9"/>
    <s v="English"/>
    <s v="Sanjay Leela Bhansali"/>
    <s v="Deepika Padukone"/>
    <m/>
    <n v="65"/>
    <n v="193.3"/>
    <s v="Flop"/>
    <s v="Blockbuster"/>
    <s v="Yes"/>
    <s v="Low"/>
    <n v="128.30000000000001"/>
    <n v="297.38461538461542"/>
  </r>
  <r>
    <s v="NFX-101065"/>
    <s v="Burning Legacy 7"/>
    <s v="TV Show"/>
    <x v="5"/>
    <n v="2024"/>
    <x v="2"/>
    <s v="2019-11-12"/>
    <n v="55"/>
    <s v="G"/>
    <n v="9.4"/>
    <n v="507.2"/>
    <s v="English"/>
    <s v="Quentin Tarantino"/>
    <s v="Robert Downey Jr."/>
    <n v="4"/>
    <n v="126"/>
    <n v="568.5"/>
    <s v="Hit"/>
    <s v="Blockbuster"/>
    <s v="Yes"/>
    <s v="High"/>
    <n v="442.5"/>
    <n v="451.1904761904762"/>
  </r>
  <r>
    <s v="NFX-101066"/>
    <s v="Crystal Signal 5"/>
    <s v="TV Show"/>
    <x v="0"/>
    <n v="2014"/>
    <x v="3"/>
    <s v="2024-10-14"/>
    <n v="34"/>
    <s v="PG"/>
    <n v="9.3000000000000007"/>
    <n v="188.5"/>
    <s v="Japanese"/>
    <s v="Sanjay Leela Bhansali"/>
    <s v="Timothée Chalamet"/>
    <n v="2"/>
    <n v="74"/>
    <n v="224.1"/>
    <s v="Hit"/>
    <s v="Normal"/>
    <s v="Yes"/>
    <s v="Low"/>
    <n v="150.1"/>
    <n v="302.83783783783787"/>
  </r>
  <r>
    <s v="NFX-101067"/>
    <s v="Rising City 9"/>
    <s v="Movie"/>
    <x v="3"/>
    <n v="2020"/>
    <x v="0"/>
    <s v="2021-08-25"/>
    <n v="159"/>
    <s v="G"/>
    <n v="9.1"/>
    <n v="414.7"/>
    <s v="Spanish"/>
    <s v="James Cameron"/>
    <s v="Ryan Gosling"/>
    <m/>
    <n v="196"/>
    <n v="670.6"/>
    <s v="Hit"/>
    <s v="Blockbuster"/>
    <s v="Yes"/>
    <s v="High"/>
    <n v="474.6"/>
    <n v="342.14285714285717"/>
  </r>
  <r>
    <s v="NFX-101068"/>
    <s v="Burning Protocol 3"/>
    <s v="TV Show"/>
    <x v="6"/>
    <n v="2024"/>
    <x v="4"/>
    <s v="2018-02-04"/>
    <n v="42"/>
    <s v="PG"/>
    <n v="7.9"/>
    <n v="575.29999999999995"/>
    <s v="French"/>
    <s v="Park Chan-wook"/>
    <s v="Timothée Chalamet"/>
    <n v="3"/>
    <n v="182"/>
    <n v="413.2"/>
    <s v="Average"/>
    <s v="Blockbuster"/>
    <s v="Yes"/>
    <s v="High"/>
    <n v="231.2"/>
    <n v="227.03296703296704"/>
  </r>
  <r>
    <s v="NFX-101069"/>
    <s v="Broken City 3"/>
    <s v="Movie"/>
    <x v="3"/>
    <n v="2010"/>
    <x v="5"/>
    <s v="2023-02-23"/>
    <n v="142"/>
    <s v="G"/>
    <n v="5.6"/>
    <n v="28.4"/>
    <s v="Spanish"/>
    <s v="Guillermo del Toro"/>
    <s v="Leonardo DiCaprio"/>
    <m/>
    <n v="79"/>
    <n v="132"/>
    <s v="Flop"/>
    <s v="Normal"/>
    <s v="Yes"/>
    <s v="Low"/>
    <n v="53"/>
    <n v="167.08860759493672"/>
  </r>
  <r>
    <s v="NFX-101070"/>
    <s v="Burning City 4"/>
    <s v="TV Show"/>
    <x v="9"/>
    <n v="2020"/>
    <x v="3"/>
    <s v="2021-02-12"/>
    <n v="51"/>
    <s v="18+"/>
    <n v="7.4"/>
    <n v="569.1"/>
    <s v="Hindi"/>
    <s v="Bong Joon-ho"/>
    <s v="Tom Hardy"/>
    <n v="7"/>
    <n v="72"/>
    <n v="203.7"/>
    <s v="Average"/>
    <s v="Blockbuster"/>
    <s v="No"/>
    <s v="Low"/>
    <n v="131.69999999999999"/>
    <n v="282.91666666666669"/>
  </r>
  <r>
    <s v="NFX-101071"/>
    <s v="Hidden Horizon 1"/>
    <s v="Movie"/>
    <x v="6"/>
    <n v="2020"/>
    <x v="6"/>
    <s v="2022-08-12"/>
    <n v="158"/>
    <s v="PG-13"/>
    <n v="7"/>
    <n v="418.5"/>
    <s v="English"/>
    <s v="Park Chan-wook"/>
    <s v="Emma Stone"/>
    <m/>
    <n v="101"/>
    <n v="365"/>
    <s v="Average"/>
    <s v="Blockbuster"/>
    <s v="No"/>
    <s v="High"/>
    <n v="264"/>
    <n v="361.38613861386142"/>
  </r>
  <r>
    <s v="NFX-101072"/>
    <s v="Fading Frontier 2"/>
    <s v="TV Show"/>
    <x v="0"/>
    <n v="2017"/>
    <x v="6"/>
    <s v="2018-04-20"/>
    <n v="30"/>
    <s v="G"/>
    <n v="6"/>
    <n v="454.7"/>
    <s v="Korean"/>
    <s v="Denis Villeneuve"/>
    <s v="Leonardo DiCaprio"/>
    <n v="1"/>
    <n v="90"/>
    <n v="159.4"/>
    <s v="Average"/>
    <s v="Blockbuster"/>
    <s v="Yes"/>
    <s v="Low"/>
    <n v="69.400000000000006"/>
    <n v="177.11111111111111"/>
  </r>
  <r>
    <s v="NFX-101073"/>
    <s v="Burning Chronicles 5"/>
    <s v="Movie"/>
    <x v="9"/>
    <n v="2003"/>
    <x v="4"/>
    <s v="2024-06-28"/>
    <n v="154"/>
    <s v="PG"/>
    <n v="9.1"/>
    <n v="572.70000000000005"/>
    <s v="Hindi"/>
    <s v="Ridley Scott"/>
    <s v="Robert Downey Jr."/>
    <m/>
    <n v="180"/>
    <n v="329.3"/>
    <s v="Hit"/>
    <s v="Blockbuster"/>
    <s v="Yes"/>
    <s v="High"/>
    <n v="149.30000000000001"/>
    <n v="182.94444444444446"/>
  </r>
  <r>
    <s v="NFX-101074"/>
    <s v="Dark Chronicles 9"/>
    <s v="Movie"/>
    <x v="7"/>
    <n v="2011"/>
    <x v="2"/>
    <s v="2018-08-14"/>
    <n v="101"/>
    <s v="16+"/>
    <n v="9.5"/>
    <n v="80.2"/>
    <s v="Spanish"/>
    <s v="Rajkumar Hirani"/>
    <s v="Deepika Padukone"/>
    <m/>
    <n v="73"/>
    <n v="348.8"/>
    <s v="Hit"/>
    <s v="Normal"/>
    <s v="No"/>
    <s v="Low"/>
    <n v="275.8"/>
    <n v="477.8082191780822"/>
  </r>
  <r>
    <s v="NFX-101075"/>
    <s v="Shadow Horizon 3"/>
    <s v="Movie"/>
    <x v="5"/>
    <n v="2006"/>
    <x v="4"/>
    <s v="2019-05-25"/>
    <n v="153"/>
    <s v="18+"/>
    <n v="8.8000000000000007"/>
    <n v="563.5"/>
    <s v="Hindi"/>
    <s v="Ridley Scott"/>
    <s v="Timothée Chalamet"/>
    <m/>
    <n v="74"/>
    <n v="287.5"/>
    <s v="Hit"/>
    <s v="Blockbuster"/>
    <s v="No"/>
    <s v="Low"/>
    <n v="213.5"/>
    <n v="388.51351351351349"/>
  </r>
  <r>
    <s v="NFX-101076"/>
    <s v="Crystal Empire 7"/>
    <s v="Movie"/>
    <x v="8"/>
    <n v="2017"/>
    <x v="4"/>
    <s v="2018-03-05"/>
    <n v="87"/>
    <s v="PG-13"/>
    <n v="7.4"/>
    <n v="370.1"/>
    <s v="English"/>
    <s v="Martin Scorsese"/>
    <s v="Leonardo DiCaprio"/>
    <m/>
    <n v="102"/>
    <n v="370.4"/>
    <s v="Average"/>
    <s v="Popular"/>
    <s v="No"/>
    <s v="High"/>
    <n v="268.39999999999998"/>
    <n v="363.13725490196077"/>
  </r>
  <r>
    <s v="NFX-101077"/>
    <s v="Broken Archive 7"/>
    <s v="TV Show"/>
    <x v="9"/>
    <n v="2004"/>
    <x v="2"/>
    <s v="2019-04-03"/>
    <n v="37"/>
    <s v="G"/>
    <n v="8.3000000000000007"/>
    <n v="134.5"/>
    <s v="German"/>
    <s v="Park Chan-wook"/>
    <s v="Shah Rukh Khan"/>
    <n v="8"/>
    <n v="146"/>
    <n v="763.8"/>
    <s v="Hit"/>
    <s v="Normal"/>
    <s v="Yes"/>
    <s v="High"/>
    <n v="617.79999999999995"/>
    <n v="523.15068493150682"/>
  </r>
  <r>
    <s v="NFX-101078"/>
    <s v="Iron Odyssey 2"/>
    <s v="Movie"/>
    <x v="8"/>
    <n v="2005"/>
    <x v="8"/>
    <s v="2023-01-30"/>
    <n v="86"/>
    <s v="PG"/>
    <n v="7.6"/>
    <n v="163.4"/>
    <s v="Hindi"/>
    <s v="Zoya Akhtar"/>
    <s v="Deepika Padukone"/>
    <m/>
    <n v="68"/>
    <n v="136"/>
    <s v="Average"/>
    <s v="Normal"/>
    <s v="Yes"/>
    <s v="Low"/>
    <n v="68"/>
    <n v="200"/>
  </r>
  <r>
    <s v="NFX-101079"/>
    <s v="Golden Code 8"/>
    <s v="Movie"/>
    <x v="2"/>
    <n v="2009"/>
    <x v="8"/>
    <s v="2020-11-01"/>
    <n v="108"/>
    <s v="18+"/>
    <n v="8"/>
    <n v="189.7"/>
    <s v="Hindi"/>
    <s v="Denis Villeneuve"/>
    <s v="Emma Stone"/>
    <m/>
    <n v="66"/>
    <n v="96"/>
    <s v="Hit"/>
    <s v="Normal"/>
    <s v="No"/>
    <s v="Low"/>
    <n v="30"/>
    <n v="145.45454545454547"/>
  </r>
  <r>
    <s v="NFX-101080"/>
    <s v="Broken City 5"/>
    <s v="TV Show"/>
    <x v="1"/>
    <n v="2003"/>
    <x v="6"/>
    <s v="2020-01-15"/>
    <n v="45"/>
    <s v="G"/>
    <n v="7.5"/>
    <n v="336.4"/>
    <s v="Japanese"/>
    <s v="Martin Scorsese"/>
    <s v="Jennifer Lawrence"/>
    <n v="6"/>
    <n v="46"/>
    <n v="170.3"/>
    <s v="Average"/>
    <s v="Popular"/>
    <s v="Yes"/>
    <s v="Low"/>
    <n v="124.30000000000001"/>
    <n v="370.21739130434781"/>
  </r>
  <r>
    <s v="NFX-101081"/>
    <s v="Shadow Legacy 2"/>
    <s v="Movie"/>
    <x v="7"/>
    <n v="2001"/>
    <x v="2"/>
    <s v="2020-08-02"/>
    <n v="124"/>
    <s v="PG-13"/>
    <n v="7.1"/>
    <n v="426.4"/>
    <s v="Hindi"/>
    <s v="Steven Spielberg"/>
    <s v="Shah Rukh Khan"/>
    <m/>
    <n v="128"/>
    <n v="492.4"/>
    <s v="Average"/>
    <s v="Blockbuster"/>
    <s v="No"/>
    <s v="High"/>
    <n v="364.4"/>
    <n v="384.6875"/>
  </r>
  <r>
    <s v="NFX-101082"/>
    <s v="Iron Echo 5"/>
    <s v="TV Show"/>
    <x v="4"/>
    <n v="2003"/>
    <x v="5"/>
    <s v="2021-08-12"/>
    <n v="48"/>
    <s v="18+"/>
    <n v="9"/>
    <n v="501.8"/>
    <s v="French"/>
    <s v="Martin Scorsese"/>
    <s v="Deepika Padukone"/>
    <n v="5"/>
    <n v="11"/>
    <n v="14.5"/>
    <s v="Hit"/>
    <s v="Blockbuster"/>
    <s v="No"/>
    <s v="Low"/>
    <n v="3.5"/>
    <n v="131.81818181818181"/>
  </r>
  <r>
    <s v="NFX-101083"/>
    <s v="Fading Archive 5"/>
    <s v="TV Show"/>
    <x v="9"/>
    <n v="2000"/>
    <x v="2"/>
    <s v="2023-01-07"/>
    <n v="47"/>
    <s v="16+"/>
    <n v="6.8"/>
    <n v="505.5"/>
    <s v="English"/>
    <s v="Zoya Akhtar"/>
    <s v="Shah Rukh Khan"/>
    <n v="1"/>
    <n v="24"/>
    <n v="68.7"/>
    <s v="Average"/>
    <s v="Blockbuster"/>
    <s v="No"/>
    <s v="Low"/>
    <n v="44.7"/>
    <n v="286.25"/>
  </r>
  <r>
    <s v="NFX-101084"/>
    <s v="Burning Empire 2"/>
    <s v="TV Show"/>
    <x v="0"/>
    <n v="2013"/>
    <x v="0"/>
    <s v="2020-04-08"/>
    <n v="35"/>
    <s v="G"/>
    <n v="5"/>
    <n v="79.2"/>
    <s v="English"/>
    <s v="Rajkumar Hirani"/>
    <s v="Jennifer Lawrence"/>
    <n v="6"/>
    <n v="182"/>
    <n v="985.1"/>
    <s v="Flop"/>
    <s v="Normal"/>
    <s v="Yes"/>
    <s v="High"/>
    <n v="803.1"/>
    <n v="541.26373626373629"/>
  </r>
  <r>
    <s v="NFX-101085"/>
    <s v="Dark Chronicles 8"/>
    <s v="Movie"/>
    <x v="1"/>
    <n v="2003"/>
    <x v="8"/>
    <s v="2019-01-12"/>
    <n v="161"/>
    <s v="18+"/>
    <n v="5.8"/>
    <n v="356.8"/>
    <s v="English"/>
    <s v="Steven Spielberg"/>
    <s v="Lee Jung-jae"/>
    <m/>
    <n v="99"/>
    <n v="268.89999999999998"/>
    <s v="Flop"/>
    <s v="Popular"/>
    <s v="No"/>
    <s v="Low"/>
    <n v="169.89999999999998"/>
    <n v="271.61616161616161"/>
  </r>
  <r>
    <s v="NFX-101086"/>
    <s v="Crystal Journey 4"/>
    <s v="Movie"/>
    <x v="6"/>
    <n v="2019"/>
    <x v="2"/>
    <s v="2023-05-18"/>
    <n v="133"/>
    <s v="G"/>
    <n v="8.4"/>
    <n v="168.6"/>
    <s v="Japanese"/>
    <s v="Guillermo del Toro"/>
    <s v="Jennifer Lawrence"/>
    <m/>
    <n v="87"/>
    <n v="441.6"/>
    <s v="Hit"/>
    <s v="Normal"/>
    <s v="Yes"/>
    <s v="Low"/>
    <n v="354.6"/>
    <n v="507.58620689655174"/>
  </r>
  <r>
    <s v="NFX-101087"/>
    <s v="Burning Code 3"/>
    <s v="TV Show"/>
    <x v="10"/>
    <n v="2006"/>
    <x v="9"/>
    <s v="2018-02-25"/>
    <n v="56"/>
    <s v="PG"/>
    <n v="8.4"/>
    <n v="29.9"/>
    <s v="Spanish"/>
    <s v="Denis Villeneuve"/>
    <s v="Ryan Gosling"/>
    <n v="8"/>
    <n v="81"/>
    <n v="214.7"/>
    <s v="Hit"/>
    <s v="Normal"/>
    <s v="Yes"/>
    <s v="Low"/>
    <n v="133.69999999999999"/>
    <n v="265.06172839506172"/>
  </r>
  <r>
    <s v="NFX-101088"/>
    <s v="Midnight Archive 5"/>
    <s v="Movie"/>
    <x v="2"/>
    <n v="2014"/>
    <x v="5"/>
    <s v="2022-12-31"/>
    <n v="159"/>
    <s v="PG"/>
    <n v="7.2"/>
    <n v="523.9"/>
    <s v="Japanese"/>
    <s v="Martin Scorsese"/>
    <s v="Song Kang-ho"/>
    <m/>
    <n v="73"/>
    <n v="408.4"/>
    <s v="Average"/>
    <s v="Blockbuster"/>
    <s v="Yes"/>
    <s v="Low"/>
    <n v="335.4"/>
    <n v="559.45205479452045"/>
  </r>
  <r>
    <s v="NFX-101089"/>
    <s v="Last Legacy 7"/>
    <s v="Movie"/>
    <x v="3"/>
    <n v="2019"/>
    <x v="9"/>
    <s v="2019-09-10"/>
    <n v="80"/>
    <s v="18+"/>
    <n v="8.9"/>
    <n v="285.2"/>
    <s v="Korean"/>
    <s v="Quentin Tarantino"/>
    <s v="Ranbir Kapoor"/>
    <m/>
    <n v="174"/>
    <n v="258.10000000000002"/>
    <s v="Hit"/>
    <s v="Popular"/>
    <s v="No"/>
    <s v="High"/>
    <n v="84.100000000000023"/>
    <n v="148.33333333333334"/>
  </r>
  <r>
    <s v="NFX-101090"/>
    <s v="Fading City 4"/>
    <s v="Movie"/>
    <x v="0"/>
    <n v="2001"/>
    <x v="3"/>
    <s v="2021-10-15"/>
    <n v="144"/>
    <s v="18+"/>
    <n v="8.5"/>
    <n v="181.1"/>
    <s v="Spanish"/>
    <s v="Bong Joon-ho"/>
    <s v="Deepika Padukone"/>
    <m/>
    <n v="171"/>
    <n v="219.2"/>
    <s v="Hit"/>
    <s v="Normal"/>
    <s v="No"/>
    <s v="High"/>
    <n v="48.199999999999989"/>
    <n v="128.18713450292395"/>
  </r>
  <r>
    <s v="NFX-101091"/>
    <s v="Burning Protocol 2"/>
    <s v="TV Show"/>
    <x v="7"/>
    <n v="2009"/>
    <x v="7"/>
    <s v="2024-10-02"/>
    <n v="35"/>
    <s v="16+"/>
    <n v="9.5"/>
    <n v="383.4"/>
    <s v="Korean"/>
    <s v="Zoya Akhtar"/>
    <s v="Tom Hardy"/>
    <n v="6"/>
    <n v="7"/>
    <n v="26.2"/>
    <s v="Hit"/>
    <s v="Popular"/>
    <s v="No"/>
    <s v="Low"/>
    <n v="19.2"/>
    <n v="374.28571428571428"/>
  </r>
  <r>
    <s v="NFX-101092"/>
    <s v="Fading Echo 2"/>
    <s v="TV Show"/>
    <x v="5"/>
    <n v="2005"/>
    <x v="8"/>
    <s v="2021-01-06"/>
    <n v="46"/>
    <s v="PG-13"/>
    <n v="6.4"/>
    <n v="38.4"/>
    <s v="German"/>
    <s v="Steven Spielberg"/>
    <s v="Emma Stone"/>
    <n v="3"/>
    <n v="23"/>
    <n v="101.6"/>
    <s v="Average"/>
    <s v="Normal"/>
    <s v="No"/>
    <s v="Low"/>
    <n v="78.599999999999994"/>
    <n v="441.73913043478257"/>
  </r>
  <r>
    <s v="NFX-101093"/>
    <s v="Rising Legacy 5"/>
    <s v="TV Show"/>
    <x v="3"/>
    <n v="2017"/>
    <x v="6"/>
    <s v="2021-04-04"/>
    <n v="47"/>
    <s v="18+"/>
    <n v="5.6"/>
    <n v="276.60000000000002"/>
    <s v="French"/>
    <s v="Ridley Scott"/>
    <s v="Ryan Gosling"/>
    <n v="3"/>
    <n v="196"/>
    <n v="279.39999999999998"/>
    <s v="Flop"/>
    <s v="Popular"/>
    <s v="No"/>
    <s v="High"/>
    <n v="83.399999999999977"/>
    <n v="142.55102040816325"/>
  </r>
  <r>
    <s v="NFX-101094"/>
    <s v="Dark Chronicles 5"/>
    <s v="TV Show"/>
    <x v="7"/>
    <n v="2016"/>
    <x v="5"/>
    <s v="2022-06-21"/>
    <n v="31"/>
    <s v="18+"/>
    <n v="9.1999999999999993"/>
    <n v="289.89999999999998"/>
    <s v="Spanish"/>
    <s v="Christopher Nolan"/>
    <s v="Timothée Chalamet"/>
    <n v="2"/>
    <n v="198"/>
    <n v="266.5"/>
    <s v="Hit"/>
    <s v="Popular"/>
    <s v="No"/>
    <s v="High"/>
    <n v="68.5"/>
    <n v="134.59595959595961"/>
  </r>
  <r>
    <s v="NFX-101095"/>
    <s v="Secret Legacy 3"/>
    <s v="TV Show"/>
    <x v="4"/>
    <n v="2007"/>
    <x v="7"/>
    <s v="2024-02-04"/>
    <n v="54"/>
    <s v="16+"/>
    <n v="5.2"/>
    <n v="16.2"/>
    <s v="Spanish"/>
    <s v="Quentin Tarantino"/>
    <s v="Ranbir Kapoor"/>
    <n v="5"/>
    <n v="48"/>
    <n v="203.6"/>
    <s v="Flop"/>
    <s v="Normal"/>
    <s v="No"/>
    <s v="Low"/>
    <n v="155.6"/>
    <n v="424.16666666666663"/>
  </r>
  <r>
    <s v="NFX-101096"/>
    <s v="Last Storm 6"/>
    <s v="TV Show"/>
    <x v="9"/>
    <n v="2002"/>
    <x v="4"/>
    <s v="2022-09-09"/>
    <n v="36"/>
    <s v="PG-13"/>
    <n v="6.4"/>
    <n v="419"/>
    <s v="German"/>
    <s v="Steven Spielberg"/>
    <s v="Emma Stone"/>
    <n v="7"/>
    <n v="8"/>
    <n v="41.7"/>
    <s v="Average"/>
    <s v="Blockbuster"/>
    <s v="No"/>
    <s v="Low"/>
    <n v="33.700000000000003"/>
    <n v="521.25"/>
  </r>
  <r>
    <s v="NFX-101097"/>
    <s v="Fading Code 7"/>
    <s v="Movie"/>
    <x v="9"/>
    <n v="2021"/>
    <x v="8"/>
    <s v="2023-04-11"/>
    <n v="101"/>
    <s v="PG"/>
    <n v="4.9000000000000004"/>
    <n v="184.1"/>
    <s v="Hindi"/>
    <s v="Martin Scorsese"/>
    <s v="Leonardo DiCaprio"/>
    <m/>
    <n v="14"/>
    <n v="71.3"/>
    <s v="Flop"/>
    <s v="Normal"/>
    <s v="Yes"/>
    <s v="Low"/>
    <n v="57.3"/>
    <n v="509.28571428571428"/>
  </r>
  <r>
    <s v="NFX-101098"/>
    <s v="Last Empire 4"/>
    <s v="TV Show"/>
    <x v="8"/>
    <n v="2019"/>
    <x v="0"/>
    <s v="2023-12-08"/>
    <n v="55"/>
    <s v="PG-13"/>
    <n v="5.2"/>
    <n v="328.7"/>
    <s v="German"/>
    <s v="Anurag Kashyap"/>
    <s v="Ryan Gosling"/>
    <n v="3"/>
    <n v="109"/>
    <n v="496.3"/>
    <s v="Flop"/>
    <s v="Popular"/>
    <s v="No"/>
    <s v="High"/>
    <n v="387.3"/>
    <n v="455.32110091743118"/>
  </r>
  <r>
    <s v="NFX-101099"/>
    <s v="Golden Valley 6"/>
    <s v="TV Show"/>
    <x v="8"/>
    <n v="2021"/>
    <x v="7"/>
    <s v="2018-07-20"/>
    <n v="54"/>
    <s v="16+"/>
    <n v="8.8000000000000007"/>
    <n v="118.6"/>
    <s v="Hindi"/>
    <s v="Park Chan-wook"/>
    <s v="Emma Stone"/>
    <n v="2"/>
    <n v="94"/>
    <n v="244"/>
    <s v="Hit"/>
    <s v="Normal"/>
    <s v="No"/>
    <s v="Low"/>
    <n v="150"/>
    <n v="259.57446808510639"/>
  </r>
  <r>
    <s v="NFX-101100"/>
    <s v="Lost City 3"/>
    <s v="Movie"/>
    <x v="10"/>
    <n v="2023"/>
    <x v="3"/>
    <s v="2023-04-18"/>
    <n v="146"/>
    <s v="16+"/>
    <n v="9.5"/>
    <n v="4.5"/>
    <s v="French"/>
    <s v="Anurag Kashyap"/>
    <s v="Ranbir Kapoor"/>
    <m/>
    <n v="132"/>
    <n v="672.4"/>
    <s v="Hit"/>
    <s v="Normal"/>
    <s v="No"/>
    <s v="High"/>
    <n v="540.4"/>
    <n v="509.39393939393938"/>
  </r>
  <r>
    <s v="NFX-101101"/>
    <s v="Iron Odyssey 8"/>
    <s v="TV Show"/>
    <x v="3"/>
    <n v="2021"/>
    <x v="3"/>
    <s v="2021-09-03"/>
    <n v="44"/>
    <s v="18+"/>
    <n v="6.9"/>
    <n v="131.19999999999999"/>
    <s v="French"/>
    <s v="Sanjay Leela Bhansali"/>
    <s v="Emma Stone"/>
    <n v="4"/>
    <n v="105"/>
    <n v="318.89999999999998"/>
    <s v="Average"/>
    <s v="Normal"/>
    <s v="No"/>
    <s v="High"/>
    <n v="213.89999999999998"/>
    <n v="303.71428571428567"/>
  </r>
  <r>
    <s v="NFX-101102"/>
    <s v="Iron Legacy 5"/>
    <s v="Movie"/>
    <x v="7"/>
    <n v="2015"/>
    <x v="3"/>
    <s v="2023-04-17"/>
    <n v="165"/>
    <s v="18+"/>
    <n v="8.1999999999999993"/>
    <n v="526.1"/>
    <s v="Korean"/>
    <s v="Guillermo del Toro"/>
    <s v="Song Kang-ho"/>
    <m/>
    <n v="45"/>
    <n v="163.4"/>
    <s v="Hit"/>
    <s v="Blockbuster"/>
    <s v="No"/>
    <s v="Low"/>
    <n v="118.4"/>
    <n v="363.11111111111114"/>
  </r>
  <r>
    <s v="NFX-101103"/>
    <s v="Last Echo 3"/>
    <s v="TV Show"/>
    <x v="10"/>
    <n v="2004"/>
    <x v="5"/>
    <s v="2022-05-26"/>
    <n v="53"/>
    <s v="PG-13"/>
    <n v="4.8"/>
    <n v="175.6"/>
    <s v="German"/>
    <s v="Quentin Tarantino"/>
    <s v="Tom Hardy"/>
    <n v="5"/>
    <n v="47"/>
    <n v="220.6"/>
    <s v="Flop"/>
    <s v="Normal"/>
    <s v="No"/>
    <s v="Low"/>
    <n v="173.6"/>
    <n v="469.36170212765956"/>
  </r>
  <r>
    <s v="NFX-101104"/>
    <s v="Hidden Code 7"/>
    <s v="TV Show"/>
    <x v="2"/>
    <n v="2019"/>
    <x v="4"/>
    <s v="2021-03-11"/>
    <n v="53"/>
    <s v="PG-13"/>
    <n v="7.1"/>
    <n v="397.8"/>
    <s v="Korean"/>
    <s v="Rajkumar Hirani"/>
    <s v="Shah Rukh Khan"/>
    <n v="2"/>
    <n v="81"/>
    <n v="514.29999999999995"/>
    <s v="Average"/>
    <s v="Popular"/>
    <s v="No"/>
    <s v="Low"/>
    <n v="433.29999999999995"/>
    <n v="634.93827160493822"/>
  </r>
  <r>
    <s v="NFX-101105"/>
    <s v="Last Protocol 5"/>
    <s v="Movie"/>
    <x v="7"/>
    <n v="2014"/>
    <x v="5"/>
    <s v="2021-10-29"/>
    <n v="93"/>
    <s v="G"/>
    <n v="8.9"/>
    <n v="421.6"/>
    <s v="English"/>
    <s v="Denis Villeneuve"/>
    <s v="Chris Evans"/>
    <m/>
    <n v="104"/>
    <n v="184.9"/>
    <s v="Hit"/>
    <s v="Blockbuster"/>
    <s v="Yes"/>
    <s v="High"/>
    <n v="80.900000000000006"/>
    <n v="177.78846153846155"/>
  </r>
  <r>
    <s v="NFX-101106"/>
    <s v="Hidden City 3"/>
    <s v="Movie"/>
    <x v="0"/>
    <n v="2012"/>
    <x v="2"/>
    <s v="2018-07-18"/>
    <n v="112"/>
    <s v="16+"/>
    <n v="8.6999999999999993"/>
    <n v="398"/>
    <s v="English"/>
    <s v="Greta Gerwig"/>
    <s v="Chris Evans"/>
    <m/>
    <n v="194"/>
    <n v="546"/>
    <s v="Hit"/>
    <s v="Popular"/>
    <s v="No"/>
    <s v="High"/>
    <n v="352"/>
    <n v="281.4432989690722"/>
  </r>
  <r>
    <s v="NFX-101107"/>
    <s v="Silent Archive 8"/>
    <s v="TV Show"/>
    <x v="8"/>
    <n v="2007"/>
    <x v="5"/>
    <s v="2020-10-01"/>
    <n v="52"/>
    <s v="G"/>
    <n v="8.9"/>
    <n v="33.5"/>
    <s v="Hindi"/>
    <s v="Christopher Nolan"/>
    <s v="Leonardo DiCaprio"/>
    <n v="6"/>
    <n v="74"/>
    <n v="261.60000000000002"/>
    <s v="Hit"/>
    <s v="Normal"/>
    <s v="Yes"/>
    <s v="Low"/>
    <n v="187.60000000000002"/>
    <n v="353.51351351351354"/>
  </r>
  <r>
    <s v="NFX-101108"/>
    <s v="Hidden Journey 3"/>
    <s v="TV Show"/>
    <x v="1"/>
    <n v="2011"/>
    <x v="6"/>
    <s v="2024-09-22"/>
    <n v="42"/>
    <s v="18+"/>
    <n v="8.9"/>
    <n v="596.5"/>
    <s v="English"/>
    <s v="Quentin Tarantino"/>
    <s v="Ryan Gosling"/>
    <n v="5"/>
    <n v="106"/>
    <n v="295.7"/>
    <s v="Hit"/>
    <s v="Blockbuster"/>
    <s v="No"/>
    <s v="High"/>
    <n v="189.7"/>
    <n v="278.96226415094338"/>
  </r>
  <r>
    <s v="NFX-101109"/>
    <s v="Secret Protocol 2"/>
    <s v="Movie"/>
    <x v="6"/>
    <n v="2011"/>
    <x v="7"/>
    <s v="2018-06-29"/>
    <n v="89"/>
    <s v="PG"/>
    <n v="6.6"/>
    <n v="445.3"/>
    <s v="German"/>
    <s v="Bong Joon-ho"/>
    <s v="Shah Rukh Khan"/>
    <m/>
    <n v="102"/>
    <n v="493.9"/>
    <s v="Average"/>
    <s v="Blockbuster"/>
    <s v="Yes"/>
    <s v="High"/>
    <n v="391.9"/>
    <n v="484.21568627450978"/>
  </r>
  <r>
    <s v="NFX-101110"/>
    <s v="Iron Horizon 6"/>
    <s v="TV Show"/>
    <x v="5"/>
    <n v="2009"/>
    <x v="1"/>
    <s v="2020-08-14"/>
    <n v="49"/>
    <s v="16+"/>
    <n v="8.9"/>
    <n v="582.5"/>
    <s v="English"/>
    <s v="Bong Joon-ho"/>
    <s v="Robert Downey Jr."/>
    <n v="2"/>
    <n v="58"/>
    <n v="205.2"/>
    <s v="Hit"/>
    <s v="Blockbuster"/>
    <s v="No"/>
    <s v="Low"/>
    <n v="147.19999999999999"/>
    <n v="353.79310344827582"/>
  </r>
  <r>
    <s v="NFX-101111"/>
    <s v="Last Archive 3"/>
    <s v="Movie"/>
    <x v="9"/>
    <n v="2007"/>
    <x v="7"/>
    <s v="2021-02-02"/>
    <n v="162"/>
    <s v="G"/>
    <n v="9.1"/>
    <n v="136.5"/>
    <s v="Spanish"/>
    <s v="Greta Gerwig"/>
    <s v="Lee Jung-jae"/>
    <m/>
    <n v="29"/>
    <n v="65.099999999999994"/>
    <s v="Hit"/>
    <s v="Normal"/>
    <s v="Yes"/>
    <s v="Low"/>
    <n v="36.099999999999994"/>
    <n v="224.48275862068962"/>
  </r>
  <r>
    <s v="NFX-101112"/>
    <s v="Golden Frontier 1"/>
    <s v="Movie"/>
    <x v="4"/>
    <n v="2007"/>
    <x v="8"/>
    <s v="2023-07-10"/>
    <n v="106"/>
    <s v="16+"/>
    <n v="5.9"/>
    <n v="153.30000000000001"/>
    <s v="English"/>
    <s v="Guillermo del Toro"/>
    <s v="Tom Hardy"/>
    <m/>
    <n v="18"/>
    <n v="72.5"/>
    <s v="Flop"/>
    <s v="Normal"/>
    <s v="No"/>
    <s v="Low"/>
    <n v="54.5"/>
    <n v="402.77777777777777"/>
  </r>
  <r>
    <s v="NFX-101113"/>
    <s v="Midnight Frontier 5"/>
    <s v="TV Show"/>
    <x v="1"/>
    <n v="2008"/>
    <x v="1"/>
    <s v="2020-10-12"/>
    <n v="32"/>
    <s v="16+"/>
    <n v="6.5"/>
    <n v="187.9"/>
    <s v="French"/>
    <s v="James Cameron"/>
    <s v="Ranbir Kapoor"/>
    <n v="4"/>
    <n v="130"/>
    <n v="295.2"/>
    <s v="Average"/>
    <s v="Normal"/>
    <s v="No"/>
    <s v="High"/>
    <n v="165.2"/>
    <n v="227.07692307692309"/>
  </r>
  <r>
    <s v="NFX-101114"/>
    <s v="Broken Journey 3"/>
    <s v="TV Show"/>
    <x v="2"/>
    <n v="2000"/>
    <x v="5"/>
    <s v="2020-04-20"/>
    <n v="36"/>
    <s v="PG"/>
    <n v="4.8"/>
    <n v="3.4"/>
    <s v="French"/>
    <s v="Martin Scorsese"/>
    <s v="Emma Stone"/>
    <n v="4"/>
    <n v="181"/>
    <n v="986.6"/>
    <s v="Flop"/>
    <s v="Normal"/>
    <s v="Yes"/>
    <s v="High"/>
    <n v="805.6"/>
    <n v="545.08287292817681"/>
  </r>
  <r>
    <s v="NFX-101115"/>
    <s v="Last Odyssey 2"/>
    <s v="TV Show"/>
    <x v="5"/>
    <n v="2022"/>
    <x v="7"/>
    <s v="2024-03-19"/>
    <n v="48"/>
    <s v="18+"/>
    <n v="4.8"/>
    <n v="299.8"/>
    <s v="French"/>
    <s v="James Cameron"/>
    <s v="Deepika Padukone"/>
    <n v="3"/>
    <n v="181"/>
    <n v="920.1"/>
    <s v="Flop"/>
    <s v="Popular"/>
    <s v="No"/>
    <s v="High"/>
    <n v="739.1"/>
    <n v="508.34254143646416"/>
  </r>
  <r>
    <s v="NFX-101116"/>
    <s v="Dark Archive 1"/>
    <s v="Movie"/>
    <x v="0"/>
    <n v="2005"/>
    <x v="0"/>
    <s v="2019-09-15"/>
    <n v="107"/>
    <s v="PG-13"/>
    <n v="6.5"/>
    <n v="394.3"/>
    <s v="Spanish"/>
    <s v="Rajkumar Hirani"/>
    <s v="Deepika Padukone"/>
    <m/>
    <n v="141"/>
    <n v="393.8"/>
    <s v="Average"/>
    <s v="Popular"/>
    <s v="No"/>
    <s v="High"/>
    <n v="252.8"/>
    <n v="279.29078014184398"/>
  </r>
  <r>
    <s v="NFX-101117"/>
    <s v="Broken Signal 9"/>
    <s v="Movie"/>
    <x v="7"/>
    <n v="2016"/>
    <x v="9"/>
    <s v="2024-10-23"/>
    <n v="179"/>
    <s v="G"/>
    <n v="7.9"/>
    <n v="419.1"/>
    <s v="Japanese"/>
    <s v="Denis Villeneuve"/>
    <s v="Brad Pitt"/>
    <m/>
    <n v="172"/>
    <n v="986.4"/>
    <s v="Average"/>
    <s v="Blockbuster"/>
    <s v="Yes"/>
    <s v="High"/>
    <n v="814.4"/>
    <n v="573.48837209302326"/>
  </r>
  <r>
    <s v="NFX-101118"/>
    <s v="Hidden Empire 3"/>
    <s v="TV Show"/>
    <x v="2"/>
    <n v="2015"/>
    <x v="1"/>
    <s v="2023-08-10"/>
    <n v="40"/>
    <s v="16+"/>
    <n v="7.7"/>
    <n v="523.4"/>
    <s v="English"/>
    <s v="Martin Scorsese"/>
    <s v="Deepika Padukone"/>
    <n v="7"/>
    <n v="73"/>
    <n v="111.4"/>
    <s v="Average"/>
    <s v="Blockbuster"/>
    <s v="No"/>
    <s v="Low"/>
    <n v="38.400000000000006"/>
    <n v="152.60273972602741"/>
  </r>
  <r>
    <s v="NFX-101119"/>
    <s v="Iron Empire 8"/>
    <s v="Movie"/>
    <x v="6"/>
    <n v="2021"/>
    <x v="8"/>
    <s v="2019-02-06"/>
    <n v="150"/>
    <s v="PG"/>
    <n v="7.6"/>
    <n v="361.5"/>
    <s v="Korean"/>
    <s v="Zoya Akhtar"/>
    <s v="Shah Rukh Khan"/>
    <m/>
    <n v="164"/>
    <n v="307.10000000000002"/>
    <s v="Average"/>
    <s v="Popular"/>
    <s v="Yes"/>
    <s v="High"/>
    <n v="143.10000000000002"/>
    <n v="187.25609756097563"/>
  </r>
  <r>
    <s v="NFX-101120"/>
    <s v="Crystal Horizon 7"/>
    <s v="Movie"/>
    <x v="9"/>
    <n v="2017"/>
    <x v="8"/>
    <s v="2022-02-25"/>
    <n v="114"/>
    <s v="16+"/>
    <n v="6.3"/>
    <n v="383.7"/>
    <s v="Korean"/>
    <s v="Anurag Kashyap"/>
    <s v="Song Kang-ho"/>
    <m/>
    <n v="46"/>
    <n v="286.60000000000002"/>
    <s v="Average"/>
    <s v="Popular"/>
    <s v="No"/>
    <s v="Low"/>
    <n v="240.60000000000002"/>
    <n v="623.04347826086962"/>
  </r>
  <r>
    <s v="NFX-101121"/>
    <s v="Dark Empire 4"/>
    <s v="TV Show"/>
    <x v="0"/>
    <n v="2023"/>
    <x v="9"/>
    <s v="2024-09-20"/>
    <n v="39"/>
    <s v="G"/>
    <n v="8.9"/>
    <n v="405.1"/>
    <s v="Korean"/>
    <s v="James Cameron"/>
    <s v="Deepika Padukone"/>
    <n v="1"/>
    <n v="135"/>
    <n v="548"/>
    <s v="Hit"/>
    <s v="Blockbuster"/>
    <s v="Yes"/>
    <s v="High"/>
    <n v="413"/>
    <n v="405.92592592592592"/>
  </r>
  <r>
    <s v="NFX-101122"/>
    <s v="Iron Journey 4"/>
    <s v="Movie"/>
    <x v="4"/>
    <n v="2002"/>
    <x v="6"/>
    <s v="2020-04-03"/>
    <n v="90"/>
    <s v="18+"/>
    <n v="8.8000000000000007"/>
    <n v="506.3"/>
    <s v="German"/>
    <s v="Christopher Nolan"/>
    <s v="Tom Hardy"/>
    <m/>
    <n v="92"/>
    <n v="113.8"/>
    <s v="Hit"/>
    <s v="Blockbuster"/>
    <s v="No"/>
    <s v="Low"/>
    <n v="21.799999999999997"/>
    <n v="123.69565217391305"/>
  </r>
  <r>
    <s v="NFX-101123"/>
    <s v="Last Frontier 9"/>
    <s v="Movie"/>
    <x v="0"/>
    <n v="2017"/>
    <x v="8"/>
    <s v="2020-06-24"/>
    <n v="169"/>
    <s v="18+"/>
    <n v="6.9"/>
    <n v="479.9"/>
    <s v="English"/>
    <s v="Denis Villeneuve"/>
    <s v="Leonardo DiCaprio"/>
    <m/>
    <n v="136"/>
    <n v="349.3"/>
    <s v="Average"/>
    <s v="Blockbuster"/>
    <s v="No"/>
    <s v="High"/>
    <n v="213.3"/>
    <n v="256.83823529411762"/>
  </r>
  <r>
    <s v="NFX-101124"/>
    <s v="Secret Storm 4"/>
    <s v="Movie"/>
    <x v="0"/>
    <n v="2015"/>
    <x v="6"/>
    <s v="2022-11-08"/>
    <n v="155"/>
    <s v="16+"/>
    <n v="8.3000000000000007"/>
    <n v="551.20000000000005"/>
    <s v="Japanese"/>
    <s v="Bong Joon-ho"/>
    <s v="Robert Downey Jr."/>
    <m/>
    <n v="105"/>
    <n v="203.8"/>
    <s v="Hit"/>
    <s v="Blockbuster"/>
    <s v="No"/>
    <s v="High"/>
    <n v="98.800000000000011"/>
    <n v="194.0952380952381"/>
  </r>
  <r>
    <s v="NFX-101125"/>
    <s v="Burning Horizon 9"/>
    <s v="TV Show"/>
    <x v="7"/>
    <n v="2003"/>
    <x v="1"/>
    <s v="2022-07-08"/>
    <n v="32"/>
    <s v="PG-13"/>
    <n v="4.8"/>
    <n v="395.8"/>
    <s v="Hindi"/>
    <s v="Martin Scorsese"/>
    <s v="Timothée Chalamet"/>
    <n v="2"/>
    <n v="53"/>
    <n v="196.5"/>
    <s v="Flop"/>
    <s v="Popular"/>
    <s v="No"/>
    <s v="Low"/>
    <n v="143.5"/>
    <n v="370.75471698113211"/>
  </r>
  <r>
    <s v="NFX-101126"/>
    <s v="Golden Storm 9"/>
    <s v="TV Show"/>
    <x v="0"/>
    <n v="2007"/>
    <x v="7"/>
    <s v="2023-12-18"/>
    <n v="60"/>
    <s v="16+"/>
    <n v="7.9"/>
    <n v="136.19999999999999"/>
    <s v="Spanish"/>
    <s v="Quentin Tarantino"/>
    <s v="Chris Evans"/>
    <n v="2"/>
    <n v="13"/>
    <n v="34.5"/>
    <s v="Average"/>
    <s v="Normal"/>
    <s v="No"/>
    <s v="Low"/>
    <n v="21.5"/>
    <n v="265.38461538461536"/>
  </r>
  <r>
    <s v="NFX-101127"/>
    <s v="Broken Valley 9"/>
    <s v="Movie"/>
    <x v="4"/>
    <n v="2019"/>
    <x v="2"/>
    <s v="2022-04-27"/>
    <n v="97"/>
    <s v="PG"/>
    <n v="5.4"/>
    <n v="56.5"/>
    <s v="Korean"/>
    <s v="James Cameron"/>
    <s v="Jennifer Lawrence"/>
    <m/>
    <n v="44"/>
    <n v="99.3"/>
    <s v="Flop"/>
    <s v="Normal"/>
    <s v="Yes"/>
    <s v="Low"/>
    <n v="55.3"/>
    <n v="225.68181818181819"/>
  </r>
  <r>
    <s v="NFX-101128"/>
    <s v="Burning Valley 5"/>
    <s v="TV Show"/>
    <x v="0"/>
    <n v="2010"/>
    <x v="1"/>
    <s v="2021-11-10"/>
    <n v="44"/>
    <s v="18+"/>
    <n v="4.5999999999999996"/>
    <n v="547.6"/>
    <s v="German"/>
    <s v="Guillermo del Toro"/>
    <s v="Robert Downey Jr."/>
    <n v="4"/>
    <n v="43"/>
    <n v="238.1"/>
    <s v="Flop"/>
    <s v="Blockbuster"/>
    <s v="No"/>
    <s v="Low"/>
    <n v="195.1"/>
    <n v="553.72093023255809"/>
  </r>
  <r>
    <s v="NFX-101129"/>
    <s v="Iron Legacy 8"/>
    <s v="TV Show"/>
    <x v="0"/>
    <n v="2017"/>
    <x v="1"/>
    <s v="2018-02-09"/>
    <n v="45"/>
    <s v="18+"/>
    <n v="5.2"/>
    <n v="148.69999999999999"/>
    <s v="Hindi"/>
    <s v="Anurag Kashyap"/>
    <s v="Lee Jung-jae"/>
    <n v="7"/>
    <n v="54"/>
    <n v="325.10000000000002"/>
    <s v="Flop"/>
    <s v="Normal"/>
    <s v="No"/>
    <s v="Low"/>
    <n v="271.10000000000002"/>
    <n v="602.03703703703707"/>
  </r>
  <r>
    <s v="NFX-101130"/>
    <s v="Lost Archive 9"/>
    <s v="TV Show"/>
    <x v="7"/>
    <n v="2000"/>
    <x v="2"/>
    <s v="2022-04-02"/>
    <n v="58"/>
    <s v="PG"/>
    <n v="5.6"/>
    <n v="509"/>
    <s v="French"/>
    <s v="Guillermo del Toro"/>
    <s v="Deepika Padukone"/>
    <n v="7"/>
    <n v="49"/>
    <n v="187.6"/>
    <s v="Flop"/>
    <s v="Blockbuster"/>
    <s v="Yes"/>
    <s v="Low"/>
    <n v="138.6"/>
    <n v="382.85714285714283"/>
  </r>
  <r>
    <s v="NFX-101131"/>
    <s v="Secret City 7"/>
    <s v="Movie"/>
    <x v="9"/>
    <n v="2025"/>
    <x v="8"/>
    <s v="2018-03-23"/>
    <n v="99"/>
    <s v="PG"/>
    <n v="5.3"/>
    <n v="544.20000000000005"/>
    <s v="German"/>
    <s v="Guillermo del Toro"/>
    <s v="Timothée Chalamet"/>
    <m/>
    <n v="191"/>
    <n v="537.9"/>
    <s v="Flop"/>
    <s v="Blockbuster"/>
    <s v="Yes"/>
    <s v="High"/>
    <n v="346.9"/>
    <n v="281.62303664921467"/>
  </r>
  <r>
    <s v="NFX-101132"/>
    <s v="Crystal Signal 3"/>
    <s v="Movie"/>
    <x v="9"/>
    <n v="2007"/>
    <x v="9"/>
    <s v="2020-08-10"/>
    <n v="178"/>
    <s v="G"/>
    <n v="6.7"/>
    <n v="386.6"/>
    <s v="Spanish"/>
    <s v="James Cameron"/>
    <s v="Robert Downey Jr."/>
    <m/>
    <n v="143"/>
    <n v="685.5"/>
    <s v="Average"/>
    <s v="Popular"/>
    <s v="Yes"/>
    <s v="High"/>
    <n v="542.5"/>
    <n v="479.37062937062933"/>
  </r>
  <r>
    <s v="NFX-101133"/>
    <s v="Golden Odyssey 8"/>
    <s v="Movie"/>
    <x v="2"/>
    <n v="2001"/>
    <x v="2"/>
    <s v="2020-02-21"/>
    <n v="97"/>
    <s v="18+"/>
    <n v="9.3000000000000007"/>
    <n v="597.1"/>
    <s v="German"/>
    <s v="Rajkumar Hirani"/>
    <s v="Jennifer Lawrence"/>
    <m/>
    <n v="191"/>
    <n v="1217.2"/>
    <s v="Hit"/>
    <s v="Blockbuster"/>
    <s v="No"/>
    <s v="High"/>
    <n v="1026.2"/>
    <n v="637.27748691099487"/>
  </r>
  <r>
    <s v="NFX-101134"/>
    <s v="Dark Horizon 6"/>
    <s v="TV Show"/>
    <x v="4"/>
    <n v="2020"/>
    <x v="9"/>
    <s v="2024-07-07"/>
    <n v="50"/>
    <s v="G"/>
    <n v="9"/>
    <n v="519.1"/>
    <s v="French"/>
    <s v="Steven Spielberg"/>
    <s v="Ranbir Kapoor"/>
    <n v="3"/>
    <n v="21"/>
    <n v="82.1"/>
    <s v="Hit"/>
    <s v="Blockbuster"/>
    <s v="Yes"/>
    <s v="Low"/>
    <n v="61.099999999999994"/>
    <n v="390.95238095238096"/>
  </r>
  <r>
    <s v="NFX-101135"/>
    <s v="Rising Horizon 6"/>
    <s v="TV Show"/>
    <x v="8"/>
    <n v="2007"/>
    <x v="6"/>
    <s v="2020-04-22"/>
    <n v="33"/>
    <s v="PG"/>
    <n v="7.8"/>
    <n v="97.5"/>
    <s v="Spanish"/>
    <s v="Anurag Kashyap"/>
    <s v="Robert Downey Jr."/>
    <n v="5"/>
    <n v="123"/>
    <n v="359.1"/>
    <s v="Average"/>
    <s v="Normal"/>
    <s v="Yes"/>
    <s v="High"/>
    <n v="236.10000000000002"/>
    <n v="291.95121951219517"/>
  </r>
  <r>
    <s v="NFX-101136"/>
    <s v="Rising Code 6"/>
    <s v="Movie"/>
    <x v="8"/>
    <n v="2015"/>
    <x v="2"/>
    <s v="2023-11-17"/>
    <n v="90"/>
    <s v="16+"/>
    <n v="5.0999999999999996"/>
    <n v="391.1"/>
    <s v="German"/>
    <s v="Sanjay Leela Bhansali"/>
    <s v="Timothée Chalamet"/>
    <m/>
    <n v="161"/>
    <n v="840.7"/>
    <s v="Flop"/>
    <s v="Popular"/>
    <s v="No"/>
    <s v="High"/>
    <n v="679.7"/>
    <n v="522.17391304347836"/>
  </r>
  <r>
    <s v="NFX-101137"/>
    <s v="Lost Echo 4"/>
    <s v="Movie"/>
    <x v="3"/>
    <n v="2005"/>
    <x v="8"/>
    <s v="2020-03-22"/>
    <n v="111"/>
    <s v="16+"/>
    <n v="7.3"/>
    <n v="174.4"/>
    <s v="English"/>
    <s v="Greta Gerwig"/>
    <s v="Deepika Padukone"/>
    <m/>
    <n v="124"/>
    <n v="613"/>
    <s v="Average"/>
    <s v="Normal"/>
    <s v="No"/>
    <s v="High"/>
    <n v="489"/>
    <n v="494.35483870967738"/>
  </r>
  <r>
    <s v="NFX-101138"/>
    <s v="Burning Storm 9"/>
    <s v="TV Show"/>
    <x v="5"/>
    <n v="2023"/>
    <x v="7"/>
    <s v="2023-06-30"/>
    <n v="53"/>
    <s v="PG"/>
    <n v="7.4"/>
    <n v="129.19999999999999"/>
    <s v="French"/>
    <s v="Park Chan-wook"/>
    <s v="Ranbir Kapoor"/>
    <n v="3"/>
    <n v="132"/>
    <n v="315.10000000000002"/>
    <s v="Average"/>
    <s v="Normal"/>
    <s v="Yes"/>
    <s v="High"/>
    <n v="183.10000000000002"/>
    <n v="238.71212121212122"/>
  </r>
  <r>
    <s v="NFX-101139"/>
    <s v="Broken Protocol 6"/>
    <s v="Movie"/>
    <x v="2"/>
    <n v="2018"/>
    <x v="3"/>
    <s v="2022-04-21"/>
    <n v="149"/>
    <s v="18+"/>
    <n v="8.9"/>
    <n v="259.60000000000002"/>
    <s v="French"/>
    <s v="Greta Gerwig"/>
    <s v="Song Kang-ho"/>
    <m/>
    <n v="198"/>
    <n v="243.4"/>
    <s v="Hit"/>
    <s v="Popular"/>
    <s v="No"/>
    <s v="High"/>
    <n v="45.400000000000006"/>
    <n v="122.92929292929293"/>
  </r>
  <r>
    <s v="NFX-101140"/>
    <s v="Secret Signal 4"/>
    <s v="Movie"/>
    <x v="2"/>
    <n v="2017"/>
    <x v="9"/>
    <s v="2018-12-22"/>
    <n v="145"/>
    <s v="16+"/>
    <n v="8.1"/>
    <n v="218.9"/>
    <s v="German"/>
    <s v="Martin Scorsese"/>
    <s v="Robert Downey Jr."/>
    <m/>
    <n v="61"/>
    <n v="348.7"/>
    <s v="Hit"/>
    <s v="Popular"/>
    <s v="No"/>
    <s v="Low"/>
    <n v="287.7"/>
    <n v="571.63934426229503"/>
  </r>
  <r>
    <s v="NFX-101141"/>
    <s v="Crystal Protocol 5"/>
    <s v="TV Show"/>
    <x v="1"/>
    <n v="2003"/>
    <x v="5"/>
    <s v="2018-02-03"/>
    <n v="55"/>
    <s v="PG-13"/>
    <n v="5.2"/>
    <n v="208.9"/>
    <s v="Korean"/>
    <s v="Ridley Scott"/>
    <s v="Leonardo DiCaprio"/>
    <n v="7"/>
    <n v="66"/>
    <n v="257.3"/>
    <s v="Flop"/>
    <s v="Popular"/>
    <s v="No"/>
    <s v="Low"/>
    <n v="191.3"/>
    <n v="389.84848484848487"/>
  </r>
  <r>
    <s v="NFX-101142"/>
    <s v="Burning City 2"/>
    <s v="TV Show"/>
    <x v="9"/>
    <n v="2012"/>
    <x v="6"/>
    <s v="2018-02-22"/>
    <n v="39"/>
    <s v="18+"/>
    <n v="4.8"/>
    <n v="206.6"/>
    <s v="Japanese"/>
    <s v="Christopher Nolan"/>
    <s v="Timothée Chalamet"/>
    <n v="7"/>
    <n v="35"/>
    <n v="190.4"/>
    <s v="Flop"/>
    <s v="Popular"/>
    <s v="No"/>
    <s v="Low"/>
    <n v="155.4"/>
    <n v="544"/>
  </r>
  <r>
    <s v="NFX-101143"/>
    <s v="Hidden Code 9"/>
    <s v="Movie"/>
    <x v="1"/>
    <n v="2018"/>
    <x v="9"/>
    <s v="2022-05-30"/>
    <n v="110"/>
    <s v="PG"/>
    <n v="9.4"/>
    <n v="257.5"/>
    <s v="Korean"/>
    <s v="Steven Spielberg"/>
    <s v="Scarlett Johansson"/>
    <m/>
    <n v="27"/>
    <n v="57"/>
    <s v="Hit"/>
    <s v="Popular"/>
    <s v="Yes"/>
    <s v="Low"/>
    <n v="30"/>
    <n v="211.11111111111111"/>
  </r>
  <r>
    <s v="NFX-101144"/>
    <s v="Rising Valley 1"/>
    <s v="TV Show"/>
    <x v="4"/>
    <n v="2008"/>
    <x v="4"/>
    <s v="2021-10-14"/>
    <n v="37"/>
    <s v="18+"/>
    <n v="6"/>
    <n v="450.8"/>
    <s v="English"/>
    <s v="Quentin Tarantino"/>
    <s v="Ranbir Kapoor"/>
    <n v="3"/>
    <n v="93"/>
    <n v="374.6"/>
    <s v="Average"/>
    <s v="Blockbuster"/>
    <s v="No"/>
    <s v="Low"/>
    <n v="281.60000000000002"/>
    <n v="402.7956989247312"/>
  </r>
  <r>
    <s v="NFX-101145"/>
    <s v="Dark Protocol 9"/>
    <s v="Movie"/>
    <x v="8"/>
    <n v="2012"/>
    <x v="2"/>
    <s v="2021-04-08"/>
    <n v="81"/>
    <s v="PG"/>
    <n v="5.8"/>
    <n v="297.5"/>
    <s v="Korean"/>
    <s v="Quentin Tarantino"/>
    <s v="Chris Evans"/>
    <m/>
    <n v="157"/>
    <n v="829.7"/>
    <s v="Flop"/>
    <s v="Popular"/>
    <s v="Yes"/>
    <s v="High"/>
    <n v="672.7"/>
    <n v="528.47133757961785"/>
  </r>
  <r>
    <s v="NFX-101146"/>
    <s v="Rising Valley 4"/>
    <s v="Movie"/>
    <x v="2"/>
    <n v="2024"/>
    <x v="8"/>
    <s v="2022-11-13"/>
    <n v="132"/>
    <s v="16+"/>
    <n v="8"/>
    <n v="475.7"/>
    <s v="Korean"/>
    <s v="Guillermo del Toro"/>
    <s v="Deepika Padukone"/>
    <m/>
    <n v="167"/>
    <n v="483.6"/>
    <s v="Hit"/>
    <s v="Blockbuster"/>
    <s v="No"/>
    <s v="High"/>
    <n v="316.60000000000002"/>
    <n v="289.5808383233533"/>
  </r>
  <r>
    <s v="NFX-101147"/>
    <s v="Lost Empire 8"/>
    <s v="TV Show"/>
    <x v="9"/>
    <n v="2017"/>
    <x v="8"/>
    <s v="2020-12-13"/>
    <n v="46"/>
    <s v="16+"/>
    <n v="8.6"/>
    <n v="408.8"/>
    <s v="French"/>
    <s v="Zoya Akhtar"/>
    <s v="Song Kang-ho"/>
    <n v="5"/>
    <n v="34"/>
    <n v="172.5"/>
    <s v="Hit"/>
    <s v="Blockbuster"/>
    <s v="No"/>
    <s v="Low"/>
    <n v="138.5"/>
    <n v="507.35294117647055"/>
  </r>
  <r>
    <s v="NFX-101148"/>
    <s v="Midnight Frontier 2"/>
    <s v="Movie"/>
    <x v="6"/>
    <n v="2016"/>
    <x v="1"/>
    <s v="2023-03-06"/>
    <n v="155"/>
    <s v="16+"/>
    <n v="7"/>
    <n v="403"/>
    <s v="Korean"/>
    <s v="Sanjay Leela Bhansali"/>
    <s v="Leonardo DiCaprio"/>
    <m/>
    <n v="126"/>
    <n v="538.4"/>
    <s v="Average"/>
    <s v="Blockbuster"/>
    <s v="No"/>
    <s v="High"/>
    <n v="412.4"/>
    <n v="427.30158730158729"/>
  </r>
  <r>
    <s v="NFX-101149"/>
    <s v="Lost Legacy 3"/>
    <s v="TV Show"/>
    <x v="1"/>
    <n v="2004"/>
    <x v="5"/>
    <s v="2024-05-27"/>
    <n v="30"/>
    <s v="PG"/>
    <n v="6.8"/>
    <n v="463.9"/>
    <s v="Japanese"/>
    <s v="Ridley Scott"/>
    <s v="Ranbir Kapoor"/>
    <n v="8"/>
    <n v="73"/>
    <n v="158.5"/>
    <s v="Average"/>
    <s v="Blockbuster"/>
    <s v="Yes"/>
    <s v="Low"/>
    <n v="85.5"/>
    <n v="217.12328767123287"/>
  </r>
  <r>
    <s v="NFX-101150"/>
    <s v="Lost Signal 4"/>
    <s v="Movie"/>
    <x v="5"/>
    <n v="2008"/>
    <x v="4"/>
    <s v="2018-04-08"/>
    <n v="112"/>
    <s v="G"/>
    <n v="7.5"/>
    <n v="183.3"/>
    <s v="French"/>
    <s v="Bong Joon-ho"/>
    <s v="Leonardo DiCaprio"/>
    <m/>
    <n v="91"/>
    <n v="430.7"/>
    <s v="Average"/>
    <s v="Normal"/>
    <s v="Yes"/>
    <s v="Low"/>
    <n v="339.7"/>
    <n v="473.2967032967033"/>
  </r>
  <r>
    <s v="NFX-101151"/>
    <s v="Lost Odyssey 3"/>
    <s v="TV Show"/>
    <x v="10"/>
    <n v="2015"/>
    <x v="8"/>
    <s v="2021-01-29"/>
    <n v="59"/>
    <s v="PG-13"/>
    <n v="8.1999999999999993"/>
    <n v="286.60000000000002"/>
    <s v="Hindi"/>
    <s v="Christopher Nolan"/>
    <s v="Scarlett Johansson"/>
    <n v="5"/>
    <n v="52"/>
    <n v="144.4"/>
    <s v="Hit"/>
    <s v="Popular"/>
    <s v="No"/>
    <s v="Low"/>
    <n v="92.4"/>
    <n v="277.69230769230768"/>
  </r>
  <r>
    <s v="NFX-101152"/>
    <s v="Secret Protocol 7"/>
    <s v="TV Show"/>
    <x v="8"/>
    <n v="2020"/>
    <x v="2"/>
    <s v="2021-05-15"/>
    <n v="48"/>
    <s v="16+"/>
    <n v="9.5"/>
    <n v="65"/>
    <s v="Spanish"/>
    <s v="Martin Scorsese"/>
    <s v="Timothée Chalamet"/>
    <n v="1"/>
    <n v="55"/>
    <n v="297.3"/>
    <s v="Hit"/>
    <s v="Normal"/>
    <s v="No"/>
    <s v="Low"/>
    <n v="242.3"/>
    <n v="540.5454545454545"/>
  </r>
  <r>
    <s v="NFX-101153"/>
    <s v="Iron Signal 3"/>
    <s v="TV Show"/>
    <x v="4"/>
    <n v="2005"/>
    <x v="1"/>
    <s v="2024-06-15"/>
    <n v="31"/>
    <s v="G"/>
    <n v="6.3"/>
    <n v="18.5"/>
    <s v="French"/>
    <s v="Ridley Scott"/>
    <s v="Ranbir Kapoor"/>
    <n v="6"/>
    <n v="59"/>
    <n v="296.8"/>
    <s v="Average"/>
    <s v="Normal"/>
    <s v="Yes"/>
    <s v="Low"/>
    <n v="237.8"/>
    <n v="503.05084745762719"/>
  </r>
  <r>
    <s v="NFX-101154"/>
    <s v="Iron Echo 7"/>
    <s v="TV Show"/>
    <x v="6"/>
    <n v="2025"/>
    <x v="1"/>
    <s v="2024-02-19"/>
    <n v="31"/>
    <s v="G"/>
    <n v="6.9"/>
    <n v="154.6"/>
    <s v="Spanish"/>
    <s v="Sanjay Leela Bhansali"/>
    <s v="Jennifer Lawrence"/>
    <n v="4"/>
    <n v="169"/>
    <n v="706.2"/>
    <s v="Average"/>
    <s v="Normal"/>
    <s v="Yes"/>
    <s v="High"/>
    <n v="537.20000000000005"/>
    <n v="417.86982248520712"/>
  </r>
  <r>
    <s v="NFX-101155"/>
    <s v="Secret Chronicles 2"/>
    <s v="TV Show"/>
    <x v="8"/>
    <n v="2019"/>
    <x v="1"/>
    <s v="2022-08-08"/>
    <n v="56"/>
    <s v="18+"/>
    <n v="8.1"/>
    <n v="265.8"/>
    <s v="Korean"/>
    <s v="Steven Spielberg"/>
    <s v="Scarlett Johansson"/>
    <n v="6"/>
    <n v="84"/>
    <n v="117.7"/>
    <s v="Hit"/>
    <s v="Popular"/>
    <s v="No"/>
    <s v="Low"/>
    <n v="33.700000000000003"/>
    <n v="140.11904761904762"/>
  </r>
  <r>
    <s v="NFX-101156"/>
    <s v="Last Empire 5"/>
    <s v="Movie"/>
    <x v="9"/>
    <n v="2009"/>
    <x v="5"/>
    <s v="2019-07-21"/>
    <n v="88"/>
    <s v="PG"/>
    <n v="8.3000000000000007"/>
    <n v="342"/>
    <s v="Korean"/>
    <s v="Rajkumar Hirani"/>
    <s v="Ryan Gosling"/>
    <m/>
    <n v="111"/>
    <n v="297.39999999999998"/>
    <s v="Hit"/>
    <s v="Popular"/>
    <s v="Yes"/>
    <s v="High"/>
    <n v="186.39999999999998"/>
    <n v="267.9279279279279"/>
  </r>
  <r>
    <s v="NFX-101157"/>
    <s v="Iron Chronicles 1"/>
    <s v="TV Show"/>
    <x v="1"/>
    <n v="2025"/>
    <x v="0"/>
    <s v="2020-11-15"/>
    <n v="47"/>
    <s v="PG-13"/>
    <n v="8.5"/>
    <n v="90"/>
    <s v="Spanish"/>
    <s v="Quentin Tarantino"/>
    <s v="Jennifer Lawrence"/>
    <n v="1"/>
    <n v="59"/>
    <n v="75.400000000000006"/>
    <s v="Hit"/>
    <s v="Normal"/>
    <s v="No"/>
    <s v="Low"/>
    <n v="16.400000000000006"/>
    <n v="127.79661016949153"/>
  </r>
  <r>
    <s v="NFX-101158"/>
    <s v="Fading Echo 4"/>
    <s v="TV Show"/>
    <x v="3"/>
    <n v="2011"/>
    <x v="8"/>
    <s v="2022-02-17"/>
    <n v="55"/>
    <s v="PG"/>
    <n v="7.7"/>
    <n v="140.6"/>
    <s v="Korean"/>
    <s v="Rajkumar Hirani"/>
    <s v="Scarlett Johansson"/>
    <n v="3"/>
    <n v="41"/>
    <n v="258"/>
    <s v="Average"/>
    <s v="Normal"/>
    <s v="Yes"/>
    <s v="Low"/>
    <n v="217"/>
    <n v="629.26829268292681"/>
  </r>
  <r>
    <s v="NFX-101159"/>
    <s v="Shadow Code 4"/>
    <s v="TV Show"/>
    <x v="10"/>
    <n v="2004"/>
    <x v="5"/>
    <s v="2023-07-28"/>
    <n v="57"/>
    <s v="G"/>
    <n v="5.7"/>
    <n v="244.3"/>
    <s v="Japanese"/>
    <s v="Park Chan-wook"/>
    <s v="Shah Rukh Khan"/>
    <n v="6"/>
    <n v="152"/>
    <n v="756.7"/>
    <s v="Flop"/>
    <s v="Popular"/>
    <s v="Yes"/>
    <s v="High"/>
    <n v="604.70000000000005"/>
    <n v="497.8289473684211"/>
  </r>
  <r>
    <s v="NFX-101160"/>
    <s v="Iron Frontier 4"/>
    <s v="TV Show"/>
    <x v="1"/>
    <n v="2025"/>
    <x v="0"/>
    <s v="2023-04-23"/>
    <n v="53"/>
    <s v="G"/>
    <n v="8.8000000000000007"/>
    <n v="555.79999999999995"/>
    <s v="German"/>
    <s v="Bong Joon-ho"/>
    <s v="Brad Pitt"/>
    <n v="6"/>
    <n v="7"/>
    <n v="30.5"/>
    <s v="Hit"/>
    <s v="Blockbuster"/>
    <s v="Yes"/>
    <s v="Low"/>
    <n v="23.5"/>
    <n v="435.71428571428567"/>
  </r>
  <r>
    <s v="NFX-101161"/>
    <s v="Midnight Odyssey 6"/>
    <s v="Movie"/>
    <x v="1"/>
    <n v="2008"/>
    <x v="2"/>
    <s v="2023-05-15"/>
    <n v="92"/>
    <s v="PG"/>
    <n v="8.5"/>
    <n v="12.8"/>
    <s v="French"/>
    <s v="Ridley Scott"/>
    <s v="Robert Downey Jr."/>
    <m/>
    <n v="173"/>
    <n v="374.3"/>
    <s v="Hit"/>
    <s v="Normal"/>
    <s v="Yes"/>
    <s v="High"/>
    <n v="201.3"/>
    <n v="216.35838150289018"/>
  </r>
  <r>
    <s v="NFX-101162"/>
    <s v="Last Chronicles 1"/>
    <s v="Movie"/>
    <x v="8"/>
    <n v="2014"/>
    <x v="8"/>
    <s v="2020-10-23"/>
    <n v="151"/>
    <s v="18+"/>
    <n v="8.1"/>
    <n v="381.6"/>
    <s v="Spanish"/>
    <s v="Martin Scorsese"/>
    <s v="Jennifer Lawrence"/>
    <m/>
    <n v="26"/>
    <n v="97.7"/>
    <s v="Hit"/>
    <s v="Popular"/>
    <s v="No"/>
    <s v="Low"/>
    <n v="71.7"/>
    <n v="375.76923076923077"/>
  </r>
  <r>
    <s v="NFX-101163"/>
    <s v="Broken Chronicles 4"/>
    <s v="Movie"/>
    <x v="3"/>
    <n v="2003"/>
    <x v="4"/>
    <s v="2018-10-04"/>
    <n v="119"/>
    <s v="PG"/>
    <n v="7.9"/>
    <n v="421.9"/>
    <s v="Hindi"/>
    <s v="Park Chan-wook"/>
    <s v="Scarlett Johansson"/>
    <m/>
    <n v="177"/>
    <n v="1008.9"/>
    <s v="Average"/>
    <s v="Blockbuster"/>
    <s v="Yes"/>
    <s v="High"/>
    <n v="831.9"/>
    <n v="570"/>
  </r>
  <r>
    <s v="NFX-101164"/>
    <s v="Last City 9"/>
    <s v="Movie"/>
    <x v="10"/>
    <n v="2014"/>
    <x v="4"/>
    <s v="2022-05-26"/>
    <n v="96"/>
    <s v="18+"/>
    <n v="7.6"/>
    <n v="178.5"/>
    <s v="Spanish"/>
    <s v="Zoya Akhtar"/>
    <s v="Ryan Gosling"/>
    <m/>
    <n v="163"/>
    <n v="227.6"/>
    <s v="Average"/>
    <s v="Normal"/>
    <s v="No"/>
    <s v="High"/>
    <n v="64.599999999999994"/>
    <n v="139.6319018404908"/>
  </r>
  <r>
    <s v="NFX-101165"/>
    <s v="Shadow Frontier 2"/>
    <s v="TV Show"/>
    <x v="7"/>
    <n v="2011"/>
    <x v="2"/>
    <s v="2022-11-12"/>
    <n v="57"/>
    <s v="18+"/>
    <n v="6.5"/>
    <n v="598.6"/>
    <s v="French"/>
    <s v="Sanjay Leela Bhansali"/>
    <s v="Chris Evans"/>
    <n v="2"/>
    <n v="45"/>
    <n v="119"/>
    <s v="Average"/>
    <s v="Blockbuster"/>
    <s v="No"/>
    <s v="Low"/>
    <n v="74"/>
    <n v="264.44444444444446"/>
  </r>
  <r>
    <s v="NFX-101166"/>
    <s v="Silent Frontier 4"/>
    <s v="TV Show"/>
    <x v="9"/>
    <n v="2023"/>
    <x v="3"/>
    <s v="2023-07-28"/>
    <n v="60"/>
    <s v="PG"/>
    <n v="5.2"/>
    <n v="107.6"/>
    <s v="French"/>
    <s v="Bong Joon-ho"/>
    <s v="Leonardo DiCaprio"/>
    <n v="4"/>
    <n v="83"/>
    <n v="400.1"/>
    <s v="Flop"/>
    <s v="Normal"/>
    <s v="Yes"/>
    <s v="Low"/>
    <n v="317.10000000000002"/>
    <n v="482.0481927710843"/>
  </r>
  <r>
    <s v="NFX-101167"/>
    <s v="Golden Echo 4"/>
    <s v="Movie"/>
    <x v="0"/>
    <n v="2019"/>
    <x v="0"/>
    <s v="2024-09-04"/>
    <n v="101"/>
    <s v="PG"/>
    <n v="6.2"/>
    <n v="198.6"/>
    <s v="French"/>
    <s v="Quentin Tarantino"/>
    <s v="Jennifer Lawrence"/>
    <m/>
    <n v="18"/>
    <n v="59.7"/>
    <s v="Average"/>
    <s v="Normal"/>
    <s v="Yes"/>
    <s v="Low"/>
    <n v="41.7"/>
    <n v="331.66666666666669"/>
  </r>
  <r>
    <s v="NFX-101168"/>
    <s v="Burning Code 2"/>
    <s v="TV Show"/>
    <x v="10"/>
    <n v="2004"/>
    <x v="8"/>
    <s v="2024-08-04"/>
    <n v="32"/>
    <s v="16+"/>
    <n v="8"/>
    <n v="14.2"/>
    <s v="Hindi"/>
    <s v="Zoya Akhtar"/>
    <s v="Song Kang-ho"/>
    <n v="1"/>
    <n v="86"/>
    <n v="421.1"/>
    <s v="Hit"/>
    <s v="Normal"/>
    <s v="No"/>
    <s v="Low"/>
    <n v="335.1"/>
    <n v="489.65116279069775"/>
  </r>
  <r>
    <s v="NFX-101169"/>
    <s v="Lost Empire 3"/>
    <s v="TV Show"/>
    <x v="1"/>
    <n v="2002"/>
    <x v="8"/>
    <s v="2020-01-05"/>
    <n v="38"/>
    <s v="PG-13"/>
    <n v="4.5"/>
    <n v="100.3"/>
    <s v="French"/>
    <s v="Christopher Nolan"/>
    <s v="Robert Downey Jr."/>
    <n v="6"/>
    <n v="54"/>
    <n v="319.5"/>
    <s v="Flop"/>
    <s v="Normal"/>
    <s v="No"/>
    <s v="Low"/>
    <n v="265.5"/>
    <n v="591.66666666666674"/>
  </r>
  <r>
    <s v="NFX-101170"/>
    <s v="Broken Echo 7"/>
    <s v="Movie"/>
    <x v="1"/>
    <n v="2006"/>
    <x v="6"/>
    <s v="2023-06-24"/>
    <n v="132"/>
    <s v="PG"/>
    <n v="6.3"/>
    <n v="407.3"/>
    <s v="Korean"/>
    <s v="Guillermo del Toro"/>
    <s v="Ryan Gosling"/>
    <m/>
    <n v="177"/>
    <n v="733.5"/>
    <s v="Average"/>
    <s v="Blockbuster"/>
    <s v="Yes"/>
    <s v="High"/>
    <n v="556.5"/>
    <n v="414.40677966101697"/>
  </r>
  <r>
    <s v="NFX-101171"/>
    <s v="Shadow Protocol 9"/>
    <s v="Movie"/>
    <x v="10"/>
    <n v="2015"/>
    <x v="9"/>
    <s v="2023-01-10"/>
    <n v="108"/>
    <s v="PG-13"/>
    <n v="7"/>
    <n v="516.6"/>
    <s v="Hindi"/>
    <s v="Ridley Scott"/>
    <s v="Emma Stone"/>
    <m/>
    <n v="20"/>
    <n v="35.5"/>
    <s v="Average"/>
    <s v="Blockbuster"/>
    <s v="No"/>
    <s v="Low"/>
    <n v="15.5"/>
    <n v="177.5"/>
  </r>
  <r>
    <s v="NFX-101172"/>
    <s v="Golden Signal 5"/>
    <s v="Movie"/>
    <x v="4"/>
    <n v="2022"/>
    <x v="1"/>
    <s v="2024-02-16"/>
    <n v="102"/>
    <s v="PG"/>
    <n v="9.5"/>
    <n v="12.7"/>
    <s v="Japanese"/>
    <s v="Anurag Kashyap"/>
    <s v="Deepika Padukone"/>
    <m/>
    <n v="198"/>
    <n v="694.3"/>
    <s v="Hit"/>
    <s v="Normal"/>
    <s v="Yes"/>
    <s v="High"/>
    <n v="496.29999999999995"/>
    <n v="350.65656565656565"/>
  </r>
  <r>
    <s v="NFX-101173"/>
    <s v="Crystal Empire 8"/>
    <s v="Movie"/>
    <x v="0"/>
    <n v="2014"/>
    <x v="1"/>
    <s v="2022-05-27"/>
    <n v="178"/>
    <s v="16+"/>
    <n v="7.2"/>
    <n v="250.2"/>
    <s v="Korean"/>
    <s v="Anurag Kashyap"/>
    <s v="Deepika Padukone"/>
    <m/>
    <n v="196"/>
    <n v="1191.8"/>
    <s v="Average"/>
    <s v="Popular"/>
    <s v="No"/>
    <s v="High"/>
    <n v="995.8"/>
    <n v="608.0612244897959"/>
  </r>
  <r>
    <s v="NFX-101174"/>
    <s v="Shadow Empire 9"/>
    <s v="Movie"/>
    <x v="5"/>
    <n v="2013"/>
    <x v="8"/>
    <s v="2021-09-25"/>
    <n v="112"/>
    <s v="PG"/>
    <n v="6.2"/>
    <n v="60"/>
    <s v="Spanish"/>
    <s v="Steven Spielberg"/>
    <s v="Tom Hardy"/>
    <m/>
    <n v="22"/>
    <n v="113.7"/>
    <s v="Average"/>
    <s v="Normal"/>
    <s v="Yes"/>
    <s v="Low"/>
    <n v="91.7"/>
    <n v="516.81818181818176"/>
  </r>
  <r>
    <s v="NFX-101175"/>
    <s v="Silent Code 9"/>
    <s v="Movie"/>
    <x v="9"/>
    <n v="2006"/>
    <x v="5"/>
    <s v="2020-05-07"/>
    <n v="118"/>
    <s v="16+"/>
    <n v="6.4"/>
    <n v="337.3"/>
    <s v="Hindi"/>
    <s v="Guillermo del Toro"/>
    <s v="Chris Evans"/>
    <m/>
    <n v="148"/>
    <n v="295"/>
    <s v="Average"/>
    <s v="Popular"/>
    <s v="No"/>
    <s v="High"/>
    <n v="147"/>
    <n v="199.32432432432432"/>
  </r>
  <r>
    <s v="NFX-101176"/>
    <s v="Broken Protocol 7"/>
    <s v="Movie"/>
    <x v="6"/>
    <n v="2015"/>
    <x v="5"/>
    <s v="2021-03-12"/>
    <n v="144"/>
    <s v="16+"/>
    <n v="4.8"/>
    <n v="478"/>
    <s v="Hindi"/>
    <s v="Rajkumar Hirani"/>
    <s v="Robert Downey Jr."/>
    <m/>
    <n v="73"/>
    <n v="134.19999999999999"/>
    <s v="Flop"/>
    <s v="Blockbuster"/>
    <s v="No"/>
    <s v="Low"/>
    <n v="61.199999999999989"/>
    <n v="183.83561643835614"/>
  </r>
  <r>
    <s v="NFX-101177"/>
    <s v="Midnight Storm 6"/>
    <s v="Movie"/>
    <x v="8"/>
    <n v="2022"/>
    <x v="7"/>
    <s v="2022-11-20"/>
    <n v="117"/>
    <s v="PG"/>
    <n v="6"/>
    <n v="539.20000000000005"/>
    <s v="German"/>
    <s v="Anurag Kashyap"/>
    <s v="Leonardo DiCaprio"/>
    <m/>
    <n v="156"/>
    <n v="836.4"/>
    <s v="Average"/>
    <s v="Blockbuster"/>
    <s v="Yes"/>
    <s v="High"/>
    <n v="680.4"/>
    <n v="536.15384615384608"/>
  </r>
  <r>
    <s v="NFX-101178"/>
    <s v="Lost Empire 1"/>
    <s v="TV Show"/>
    <x v="0"/>
    <n v="2021"/>
    <x v="8"/>
    <s v="2024-02-23"/>
    <n v="30"/>
    <s v="PG-13"/>
    <n v="8.6"/>
    <n v="418.7"/>
    <s v="Spanish"/>
    <s v="Park Chan-wook"/>
    <s v="Timothée Chalamet"/>
    <n v="8"/>
    <n v="21"/>
    <n v="69.099999999999994"/>
    <s v="Hit"/>
    <s v="Blockbuster"/>
    <s v="No"/>
    <s v="Low"/>
    <n v="48.099999999999994"/>
    <n v="329.04761904761904"/>
  </r>
  <r>
    <s v="NFX-101179"/>
    <s v="Broken Protocol 8"/>
    <s v="TV Show"/>
    <x v="1"/>
    <n v="2005"/>
    <x v="1"/>
    <s v="2023-11-17"/>
    <n v="33"/>
    <s v="18+"/>
    <n v="6.9"/>
    <n v="561.6"/>
    <s v="French"/>
    <s v="Rajkumar Hirani"/>
    <s v="Leonardo DiCaprio"/>
    <n v="4"/>
    <n v="15"/>
    <n v="82.4"/>
    <s v="Average"/>
    <s v="Blockbuster"/>
    <s v="No"/>
    <s v="Low"/>
    <n v="67.400000000000006"/>
    <n v="549.33333333333337"/>
  </r>
  <r>
    <s v="NFX-101180"/>
    <s v="Secret Echo 2"/>
    <s v="Movie"/>
    <x v="2"/>
    <n v="2013"/>
    <x v="6"/>
    <s v="2019-10-17"/>
    <n v="173"/>
    <s v="G"/>
    <n v="4.7"/>
    <n v="126.3"/>
    <s v="Hindi"/>
    <s v="Denis Villeneuve"/>
    <s v="Brad Pitt"/>
    <m/>
    <n v="34"/>
    <n v="173.1"/>
    <s v="Flop"/>
    <s v="Normal"/>
    <s v="Yes"/>
    <s v="Low"/>
    <n v="139.1"/>
    <n v="509.11764705882348"/>
  </r>
  <r>
    <s v="NFX-101181"/>
    <s v="Iron Protocol 6"/>
    <s v="TV Show"/>
    <x v="6"/>
    <n v="2009"/>
    <x v="8"/>
    <s v="2019-03-17"/>
    <n v="54"/>
    <s v="18+"/>
    <n v="9.3000000000000007"/>
    <n v="309.7"/>
    <s v="Japanese"/>
    <s v="Rajkumar Hirani"/>
    <s v="Song Kang-ho"/>
    <n v="4"/>
    <n v="180"/>
    <n v="1090.9000000000001"/>
    <s v="Hit"/>
    <s v="Popular"/>
    <s v="No"/>
    <s v="High"/>
    <n v="910.90000000000009"/>
    <n v="606.05555555555566"/>
  </r>
  <r>
    <s v="NFX-101182"/>
    <s v="Burning Valley 9"/>
    <s v="Movie"/>
    <x v="8"/>
    <n v="2021"/>
    <x v="5"/>
    <s v="2019-02-09"/>
    <n v="166"/>
    <s v="16+"/>
    <n v="6.3"/>
    <n v="508.5"/>
    <s v="Hindi"/>
    <s v="Greta Gerwig"/>
    <s v="Ranbir Kapoor"/>
    <m/>
    <n v="137"/>
    <n v="372.7"/>
    <s v="Average"/>
    <s v="Blockbuster"/>
    <s v="No"/>
    <s v="High"/>
    <n v="235.7"/>
    <n v="272.04379562043795"/>
  </r>
  <r>
    <s v="NFX-101183"/>
    <s v="Crystal Legacy 1"/>
    <s v="TV Show"/>
    <x v="1"/>
    <n v="2012"/>
    <x v="1"/>
    <s v="2019-04-29"/>
    <n v="39"/>
    <s v="18+"/>
    <n v="7.1"/>
    <n v="157.9"/>
    <s v="German"/>
    <s v="Steven Spielberg"/>
    <s v="Robert Downey Jr."/>
    <n v="5"/>
    <n v="26"/>
    <n v="86.9"/>
    <s v="Average"/>
    <s v="Normal"/>
    <s v="No"/>
    <s v="Low"/>
    <n v="60.900000000000006"/>
    <n v="334.23076923076923"/>
  </r>
  <r>
    <s v="NFX-101184"/>
    <s v="Rising Legacy 8"/>
    <s v="TV Show"/>
    <x v="8"/>
    <n v="2017"/>
    <x v="5"/>
    <s v="2021-08-11"/>
    <n v="31"/>
    <s v="16+"/>
    <n v="4.7"/>
    <n v="284.60000000000002"/>
    <s v="French"/>
    <s v="Sanjay Leela Bhansali"/>
    <s v="Chris Evans"/>
    <n v="4"/>
    <n v="176"/>
    <n v="574.5"/>
    <s v="Flop"/>
    <s v="Popular"/>
    <s v="No"/>
    <s v="High"/>
    <n v="398.5"/>
    <n v="326.42045454545456"/>
  </r>
  <r>
    <s v="NFX-101185"/>
    <s v="Last Code 3"/>
    <s v="TV Show"/>
    <x v="8"/>
    <n v="2025"/>
    <x v="6"/>
    <s v="2023-08-12"/>
    <n v="35"/>
    <s v="PG-13"/>
    <n v="9.1999999999999993"/>
    <n v="43.4"/>
    <s v="French"/>
    <s v="Steven Spielberg"/>
    <s v="Song Kang-ho"/>
    <n v="3"/>
    <n v="194"/>
    <n v="774.3"/>
    <s v="Hit"/>
    <s v="Normal"/>
    <s v="No"/>
    <s v="High"/>
    <n v="580.29999999999995"/>
    <n v="399.12371134020617"/>
  </r>
  <r>
    <s v="NFX-101186"/>
    <s v="Rising Protocol 2"/>
    <s v="TV Show"/>
    <x v="1"/>
    <n v="2023"/>
    <x v="4"/>
    <s v="2020-06-15"/>
    <n v="45"/>
    <s v="18+"/>
    <n v="5.9"/>
    <n v="546.1"/>
    <s v="Japanese"/>
    <s v="Sanjay Leela Bhansali"/>
    <s v="Lee Jung-jae"/>
    <n v="2"/>
    <n v="184"/>
    <n v="569.20000000000005"/>
    <s v="Flop"/>
    <s v="Blockbuster"/>
    <s v="No"/>
    <s v="High"/>
    <n v="385.20000000000005"/>
    <n v="309.34782608695656"/>
  </r>
  <r>
    <s v="NFX-101187"/>
    <s v="Crystal Valley 5"/>
    <s v="TV Show"/>
    <x v="2"/>
    <n v="2005"/>
    <x v="6"/>
    <s v="2020-04-17"/>
    <n v="34"/>
    <s v="16+"/>
    <n v="9.6"/>
    <n v="353.4"/>
    <s v="Japanese"/>
    <s v="Zoya Akhtar"/>
    <s v="Robert Downey Jr."/>
    <n v="3"/>
    <n v="113"/>
    <n v="528.5"/>
    <s v="Hit"/>
    <s v="Popular"/>
    <s v="No"/>
    <s v="High"/>
    <n v="415.5"/>
    <n v="467.69911504424783"/>
  </r>
  <r>
    <s v="NFX-101188"/>
    <s v="Last Protocol 9"/>
    <s v="TV Show"/>
    <x v="5"/>
    <n v="2009"/>
    <x v="4"/>
    <s v="2018-10-31"/>
    <n v="45"/>
    <s v="18+"/>
    <n v="9.4"/>
    <n v="157"/>
    <s v="Korean"/>
    <s v="Rajkumar Hirani"/>
    <s v="Deepika Padukone"/>
    <n v="6"/>
    <n v="40"/>
    <n v="198.6"/>
    <s v="Hit"/>
    <s v="Normal"/>
    <s v="No"/>
    <s v="Low"/>
    <n v="158.6"/>
    <n v="496.5"/>
  </r>
  <r>
    <s v="NFX-101189"/>
    <s v="Fading Chronicles 5"/>
    <s v="TV Show"/>
    <x v="2"/>
    <n v="2025"/>
    <x v="6"/>
    <s v="2022-09-29"/>
    <n v="41"/>
    <s v="18+"/>
    <n v="5.9"/>
    <n v="333.9"/>
    <s v="Hindi"/>
    <s v="Rajkumar Hirani"/>
    <s v="Chris Evans"/>
    <n v="6"/>
    <n v="124"/>
    <n v="477.5"/>
    <s v="Flop"/>
    <s v="Popular"/>
    <s v="No"/>
    <s v="High"/>
    <n v="353.5"/>
    <n v="385.08064516129031"/>
  </r>
  <r>
    <s v="NFX-101190"/>
    <s v="Crystal Chronicles 5"/>
    <s v="TV Show"/>
    <x v="0"/>
    <n v="2020"/>
    <x v="4"/>
    <s v="2020-06-23"/>
    <n v="32"/>
    <s v="PG-13"/>
    <n v="5.7"/>
    <n v="173.5"/>
    <s v="German"/>
    <s v="Quentin Tarantino"/>
    <s v="Brad Pitt"/>
    <n v="2"/>
    <n v="200"/>
    <n v="870.5"/>
    <s v="Flop"/>
    <s v="Normal"/>
    <s v="No"/>
    <s v="High"/>
    <n v="670.5"/>
    <n v="435.25"/>
  </r>
  <r>
    <s v="NFX-101191"/>
    <s v="Broken Code 3"/>
    <s v="Movie"/>
    <x v="1"/>
    <n v="2013"/>
    <x v="8"/>
    <s v="2018-07-08"/>
    <n v="113"/>
    <s v="PG"/>
    <n v="4.5999999999999996"/>
    <n v="324.39999999999998"/>
    <s v="French"/>
    <s v="Anurag Kashyap"/>
    <s v="Song Kang-ho"/>
    <m/>
    <n v="11"/>
    <n v="55.3"/>
    <s v="Flop"/>
    <s v="Popular"/>
    <s v="Yes"/>
    <s v="Low"/>
    <n v="44.3"/>
    <n v="502.72727272727275"/>
  </r>
  <r>
    <s v="NFX-101192"/>
    <s v="Golden Echo 1"/>
    <s v="TV Show"/>
    <x v="3"/>
    <n v="2001"/>
    <x v="2"/>
    <s v="2020-04-16"/>
    <n v="59"/>
    <s v="16+"/>
    <n v="8.4"/>
    <n v="65.3"/>
    <s v="German"/>
    <s v="Christopher Nolan"/>
    <s v="Chris Evans"/>
    <n v="7"/>
    <n v="54"/>
    <n v="149.9"/>
    <s v="Hit"/>
    <s v="Normal"/>
    <s v="No"/>
    <s v="Low"/>
    <n v="95.9"/>
    <n v="277.59259259259261"/>
  </r>
  <r>
    <s v="NFX-101193"/>
    <s v="Last Protocol 6"/>
    <s v="Movie"/>
    <x v="5"/>
    <n v="2021"/>
    <x v="3"/>
    <s v="2019-05-29"/>
    <n v="86"/>
    <s v="G"/>
    <n v="8.9"/>
    <n v="264.5"/>
    <s v="Hindi"/>
    <s v="Greta Gerwig"/>
    <s v="Lee Jung-jae"/>
    <m/>
    <n v="116"/>
    <n v="657.9"/>
    <s v="Hit"/>
    <s v="Popular"/>
    <s v="Yes"/>
    <s v="High"/>
    <n v="541.9"/>
    <n v="567.15517241379314"/>
  </r>
  <r>
    <s v="NFX-101194"/>
    <s v="Broken Horizon 8"/>
    <s v="TV Show"/>
    <x v="5"/>
    <n v="2008"/>
    <x v="2"/>
    <s v="2018-08-27"/>
    <n v="60"/>
    <s v="16+"/>
    <n v="5.3"/>
    <n v="64.5"/>
    <s v="German"/>
    <s v="Denis Villeneuve"/>
    <s v="Shah Rukh Khan"/>
    <n v="4"/>
    <n v="26"/>
    <n v="41.1"/>
    <s v="Flop"/>
    <s v="Normal"/>
    <s v="No"/>
    <s v="Low"/>
    <n v="15.100000000000001"/>
    <n v="158.07692307692309"/>
  </r>
  <r>
    <s v="NFX-101195"/>
    <s v="Burning Frontier 9"/>
    <s v="Movie"/>
    <x v="0"/>
    <n v="2022"/>
    <x v="3"/>
    <s v="2022-09-24"/>
    <n v="177"/>
    <s v="18+"/>
    <n v="7.5"/>
    <n v="165.7"/>
    <s v="English"/>
    <s v="Ridley Scott"/>
    <s v="Chris Evans"/>
    <m/>
    <n v="98"/>
    <n v="386.8"/>
    <s v="Average"/>
    <s v="Normal"/>
    <s v="No"/>
    <s v="Low"/>
    <n v="288.8"/>
    <n v="394.69387755102042"/>
  </r>
  <r>
    <s v="NFX-101196"/>
    <s v="Secret City 8"/>
    <s v="TV Show"/>
    <x v="8"/>
    <n v="2001"/>
    <x v="1"/>
    <s v="2022-11-08"/>
    <n v="34"/>
    <s v="16+"/>
    <n v="6.5"/>
    <n v="346.7"/>
    <s v="Japanese"/>
    <s v="Quentin Tarantino"/>
    <s v="Brad Pitt"/>
    <n v="1"/>
    <n v="44"/>
    <n v="212.9"/>
    <s v="Average"/>
    <s v="Popular"/>
    <s v="No"/>
    <s v="Low"/>
    <n v="168.9"/>
    <n v="483.86363636363637"/>
  </r>
  <r>
    <s v="NFX-101197"/>
    <s v="Iron Odyssey 6"/>
    <s v="TV Show"/>
    <x v="3"/>
    <n v="2017"/>
    <x v="1"/>
    <s v="2023-10-02"/>
    <n v="33"/>
    <s v="16+"/>
    <n v="9.4"/>
    <n v="584.6"/>
    <s v="German"/>
    <s v="Park Chan-wook"/>
    <s v="Leonardo DiCaprio"/>
    <n v="1"/>
    <n v="179"/>
    <n v="772.1"/>
    <s v="Hit"/>
    <s v="Blockbuster"/>
    <s v="No"/>
    <s v="High"/>
    <n v="593.1"/>
    <n v="431.34078212290507"/>
  </r>
  <r>
    <s v="NFX-101198"/>
    <s v="Secret Horizon 8"/>
    <s v="Movie"/>
    <x v="2"/>
    <n v="2014"/>
    <x v="7"/>
    <s v="2021-09-14"/>
    <n v="116"/>
    <s v="PG-13"/>
    <n v="8.1"/>
    <n v="483.8"/>
    <s v="English"/>
    <s v="Bong Joon-ho"/>
    <s v="Shah Rukh Khan"/>
    <m/>
    <n v="76"/>
    <n v="151.6"/>
    <s v="Hit"/>
    <s v="Blockbuster"/>
    <s v="No"/>
    <s v="Low"/>
    <n v="75.599999999999994"/>
    <n v="199.4736842105263"/>
  </r>
  <r>
    <s v="NFX-101199"/>
    <s v="Hidden City 8"/>
    <s v="TV Show"/>
    <x v="7"/>
    <n v="2011"/>
    <x v="8"/>
    <s v="2020-08-16"/>
    <n v="46"/>
    <s v="16+"/>
    <n v="6.9"/>
    <n v="170.1"/>
    <s v="Spanish"/>
    <s v="Bong Joon-ho"/>
    <s v="Chris Evans"/>
    <n v="3"/>
    <n v="17"/>
    <n v="39.9"/>
    <s v="Average"/>
    <s v="Normal"/>
    <s v="No"/>
    <s v="Low"/>
    <n v="22.9"/>
    <n v="234.70588235294119"/>
  </r>
  <r>
    <s v="NFX-101200"/>
    <s v="Last Empire 1"/>
    <s v="Movie"/>
    <x v="2"/>
    <n v="2023"/>
    <x v="5"/>
    <s v="2019-09-03"/>
    <n v="106"/>
    <s v="G"/>
    <n v="5.3"/>
    <n v="529.29999999999995"/>
    <s v="Spanish"/>
    <s v="Denis Villeneuve"/>
    <s v="Song Kang-ho"/>
    <m/>
    <n v="64"/>
    <n v="345.8"/>
    <s v="Flop"/>
    <s v="Blockbuster"/>
    <s v="Yes"/>
    <s v="Low"/>
    <n v="281.8"/>
    <n v="540.3125"/>
  </r>
  <r>
    <s v="NFX-101201"/>
    <s v="Iron Empire 6"/>
    <s v="TV Show"/>
    <x v="8"/>
    <n v="2013"/>
    <x v="9"/>
    <s v="2023-04-24"/>
    <n v="32"/>
    <s v="G"/>
    <n v="7.1"/>
    <n v="73.400000000000006"/>
    <s v="Japanese"/>
    <s v="Bong Joon-ho"/>
    <s v="Brad Pitt"/>
    <n v="8"/>
    <n v="149"/>
    <n v="189.8"/>
    <s v="Average"/>
    <s v="Normal"/>
    <s v="Yes"/>
    <s v="High"/>
    <n v="40.800000000000011"/>
    <n v="127.38255033557049"/>
  </r>
  <r>
    <s v="NFX-101202"/>
    <s v="Hidden Valley 3"/>
    <s v="TV Show"/>
    <x v="0"/>
    <n v="2024"/>
    <x v="3"/>
    <s v="2021-05-03"/>
    <n v="39"/>
    <s v="PG-13"/>
    <n v="7.8"/>
    <n v="397.4"/>
    <s v="French"/>
    <s v="Park Chan-wook"/>
    <s v="Timothée Chalamet"/>
    <n v="7"/>
    <n v="54"/>
    <n v="181.2"/>
    <s v="Average"/>
    <s v="Popular"/>
    <s v="No"/>
    <s v="Low"/>
    <n v="127.19999999999999"/>
    <n v="335.55555555555554"/>
  </r>
  <r>
    <s v="NFX-101203"/>
    <s v="Burning Protocol 5"/>
    <s v="TV Show"/>
    <x v="3"/>
    <n v="2022"/>
    <x v="9"/>
    <s v="2019-02-13"/>
    <n v="48"/>
    <s v="16+"/>
    <n v="4.5999999999999996"/>
    <n v="164.3"/>
    <s v="Japanese"/>
    <s v="Zoya Akhtar"/>
    <s v="Brad Pitt"/>
    <n v="1"/>
    <n v="184"/>
    <n v="1135.8"/>
    <s v="Flop"/>
    <s v="Normal"/>
    <s v="No"/>
    <s v="High"/>
    <n v="951.8"/>
    <n v="617.28260869565213"/>
  </r>
  <r>
    <s v="NFX-101204"/>
    <s v="Dark Valley 5"/>
    <s v="Movie"/>
    <x v="7"/>
    <n v="2012"/>
    <x v="1"/>
    <s v="2020-01-24"/>
    <n v="149"/>
    <s v="18+"/>
    <n v="8.9"/>
    <n v="469.4"/>
    <s v="French"/>
    <s v="Greta Gerwig"/>
    <s v="Timothée Chalamet"/>
    <m/>
    <n v="9"/>
    <n v="50.9"/>
    <s v="Hit"/>
    <s v="Blockbuster"/>
    <s v="No"/>
    <s v="Low"/>
    <n v="41.9"/>
    <n v="565.55555555555554"/>
  </r>
  <r>
    <s v="NFX-101205"/>
    <s v="Fading Code 9"/>
    <s v="Movie"/>
    <x v="8"/>
    <n v="2003"/>
    <x v="9"/>
    <s v="2021-06-03"/>
    <n v="88"/>
    <s v="16+"/>
    <n v="6.5"/>
    <n v="455.4"/>
    <s v="Spanish"/>
    <s v="Anurag Kashyap"/>
    <s v="Ranbir Kapoor"/>
    <m/>
    <n v="46"/>
    <n v="95"/>
    <s v="Average"/>
    <s v="Blockbuster"/>
    <s v="No"/>
    <s v="Low"/>
    <n v="49"/>
    <n v="206.52173913043475"/>
  </r>
  <r>
    <s v="NFX-101206"/>
    <s v="Fading Signal 1"/>
    <s v="Movie"/>
    <x v="4"/>
    <n v="2002"/>
    <x v="6"/>
    <s v="2020-01-11"/>
    <n v="143"/>
    <s v="PG-13"/>
    <n v="4.9000000000000004"/>
    <n v="119.4"/>
    <s v="English"/>
    <s v="Greta Gerwig"/>
    <s v="Robert Downey Jr."/>
    <m/>
    <n v="136"/>
    <n v="522.1"/>
    <s v="Flop"/>
    <s v="Normal"/>
    <s v="No"/>
    <s v="High"/>
    <n v="386.1"/>
    <n v="383.89705882352945"/>
  </r>
  <r>
    <s v="NFX-101207"/>
    <s v="Midnight Signal 9"/>
    <s v="Movie"/>
    <x v="3"/>
    <n v="2000"/>
    <x v="0"/>
    <s v="2018-06-08"/>
    <n v="126"/>
    <s v="PG"/>
    <n v="8.3000000000000007"/>
    <n v="380.8"/>
    <s v="Korean"/>
    <s v="Greta Gerwig"/>
    <s v="Brad Pitt"/>
    <m/>
    <n v="161"/>
    <n v="856.8"/>
    <s v="Hit"/>
    <s v="Popular"/>
    <s v="Yes"/>
    <s v="High"/>
    <n v="695.8"/>
    <n v="532.17391304347825"/>
  </r>
  <r>
    <s v="NFX-101208"/>
    <s v="Shadow Protocol 4"/>
    <s v="Movie"/>
    <x v="9"/>
    <n v="2023"/>
    <x v="5"/>
    <s v="2023-01-12"/>
    <n v="124"/>
    <s v="G"/>
    <n v="7.5"/>
    <n v="592.79999999999995"/>
    <s v="Korean"/>
    <s v="Sanjay Leela Bhansali"/>
    <s v="Robert Downey Jr."/>
    <m/>
    <n v="185"/>
    <n v="715.4"/>
    <s v="Average"/>
    <s v="Blockbuster"/>
    <s v="Yes"/>
    <s v="High"/>
    <n v="530.4"/>
    <n v="386.70270270270271"/>
  </r>
  <r>
    <s v="NFX-101209"/>
    <s v="Shadow City 2"/>
    <s v="TV Show"/>
    <x v="1"/>
    <n v="2019"/>
    <x v="6"/>
    <s v="2020-08-21"/>
    <n v="31"/>
    <s v="16+"/>
    <n v="4.8"/>
    <n v="323.39999999999998"/>
    <s v="Hindi"/>
    <s v="Anurag Kashyap"/>
    <s v="Scarlett Johansson"/>
    <n v="2"/>
    <n v="61"/>
    <n v="371.5"/>
    <s v="Flop"/>
    <s v="Popular"/>
    <s v="No"/>
    <s v="Low"/>
    <n v="310.5"/>
    <n v="609.01639344262298"/>
  </r>
  <r>
    <s v="NFX-101210"/>
    <s v="Golden Empire 7"/>
    <s v="TV Show"/>
    <x v="9"/>
    <n v="2017"/>
    <x v="7"/>
    <s v="2020-08-09"/>
    <n v="44"/>
    <s v="PG-13"/>
    <n v="5.2"/>
    <n v="550.70000000000005"/>
    <s v="Japanese"/>
    <s v="Anurag Kashyap"/>
    <s v="Ranbir Kapoor"/>
    <n v="3"/>
    <n v="189"/>
    <n v="582.5"/>
    <s v="Flop"/>
    <s v="Blockbuster"/>
    <s v="No"/>
    <s v="High"/>
    <n v="393.5"/>
    <n v="308.20105820105817"/>
  </r>
  <r>
    <s v="NFX-101211"/>
    <s v="Rising Echo 1"/>
    <s v="TV Show"/>
    <x v="4"/>
    <n v="2022"/>
    <x v="8"/>
    <s v="2022-06-11"/>
    <n v="36"/>
    <s v="G"/>
    <n v="5.9"/>
    <n v="244.1"/>
    <s v="English"/>
    <s v="Greta Gerwig"/>
    <s v="Scarlett Johansson"/>
    <n v="5"/>
    <n v="13"/>
    <n v="48.5"/>
    <s v="Flop"/>
    <s v="Popular"/>
    <s v="Yes"/>
    <s v="Low"/>
    <n v="35.5"/>
    <n v="373.07692307692309"/>
  </r>
  <r>
    <s v="NFX-101212"/>
    <s v="Shadow Odyssey 5"/>
    <s v="Movie"/>
    <x v="3"/>
    <n v="2009"/>
    <x v="0"/>
    <s v="2023-02-21"/>
    <n v="88"/>
    <s v="PG-13"/>
    <n v="4.9000000000000004"/>
    <n v="423.8"/>
    <s v="Hindi"/>
    <s v="Ridley Scott"/>
    <s v="Tom Hardy"/>
    <m/>
    <n v="111"/>
    <n v="495.8"/>
    <s v="Flop"/>
    <s v="Blockbuster"/>
    <s v="No"/>
    <s v="High"/>
    <n v="384.8"/>
    <n v="446.66666666666669"/>
  </r>
  <r>
    <s v="NFX-101213"/>
    <s v="Iron Storm 1"/>
    <s v="Movie"/>
    <x v="8"/>
    <n v="2005"/>
    <x v="0"/>
    <s v="2022-07-25"/>
    <n v="89"/>
    <s v="G"/>
    <n v="6.9"/>
    <n v="273.60000000000002"/>
    <s v="English"/>
    <s v="Christopher Nolan"/>
    <s v="Song Kang-ho"/>
    <m/>
    <n v="59"/>
    <n v="214.3"/>
    <s v="Average"/>
    <s v="Popular"/>
    <s v="Yes"/>
    <s v="Low"/>
    <n v="155.30000000000001"/>
    <n v="363.22033898305091"/>
  </r>
  <r>
    <s v="NFX-101214"/>
    <s v="Golden City 7"/>
    <s v="TV Show"/>
    <x v="1"/>
    <n v="2019"/>
    <x v="7"/>
    <s v="2021-10-19"/>
    <n v="58"/>
    <s v="18+"/>
    <n v="4.9000000000000004"/>
    <n v="431.4"/>
    <s v="Hindi"/>
    <s v="Bong Joon-ho"/>
    <s v="Robert Downey Jr."/>
    <n v="8"/>
    <n v="46"/>
    <n v="182.2"/>
    <s v="Flop"/>
    <s v="Blockbuster"/>
    <s v="No"/>
    <s v="Low"/>
    <n v="136.19999999999999"/>
    <n v="396.08695652173907"/>
  </r>
  <r>
    <s v="NFX-101215"/>
    <s v="Rising Signal 3"/>
    <s v="Movie"/>
    <x v="7"/>
    <n v="2013"/>
    <x v="1"/>
    <s v="2018-03-30"/>
    <n v="130"/>
    <s v="18+"/>
    <n v="6.7"/>
    <n v="423"/>
    <s v="German"/>
    <s v="Guillermo del Toro"/>
    <s v="Timothée Chalamet"/>
    <m/>
    <n v="198"/>
    <n v="461.3"/>
    <s v="Average"/>
    <s v="Blockbuster"/>
    <s v="No"/>
    <s v="High"/>
    <n v="263.3"/>
    <n v="232.97979797979798"/>
  </r>
  <r>
    <s v="NFX-101216"/>
    <s v="Secret Legacy 6"/>
    <s v="TV Show"/>
    <x v="1"/>
    <n v="2016"/>
    <x v="6"/>
    <s v="2023-10-12"/>
    <n v="51"/>
    <s v="G"/>
    <n v="5.2"/>
    <n v="584.20000000000005"/>
    <s v="Korean"/>
    <s v="Martin Scorsese"/>
    <s v="Shah Rukh Khan"/>
    <n v="4"/>
    <n v="44"/>
    <n v="183"/>
    <s v="Flop"/>
    <s v="Blockbuster"/>
    <s v="Yes"/>
    <s v="Low"/>
    <n v="139"/>
    <n v="415.90909090909093"/>
  </r>
  <r>
    <s v="NFX-101217"/>
    <s v="Lost Archive 8"/>
    <s v="TV Show"/>
    <x v="4"/>
    <n v="2019"/>
    <x v="1"/>
    <s v="2022-06-16"/>
    <n v="53"/>
    <s v="16+"/>
    <n v="8.1"/>
    <n v="285.2"/>
    <s v="Japanese"/>
    <s v="Steven Spielberg"/>
    <s v="Deepika Padukone"/>
    <n v="3"/>
    <n v="22"/>
    <n v="100.3"/>
    <s v="Hit"/>
    <s v="Popular"/>
    <s v="No"/>
    <s v="Low"/>
    <n v="78.3"/>
    <n v="455.90909090909088"/>
  </r>
  <r>
    <s v="NFX-101218"/>
    <s v="Burning Odyssey 6"/>
    <s v="Movie"/>
    <x v="0"/>
    <n v="2017"/>
    <x v="8"/>
    <s v="2020-03-01"/>
    <n v="162"/>
    <s v="G"/>
    <n v="8.5"/>
    <n v="375.8"/>
    <s v="German"/>
    <s v="Steven Spielberg"/>
    <s v="Song Kang-ho"/>
    <m/>
    <n v="79"/>
    <n v="405"/>
    <s v="Hit"/>
    <s v="Popular"/>
    <s v="Yes"/>
    <s v="Low"/>
    <n v="326"/>
    <n v="512.65822784810121"/>
  </r>
  <r>
    <s v="NFX-101219"/>
    <s v="Last Archive 6"/>
    <s v="TV Show"/>
    <x v="5"/>
    <n v="2006"/>
    <x v="7"/>
    <s v="2023-12-29"/>
    <n v="43"/>
    <s v="G"/>
    <n v="4.9000000000000004"/>
    <n v="199.2"/>
    <s v="Japanese"/>
    <s v="Park Chan-wook"/>
    <s v="Brad Pitt"/>
    <n v="6"/>
    <n v="9"/>
    <n v="20.399999999999999"/>
    <s v="Flop"/>
    <s v="Normal"/>
    <s v="Yes"/>
    <s v="Low"/>
    <n v="11.399999999999999"/>
    <n v="226.66666666666666"/>
  </r>
  <r>
    <s v="NFX-101220"/>
    <s v="Shadow Empire 5"/>
    <s v="TV Show"/>
    <x v="7"/>
    <n v="2003"/>
    <x v="7"/>
    <s v="2020-12-22"/>
    <n v="44"/>
    <s v="18+"/>
    <n v="5.2"/>
    <n v="107.8"/>
    <s v="German"/>
    <s v="Anurag Kashyap"/>
    <s v="Chris Evans"/>
    <n v="3"/>
    <n v="197"/>
    <n v="832.1"/>
    <s v="Flop"/>
    <s v="Normal"/>
    <s v="No"/>
    <s v="High"/>
    <n v="635.1"/>
    <n v="422.38578680203045"/>
  </r>
  <r>
    <s v="NFX-101221"/>
    <s v="Burning Signal 6"/>
    <s v="Movie"/>
    <x v="1"/>
    <n v="2014"/>
    <x v="0"/>
    <s v="2021-08-07"/>
    <n v="166"/>
    <s v="18+"/>
    <n v="6.8"/>
    <n v="9.5"/>
    <s v="Spanish"/>
    <s v="Guillermo del Toro"/>
    <s v="Robert Downey Jr."/>
    <m/>
    <n v="157"/>
    <n v="276.8"/>
    <s v="Average"/>
    <s v="Normal"/>
    <s v="No"/>
    <s v="High"/>
    <n v="119.80000000000001"/>
    <n v="176.30573248407643"/>
  </r>
  <r>
    <s v="NFX-101222"/>
    <s v="Dark Code 2"/>
    <s v="TV Show"/>
    <x v="4"/>
    <n v="2005"/>
    <x v="9"/>
    <s v="2024-01-26"/>
    <n v="30"/>
    <s v="PG-13"/>
    <n v="5"/>
    <n v="577.1"/>
    <s v="Hindi"/>
    <s v="Zoya Akhtar"/>
    <s v="Robert Downey Jr."/>
    <n v="4"/>
    <n v="70"/>
    <n v="420"/>
    <s v="Flop"/>
    <s v="Blockbuster"/>
    <s v="No"/>
    <s v="Low"/>
    <n v="350"/>
    <n v="600"/>
  </r>
  <r>
    <s v="NFX-101223"/>
    <s v="Last Odyssey 3"/>
    <s v="Movie"/>
    <x v="9"/>
    <n v="2012"/>
    <x v="9"/>
    <s v="2021-11-07"/>
    <n v="145"/>
    <s v="18+"/>
    <n v="5.6"/>
    <n v="468.4"/>
    <s v="French"/>
    <s v="Anurag Kashyap"/>
    <s v="Deepika Padukone"/>
    <m/>
    <n v="66"/>
    <n v="118.2"/>
    <s v="Flop"/>
    <s v="Blockbuster"/>
    <s v="No"/>
    <s v="Low"/>
    <n v="52.2"/>
    <n v="179.09090909090909"/>
  </r>
  <r>
    <s v="NFX-101224"/>
    <s v="Silent Journey 9"/>
    <s v="TV Show"/>
    <x v="5"/>
    <n v="2008"/>
    <x v="3"/>
    <s v="2022-12-11"/>
    <n v="54"/>
    <s v="16+"/>
    <n v="5.0999999999999996"/>
    <n v="431.6"/>
    <s v="Japanese"/>
    <s v="Quentin Tarantino"/>
    <s v="Ryan Gosling"/>
    <n v="1"/>
    <n v="66"/>
    <n v="159.6"/>
    <s v="Flop"/>
    <s v="Blockbuster"/>
    <s v="No"/>
    <s v="Low"/>
    <n v="93.6"/>
    <n v="241.81818181818181"/>
  </r>
  <r>
    <s v="NFX-101225"/>
    <s v="Hidden Signal 7"/>
    <s v="TV Show"/>
    <x v="4"/>
    <n v="2007"/>
    <x v="2"/>
    <s v="2018-05-25"/>
    <n v="56"/>
    <s v="G"/>
    <n v="8"/>
    <n v="367.8"/>
    <s v="Korean"/>
    <s v="Bong Joon-ho"/>
    <s v="Robert Downey Jr."/>
    <n v="8"/>
    <n v="28"/>
    <n v="38.1"/>
    <s v="Hit"/>
    <s v="Popular"/>
    <s v="Yes"/>
    <s v="Low"/>
    <n v="10.100000000000001"/>
    <n v="136.07142857142858"/>
  </r>
  <r>
    <s v="NFX-101226"/>
    <s v="Silent Empire 5"/>
    <s v="Movie"/>
    <x v="4"/>
    <n v="2009"/>
    <x v="0"/>
    <s v="2022-07-13"/>
    <n v="136"/>
    <s v="18+"/>
    <n v="5.0999999999999996"/>
    <n v="288.5"/>
    <s v="French"/>
    <s v="Christopher Nolan"/>
    <s v="Scarlett Johansson"/>
    <m/>
    <n v="22"/>
    <n v="74.8"/>
    <s v="Flop"/>
    <s v="Popular"/>
    <s v="No"/>
    <s v="Low"/>
    <n v="52.8"/>
    <n v="340"/>
  </r>
  <r>
    <s v="NFX-101227"/>
    <s v="Fading Valley 1"/>
    <s v="Movie"/>
    <x v="8"/>
    <n v="2001"/>
    <x v="5"/>
    <s v="2022-07-05"/>
    <n v="96"/>
    <s v="PG-13"/>
    <n v="8.1999999999999993"/>
    <n v="390.3"/>
    <s v="German"/>
    <s v="Martin Scorsese"/>
    <s v="Emma Stone"/>
    <m/>
    <n v="81"/>
    <n v="360.7"/>
    <s v="Hit"/>
    <s v="Popular"/>
    <s v="No"/>
    <s v="Low"/>
    <n v="279.7"/>
    <n v="445.30864197530866"/>
  </r>
  <r>
    <s v="NFX-101228"/>
    <s v="Dark Chronicles 2"/>
    <s v="TV Show"/>
    <x v="4"/>
    <n v="2009"/>
    <x v="3"/>
    <s v="2018-02-06"/>
    <n v="42"/>
    <s v="16+"/>
    <n v="9.1"/>
    <n v="105.9"/>
    <s v="Japanese"/>
    <s v="Steven Spielberg"/>
    <s v="Robert Downey Jr."/>
    <n v="4"/>
    <n v="158"/>
    <n v="552.4"/>
    <s v="Hit"/>
    <s v="Normal"/>
    <s v="No"/>
    <s v="High"/>
    <n v="394.4"/>
    <n v="349.62025316455697"/>
  </r>
  <r>
    <s v="NFX-101229"/>
    <s v="Crystal Chronicles 6"/>
    <s v="Movie"/>
    <x v="3"/>
    <n v="2024"/>
    <x v="8"/>
    <s v="2024-08-12"/>
    <n v="151"/>
    <s v="PG"/>
    <n v="5.6"/>
    <n v="392.9"/>
    <s v="German"/>
    <s v="Greta Gerwig"/>
    <s v="Shah Rukh Khan"/>
    <m/>
    <n v="64"/>
    <n v="330.6"/>
    <s v="Flop"/>
    <s v="Popular"/>
    <s v="Yes"/>
    <s v="Low"/>
    <n v="266.60000000000002"/>
    <n v="516.5625"/>
  </r>
  <r>
    <s v="NFX-101230"/>
    <s v="Dark Legacy 8"/>
    <s v="Movie"/>
    <x v="2"/>
    <n v="2004"/>
    <x v="2"/>
    <s v="2020-09-12"/>
    <n v="168"/>
    <s v="16+"/>
    <n v="8.9"/>
    <n v="257.3"/>
    <s v="Korean"/>
    <s v="James Cameron"/>
    <s v="Timothée Chalamet"/>
    <m/>
    <n v="179"/>
    <n v="1064.3"/>
    <s v="Hit"/>
    <s v="Popular"/>
    <s v="No"/>
    <s v="High"/>
    <n v="885.3"/>
    <n v="594.58100558659214"/>
  </r>
  <r>
    <s v="NFX-101231"/>
    <s v="Last Protocol 4"/>
    <s v="Movie"/>
    <x v="3"/>
    <n v="2005"/>
    <x v="5"/>
    <s v="2018-02-12"/>
    <n v="169"/>
    <s v="PG"/>
    <n v="4.5999999999999996"/>
    <n v="441.7"/>
    <s v="Spanish"/>
    <s v="Denis Villeneuve"/>
    <s v="Chris Evans"/>
    <m/>
    <n v="181"/>
    <n v="285.89999999999998"/>
    <s v="Flop"/>
    <s v="Blockbuster"/>
    <s v="Yes"/>
    <s v="High"/>
    <n v="104.89999999999998"/>
    <n v="157.95580110497235"/>
  </r>
  <r>
    <s v="NFX-101232"/>
    <s v="Fading Archive 9"/>
    <s v="Movie"/>
    <x v="2"/>
    <n v="2002"/>
    <x v="2"/>
    <s v="2021-09-10"/>
    <n v="87"/>
    <s v="18+"/>
    <n v="5.4"/>
    <n v="122.3"/>
    <s v="Hindi"/>
    <s v="Anurag Kashyap"/>
    <s v="Song Kang-ho"/>
    <m/>
    <n v="186"/>
    <n v="906.3"/>
    <s v="Flop"/>
    <s v="Normal"/>
    <s v="No"/>
    <s v="High"/>
    <n v="720.3"/>
    <n v="487.25806451612897"/>
  </r>
  <r>
    <s v="NFX-101233"/>
    <s v="Midnight Archive 9"/>
    <s v="TV Show"/>
    <x v="10"/>
    <n v="2013"/>
    <x v="1"/>
    <s v="2018-09-19"/>
    <n v="54"/>
    <s v="PG"/>
    <n v="6.6"/>
    <n v="466.6"/>
    <s v="French"/>
    <s v="Christopher Nolan"/>
    <s v="Tom Hardy"/>
    <n v="7"/>
    <n v="101"/>
    <n v="359.7"/>
    <s v="Average"/>
    <s v="Blockbuster"/>
    <s v="Yes"/>
    <s v="High"/>
    <n v="258.7"/>
    <n v="356.13861386138615"/>
  </r>
  <r>
    <s v="NFX-101234"/>
    <s v="Last Echo 6"/>
    <s v="TV Show"/>
    <x v="4"/>
    <n v="2003"/>
    <x v="0"/>
    <s v="2022-09-08"/>
    <n v="56"/>
    <s v="16+"/>
    <n v="5.0999999999999996"/>
    <n v="95.2"/>
    <s v="Korean"/>
    <s v="Ridley Scott"/>
    <s v="Song Kang-ho"/>
    <n v="8"/>
    <n v="144"/>
    <n v="667.8"/>
    <s v="Flop"/>
    <s v="Normal"/>
    <s v="No"/>
    <s v="High"/>
    <n v="523.79999999999995"/>
    <n v="463.74999999999994"/>
  </r>
  <r>
    <s v="NFX-101235"/>
    <s v="Crystal Code 1"/>
    <s v="TV Show"/>
    <x v="6"/>
    <n v="2012"/>
    <x v="8"/>
    <s v="2020-02-15"/>
    <n v="44"/>
    <s v="G"/>
    <n v="7"/>
    <n v="492"/>
    <s v="German"/>
    <s v="Zoya Akhtar"/>
    <s v="Brad Pitt"/>
    <n v="7"/>
    <n v="179"/>
    <n v="1051.5999999999999"/>
    <s v="Average"/>
    <s v="Blockbuster"/>
    <s v="Yes"/>
    <s v="High"/>
    <n v="872.59999999999991"/>
    <n v="587.48603351955296"/>
  </r>
  <r>
    <s v="NFX-101236"/>
    <s v="Shadow Protocol 2"/>
    <s v="Movie"/>
    <x v="4"/>
    <n v="2010"/>
    <x v="1"/>
    <s v="2020-03-04"/>
    <n v="141"/>
    <s v="G"/>
    <n v="4.9000000000000004"/>
    <n v="43.6"/>
    <s v="Hindi"/>
    <s v="Guillermo del Toro"/>
    <s v="Tom Hardy"/>
    <m/>
    <n v="143"/>
    <n v="463.6"/>
    <s v="Flop"/>
    <s v="Normal"/>
    <s v="Yes"/>
    <s v="High"/>
    <n v="320.60000000000002"/>
    <n v="324.19580419580421"/>
  </r>
  <r>
    <s v="NFX-101237"/>
    <s v="Rising Signal 7"/>
    <s v="Movie"/>
    <x v="10"/>
    <n v="2021"/>
    <x v="6"/>
    <s v="2023-05-16"/>
    <n v="158"/>
    <s v="18+"/>
    <n v="5.3"/>
    <n v="212.3"/>
    <s v="Japanese"/>
    <s v="Zoya Akhtar"/>
    <s v="Lee Jung-jae"/>
    <m/>
    <n v="45"/>
    <n v="104.9"/>
    <s v="Flop"/>
    <s v="Popular"/>
    <s v="No"/>
    <s v="Low"/>
    <n v="59.900000000000006"/>
    <n v="233.11111111111114"/>
  </r>
  <r>
    <s v="NFX-101238"/>
    <s v="Crystal Archive 7"/>
    <s v="TV Show"/>
    <x v="3"/>
    <n v="2022"/>
    <x v="3"/>
    <s v="2020-06-02"/>
    <n v="59"/>
    <s v="16+"/>
    <n v="9.4"/>
    <n v="76.7"/>
    <s v="French"/>
    <s v="Greta Gerwig"/>
    <s v="Chris Evans"/>
    <n v="5"/>
    <n v="54"/>
    <n v="300.39999999999998"/>
    <s v="Hit"/>
    <s v="Normal"/>
    <s v="No"/>
    <s v="Low"/>
    <n v="246.39999999999998"/>
    <n v="556.29629629629619"/>
  </r>
  <r>
    <s v="NFX-101239"/>
    <s v="Broken Odyssey 8"/>
    <s v="Movie"/>
    <x v="1"/>
    <n v="2020"/>
    <x v="1"/>
    <s v="2024-10-31"/>
    <n v="139"/>
    <s v="PG-13"/>
    <n v="9.3000000000000007"/>
    <n v="190.4"/>
    <s v="Japanese"/>
    <s v="Greta Gerwig"/>
    <s v="Leonardo DiCaprio"/>
    <m/>
    <n v="97"/>
    <n v="159.4"/>
    <s v="Hit"/>
    <s v="Normal"/>
    <s v="No"/>
    <s v="Low"/>
    <n v="62.400000000000006"/>
    <n v="164.32989690721652"/>
  </r>
  <r>
    <s v="NFX-101240"/>
    <s v="Fading Odyssey 4"/>
    <s v="Movie"/>
    <x v="8"/>
    <n v="2016"/>
    <x v="3"/>
    <s v="2024-07-19"/>
    <n v="140"/>
    <s v="PG"/>
    <n v="5.5"/>
    <n v="362.2"/>
    <s v="French"/>
    <s v="Guillermo del Toro"/>
    <s v="Robert Downey Jr."/>
    <m/>
    <n v="115"/>
    <n v="586.9"/>
    <s v="Flop"/>
    <s v="Popular"/>
    <s v="Yes"/>
    <s v="High"/>
    <n v="471.9"/>
    <n v="510.3478260869565"/>
  </r>
  <r>
    <s v="NFX-101241"/>
    <s v="Dark Protocol 4"/>
    <s v="Movie"/>
    <x v="6"/>
    <n v="2010"/>
    <x v="6"/>
    <s v="2024-10-02"/>
    <n v="145"/>
    <s v="G"/>
    <n v="5.0999999999999996"/>
    <n v="125.5"/>
    <s v="English"/>
    <s v="Ridley Scott"/>
    <s v="Deepika Padukone"/>
    <m/>
    <n v="103"/>
    <n v="667.9"/>
    <s v="Flop"/>
    <s v="Normal"/>
    <s v="Yes"/>
    <s v="High"/>
    <n v="564.9"/>
    <n v="648.44660194174764"/>
  </r>
  <r>
    <s v="NFX-101242"/>
    <s v="Silent Code 2"/>
    <s v="TV Show"/>
    <x v="0"/>
    <n v="2005"/>
    <x v="0"/>
    <s v="2018-04-04"/>
    <n v="47"/>
    <s v="16+"/>
    <n v="6.8"/>
    <n v="433.2"/>
    <s v="German"/>
    <s v="Greta Gerwig"/>
    <s v="Brad Pitt"/>
    <n v="7"/>
    <n v="116"/>
    <n v="674.8"/>
    <s v="Average"/>
    <s v="Blockbuster"/>
    <s v="No"/>
    <s v="High"/>
    <n v="558.79999999999995"/>
    <n v="581.72413793103442"/>
  </r>
  <r>
    <s v="NFX-101243"/>
    <s v="Broken Frontier 8"/>
    <s v="TV Show"/>
    <x v="5"/>
    <n v="2019"/>
    <x v="6"/>
    <s v="2024-09-15"/>
    <n v="43"/>
    <s v="G"/>
    <n v="7.4"/>
    <n v="220.5"/>
    <s v="Spanish"/>
    <s v="Guillermo del Toro"/>
    <s v="Ryan Gosling"/>
    <n v="7"/>
    <n v="98"/>
    <n v="600.4"/>
    <s v="Average"/>
    <s v="Popular"/>
    <s v="Yes"/>
    <s v="Low"/>
    <n v="502.4"/>
    <n v="612.65306122448976"/>
  </r>
  <r>
    <s v="NFX-101244"/>
    <s v="Hidden Frontier 8"/>
    <s v="Movie"/>
    <x v="10"/>
    <n v="2025"/>
    <x v="1"/>
    <s v="2023-01-17"/>
    <n v="161"/>
    <s v="16+"/>
    <n v="7.5"/>
    <n v="198.2"/>
    <s v="German"/>
    <s v="Park Chan-wook"/>
    <s v="Brad Pitt"/>
    <m/>
    <n v="196"/>
    <n v="1238.5"/>
    <s v="Average"/>
    <s v="Normal"/>
    <s v="No"/>
    <s v="High"/>
    <n v="1042.5"/>
    <n v="631.88775510204084"/>
  </r>
  <r>
    <s v="NFX-101245"/>
    <s v="Crystal Odyssey 1"/>
    <s v="TV Show"/>
    <x v="8"/>
    <n v="2012"/>
    <x v="9"/>
    <s v="2023-03-11"/>
    <n v="51"/>
    <s v="16+"/>
    <n v="4.5999999999999996"/>
    <n v="136.5"/>
    <s v="French"/>
    <s v="Rajkumar Hirani"/>
    <s v="Brad Pitt"/>
    <n v="6"/>
    <n v="47"/>
    <n v="99.9"/>
    <s v="Flop"/>
    <s v="Normal"/>
    <s v="No"/>
    <s v="Low"/>
    <n v="52.900000000000006"/>
    <n v="212.55319148936169"/>
  </r>
  <r>
    <s v="NFX-101246"/>
    <s v="Fading Storm 3"/>
    <s v="TV Show"/>
    <x v="7"/>
    <n v="2019"/>
    <x v="3"/>
    <s v="2021-07-14"/>
    <n v="37"/>
    <s v="G"/>
    <n v="5.3"/>
    <n v="294.5"/>
    <s v="French"/>
    <s v="Sanjay Leela Bhansali"/>
    <s v="Brad Pitt"/>
    <n v="6"/>
    <n v="55"/>
    <n v="322.3"/>
    <s v="Flop"/>
    <s v="Popular"/>
    <s v="Yes"/>
    <s v="Low"/>
    <n v="267.3"/>
    <n v="586"/>
  </r>
  <r>
    <s v="NFX-101247"/>
    <s v="Crystal Legacy 2"/>
    <s v="TV Show"/>
    <x v="2"/>
    <n v="2004"/>
    <x v="0"/>
    <s v="2023-12-10"/>
    <n v="46"/>
    <s v="PG"/>
    <n v="5.7"/>
    <n v="286.5"/>
    <s v="Spanish"/>
    <s v="Anurag Kashyap"/>
    <s v="Chris Evans"/>
    <n v="4"/>
    <n v="13"/>
    <n v="27.5"/>
    <s v="Flop"/>
    <s v="Popular"/>
    <s v="Yes"/>
    <s v="Low"/>
    <n v="14.5"/>
    <n v="211.53846153846155"/>
  </r>
  <r>
    <s v="NFX-101248"/>
    <s v="Silent Odyssey 8"/>
    <s v="TV Show"/>
    <x v="1"/>
    <n v="2003"/>
    <x v="7"/>
    <s v="2018-08-25"/>
    <n v="48"/>
    <s v="18+"/>
    <n v="5.6"/>
    <n v="598.70000000000005"/>
    <s v="Japanese"/>
    <s v="Zoya Akhtar"/>
    <s v="Leonardo DiCaprio"/>
    <n v="1"/>
    <n v="75"/>
    <n v="449"/>
    <s v="Flop"/>
    <s v="Blockbuster"/>
    <s v="No"/>
    <s v="Low"/>
    <n v="374"/>
    <n v="598.66666666666663"/>
  </r>
  <r>
    <s v="NFX-101249"/>
    <s v="Iron Empire 9"/>
    <s v="TV Show"/>
    <x v="9"/>
    <n v="2012"/>
    <x v="1"/>
    <s v="2021-04-22"/>
    <n v="56"/>
    <s v="PG"/>
    <n v="8.1999999999999993"/>
    <n v="511.3"/>
    <s v="German"/>
    <s v="Bong Joon-ho"/>
    <s v="Timothée Chalamet"/>
    <n v="2"/>
    <n v="200"/>
    <n v="423.9"/>
    <s v="Hit"/>
    <s v="Blockbuster"/>
    <s v="Yes"/>
    <s v="High"/>
    <n v="223.89999999999998"/>
    <n v="211.95"/>
  </r>
  <r>
    <s v="NFX-101250"/>
    <s v="Last Horizon 4"/>
    <s v="TV Show"/>
    <x v="4"/>
    <n v="2011"/>
    <x v="7"/>
    <s v="2022-06-21"/>
    <n v="58"/>
    <s v="16+"/>
    <n v="8.8000000000000007"/>
    <n v="121.8"/>
    <s v="Korean"/>
    <s v="Denis Villeneuve"/>
    <s v="Brad Pitt"/>
    <n v="4"/>
    <n v="6"/>
    <n v="32"/>
    <s v="Hit"/>
    <s v="Normal"/>
    <s v="No"/>
    <s v="Low"/>
    <n v="26"/>
    <n v="533.33333333333326"/>
  </r>
  <r>
    <s v="NFX-101251"/>
    <s v="Fading City 5"/>
    <s v="TV Show"/>
    <x v="3"/>
    <n v="2008"/>
    <x v="9"/>
    <s v="2021-02-20"/>
    <n v="32"/>
    <s v="PG"/>
    <n v="8.4"/>
    <n v="15.3"/>
    <s v="English"/>
    <s v="Anurag Kashyap"/>
    <s v="Timothée Chalamet"/>
    <n v="5"/>
    <n v="7"/>
    <n v="26.2"/>
    <s v="Hit"/>
    <s v="Normal"/>
    <s v="Yes"/>
    <s v="Low"/>
    <n v="19.2"/>
    <n v="374.28571428571428"/>
  </r>
  <r>
    <s v="NFX-101252"/>
    <s v="Lost Legacy 7"/>
    <s v="TV Show"/>
    <x v="2"/>
    <n v="2007"/>
    <x v="9"/>
    <s v="2020-05-04"/>
    <n v="36"/>
    <s v="PG-13"/>
    <n v="5.9"/>
    <n v="419.1"/>
    <s v="English"/>
    <s v="Martin Scorsese"/>
    <s v="Tom Hardy"/>
    <n v="8"/>
    <n v="152"/>
    <n v="446.1"/>
    <s v="Flop"/>
    <s v="Blockbuster"/>
    <s v="No"/>
    <s v="High"/>
    <n v="294.10000000000002"/>
    <n v="293.48684210526318"/>
  </r>
  <r>
    <s v="NFX-101253"/>
    <s v="Midnight Empire 4"/>
    <s v="TV Show"/>
    <x v="0"/>
    <n v="2014"/>
    <x v="6"/>
    <s v="2020-10-03"/>
    <n v="36"/>
    <s v="PG"/>
    <n v="7.3"/>
    <n v="143.1"/>
    <s v="Hindi"/>
    <s v="Anurag Kashyap"/>
    <s v="Leonardo DiCaprio"/>
    <n v="3"/>
    <n v="191"/>
    <n v="718.1"/>
    <s v="Average"/>
    <s v="Normal"/>
    <s v="Yes"/>
    <s v="High"/>
    <n v="527.1"/>
    <n v="375.96858638743458"/>
  </r>
  <r>
    <s v="NFX-101254"/>
    <s v="Rising Horizon 9"/>
    <s v="Movie"/>
    <x v="4"/>
    <n v="2024"/>
    <x v="1"/>
    <s v="2024-11-04"/>
    <n v="123"/>
    <s v="18+"/>
    <n v="5"/>
    <n v="323.60000000000002"/>
    <s v="English"/>
    <s v="Anurag Kashyap"/>
    <s v="Song Kang-ho"/>
    <m/>
    <n v="91"/>
    <n v="228.5"/>
    <s v="Flop"/>
    <s v="Popular"/>
    <s v="No"/>
    <s v="Low"/>
    <n v="137.5"/>
    <n v="251.09890109890108"/>
  </r>
  <r>
    <s v="NFX-101255"/>
    <s v="Fading Chronicles 6"/>
    <s v="Movie"/>
    <x v="2"/>
    <n v="2017"/>
    <x v="8"/>
    <s v="2018-11-09"/>
    <n v="141"/>
    <s v="18+"/>
    <n v="8.9"/>
    <n v="119.7"/>
    <s v="Japanese"/>
    <s v="Park Chan-wook"/>
    <s v="Brad Pitt"/>
    <m/>
    <n v="75"/>
    <n v="130.6"/>
    <s v="Hit"/>
    <s v="Normal"/>
    <s v="No"/>
    <s v="Low"/>
    <n v="55.599999999999994"/>
    <n v="174.13333333333333"/>
  </r>
  <r>
    <s v="NFX-101256"/>
    <s v="Broken Echo 8"/>
    <s v="Movie"/>
    <x v="2"/>
    <n v="2009"/>
    <x v="1"/>
    <s v="2024-08-20"/>
    <n v="104"/>
    <s v="18+"/>
    <n v="8.1"/>
    <n v="514"/>
    <s v="French"/>
    <s v="Christopher Nolan"/>
    <s v="Tom Hardy"/>
    <m/>
    <n v="115"/>
    <n v="653.9"/>
    <s v="Hit"/>
    <s v="Blockbuster"/>
    <s v="No"/>
    <s v="High"/>
    <n v="538.9"/>
    <n v="568.60869565217388"/>
  </r>
  <r>
    <s v="NFX-101257"/>
    <s v="Broken Storm 3"/>
    <s v="Movie"/>
    <x v="5"/>
    <n v="2017"/>
    <x v="5"/>
    <s v="2021-07-31"/>
    <n v="154"/>
    <s v="G"/>
    <n v="8.5"/>
    <n v="281.2"/>
    <s v="French"/>
    <s v="Park Chan-wook"/>
    <s v="Robert Downey Jr."/>
    <m/>
    <n v="73"/>
    <n v="428.4"/>
    <s v="Hit"/>
    <s v="Popular"/>
    <s v="Yes"/>
    <s v="Low"/>
    <n v="355.4"/>
    <n v="586.84931506849307"/>
  </r>
  <r>
    <s v="NFX-101258"/>
    <s v="Secret Storm 8"/>
    <s v="Movie"/>
    <x v="10"/>
    <n v="2024"/>
    <x v="3"/>
    <s v="2023-09-30"/>
    <n v="92"/>
    <s v="18+"/>
    <n v="6.7"/>
    <n v="291.7"/>
    <s v="French"/>
    <s v="Ridley Scott"/>
    <s v="Brad Pitt"/>
    <m/>
    <n v="148"/>
    <n v="689.8"/>
    <s v="Average"/>
    <s v="Popular"/>
    <s v="No"/>
    <s v="High"/>
    <n v="541.79999999999995"/>
    <n v="466.08108108108104"/>
  </r>
  <r>
    <s v="NFX-101259"/>
    <s v="Burning Storm 2"/>
    <s v="Movie"/>
    <x v="3"/>
    <n v="2015"/>
    <x v="1"/>
    <s v="2018-02-11"/>
    <n v="119"/>
    <s v="16+"/>
    <n v="8.8000000000000007"/>
    <n v="517"/>
    <s v="Japanese"/>
    <s v="Martin Scorsese"/>
    <s v="Robert Downey Jr."/>
    <m/>
    <n v="71"/>
    <n v="212"/>
    <s v="Hit"/>
    <s v="Blockbuster"/>
    <s v="No"/>
    <s v="Low"/>
    <n v="141"/>
    <n v="298.59154929577466"/>
  </r>
  <r>
    <s v="NFX-101260"/>
    <s v="Lost Valley 1"/>
    <s v="Movie"/>
    <x v="8"/>
    <n v="2012"/>
    <x v="8"/>
    <s v="2019-03-28"/>
    <n v="146"/>
    <s v="18+"/>
    <n v="6.2"/>
    <n v="98"/>
    <s v="Hindi"/>
    <s v="Steven Spielberg"/>
    <s v="Lee Jung-jae"/>
    <m/>
    <n v="20"/>
    <n v="96.1"/>
    <s v="Average"/>
    <s v="Normal"/>
    <s v="No"/>
    <s v="Low"/>
    <n v="76.099999999999994"/>
    <n v="480.5"/>
  </r>
  <r>
    <s v="NFX-101261"/>
    <s v="Secret Horizon 7"/>
    <s v="Movie"/>
    <x v="2"/>
    <n v="2009"/>
    <x v="7"/>
    <s v="2023-02-08"/>
    <n v="157"/>
    <s v="PG"/>
    <n v="4.5999999999999996"/>
    <n v="274"/>
    <s v="Spanish"/>
    <s v="Anurag Kashyap"/>
    <s v="Timothée Chalamet"/>
    <m/>
    <n v="174"/>
    <n v="611.6"/>
    <s v="Flop"/>
    <s v="Popular"/>
    <s v="Yes"/>
    <s v="High"/>
    <n v="437.6"/>
    <n v="351.4942528735632"/>
  </r>
  <r>
    <s v="NFX-101262"/>
    <s v="Broken Archive 4"/>
    <s v="TV Show"/>
    <x v="2"/>
    <n v="2016"/>
    <x v="0"/>
    <s v="2019-05-25"/>
    <n v="57"/>
    <s v="16+"/>
    <n v="7.9"/>
    <n v="149.69999999999999"/>
    <s v="Spanish"/>
    <s v="Steven Spielberg"/>
    <s v="Brad Pitt"/>
    <n v="7"/>
    <n v="51"/>
    <n v="210.9"/>
    <s v="Average"/>
    <s v="Normal"/>
    <s v="No"/>
    <s v="Low"/>
    <n v="159.9"/>
    <n v="413.52941176470591"/>
  </r>
  <r>
    <s v="NFX-101263"/>
    <s v="Fading Echo 1"/>
    <s v="TV Show"/>
    <x v="7"/>
    <n v="2024"/>
    <x v="7"/>
    <s v="2019-09-18"/>
    <n v="33"/>
    <s v="16+"/>
    <n v="9.1"/>
    <n v="537.6"/>
    <s v="English"/>
    <s v="James Cameron"/>
    <s v="Timothée Chalamet"/>
    <n v="3"/>
    <n v="107"/>
    <n v="209.8"/>
    <s v="Hit"/>
    <s v="Blockbuster"/>
    <s v="No"/>
    <s v="High"/>
    <n v="102.80000000000001"/>
    <n v="196.07476635514021"/>
  </r>
  <r>
    <s v="NFX-101264"/>
    <s v="Fading Journey 8"/>
    <s v="Movie"/>
    <x v="9"/>
    <n v="2006"/>
    <x v="5"/>
    <s v="2019-04-23"/>
    <n v="155"/>
    <s v="16+"/>
    <n v="9"/>
    <n v="407.3"/>
    <s v="Korean"/>
    <s v="Quentin Tarantino"/>
    <s v="Emma Stone"/>
    <m/>
    <n v="86"/>
    <n v="151.9"/>
    <s v="Hit"/>
    <s v="Blockbuster"/>
    <s v="No"/>
    <s v="Low"/>
    <n v="65.900000000000006"/>
    <n v="176.62790697674419"/>
  </r>
  <r>
    <s v="NFX-101265"/>
    <s v="Golden Chronicles 5"/>
    <s v="TV Show"/>
    <x v="9"/>
    <n v="2000"/>
    <x v="4"/>
    <s v="2020-02-21"/>
    <n v="42"/>
    <s v="18+"/>
    <n v="6"/>
    <n v="397.6"/>
    <s v="Hindi"/>
    <s v="Bong Joon-ho"/>
    <s v="Shah Rukh Khan"/>
    <n v="6"/>
    <n v="22"/>
    <n v="127.6"/>
    <s v="Average"/>
    <s v="Popular"/>
    <s v="No"/>
    <s v="Low"/>
    <n v="105.6"/>
    <n v="580"/>
  </r>
  <r>
    <s v="NFX-101266"/>
    <s v="Hidden Valley 9"/>
    <s v="TV Show"/>
    <x v="3"/>
    <n v="2000"/>
    <x v="2"/>
    <s v="2018-12-06"/>
    <n v="60"/>
    <s v="16+"/>
    <n v="5.2"/>
    <n v="405.2"/>
    <s v="English"/>
    <s v="Park Chan-wook"/>
    <s v="Emma Stone"/>
    <n v="5"/>
    <n v="25"/>
    <n v="46"/>
    <s v="Flop"/>
    <s v="Blockbuster"/>
    <s v="No"/>
    <s v="Low"/>
    <n v="21"/>
    <n v="184"/>
  </r>
  <r>
    <s v="NFX-101267"/>
    <s v="Burning Protocol 7"/>
    <s v="TV Show"/>
    <x v="9"/>
    <n v="2000"/>
    <x v="7"/>
    <s v="2018-11-09"/>
    <n v="32"/>
    <s v="16+"/>
    <n v="7"/>
    <n v="598.4"/>
    <s v="English"/>
    <s v="Zoya Akhtar"/>
    <s v="Robert Downey Jr."/>
    <n v="7"/>
    <n v="135"/>
    <n v="170.9"/>
    <s v="Average"/>
    <s v="Blockbuster"/>
    <s v="No"/>
    <s v="High"/>
    <n v="35.900000000000006"/>
    <n v="126.5925925925926"/>
  </r>
  <r>
    <s v="NFX-101268"/>
    <s v="Lost Code 4"/>
    <s v="Movie"/>
    <x v="7"/>
    <n v="2021"/>
    <x v="1"/>
    <s v="2022-08-26"/>
    <n v="136"/>
    <s v="PG-13"/>
    <n v="5.3"/>
    <n v="570.4"/>
    <s v="Japanese"/>
    <s v="Greta Gerwig"/>
    <s v="Brad Pitt"/>
    <m/>
    <n v="34"/>
    <n v="186.8"/>
    <s v="Flop"/>
    <s v="Blockbuster"/>
    <s v="No"/>
    <s v="Low"/>
    <n v="152.80000000000001"/>
    <n v="549.41176470588232"/>
  </r>
  <r>
    <s v="NFX-101269"/>
    <s v="Silent Protocol 7"/>
    <s v="Movie"/>
    <x v="4"/>
    <n v="2022"/>
    <x v="2"/>
    <s v="2021-02-16"/>
    <n v="154"/>
    <s v="16+"/>
    <n v="9"/>
    <n v="28.6"/>
    <s v="German"/>
    <s v="Denis Villeneuve"/>
    <s v="Brad Pitt"/>
    <m/>
    <n v="142"/>
    <n v="430.1"/>
    <s v="Hit"/>
    <s v="Normal"/>
    <s v="No"/>
    <s v="High"/>
    <n v="288.10000000000002"/>
    <n v="302.88732394366195"/>
  </r>
  <r>
    <s v="NFX-101270"/>
    <s v="Dark Protocol 6"/>
    <s v="TV Show"/>
    <x v="9"/>
    <n v="2016"/>
    <x v="0"/>
    <s v="2020-02-07"/>
    <n v="35"/>
    <s v="PG"/>
    <n v="7.5"/>
    <n v="590.6"/>
    <s v="Japanese"/>
    <s v="Sanjay Leela Bhansali"/>
    <s v="Brad Pitt"/>
    <n v="1"/>
    <n v="120"/>
    <n v="417.4"/>
    <s v="Average"/>
    <s v="Blockbuster"/>
    <s v="Yes"/>
    <s v="High"/>
    <n v="297.39999999999998"/>
    <n v="347.83333333333331"/>
  </r>
  <r>
    <s v="NFX-101271"/>
    <s v="Last Archive 7"/>
    <s v="TV Show"/>
    <x v="6"/>
    <n v="2011"/>
    <x v="2"/>
    <s v="2022-10-03"/>
    <n v="40"/>
    <s v="16+"/>
    <n v="5.3"/>
    <n v="149.1"/>
    <s v="French"/>
    <s v="Greta Gerwig"/>
    <s v="Robert Downey Jr."/>
    <n v="3"/>
    <n v="154"/>
    <n v="583.9"/>
    <s v="Flop"/>
    <s v="Normal"/>
    <s v="No"/>
    <s v="High"/>
    <n v="429.9"/>
    <n v="379.15584415584414"/>
  </r>
  <r>
    <s v="NFX-101272"/>
    <s v="Rising Protocol 4"/>
    <s v="TV Show"/>
    <x v="7"/>
    <n v="2010"/>
    <x v="8"/>
    <s v="2019-04-25"/>
    <n v="35"/>
    <s v="G"/>
    <n v="9.3000000000000007"/>
    <n v="98.2"/>
    <s v="Spanish"/>
    <s v="Denis Villeneuve"/>
    <s v="Robert Downey Jr."/>
    <n v="7"/>
    <n v="88"/>
    <n v="539.70000000000005"/>
    <s v="Hit"/>
    <s v="Normal"/>
    <s v="Yes"/>
    <s v="Low"/>
    <n v="451.70000000000005"/>
    <n v="613.29545454545462"/>
  </r>
  <r>
    <s v="NFX-101273"/>
    <s v="Burning Code 1"/>
    <s v="TV Show"/>
    <x v="7"/>
    <n v="2024"/>
    <x v="3"/>
    <s v="2022-02-23"/>
    <n v="52"/>
    <s v="PG-13"/>
    <n v="5.7"/>
    <n v="535.20000000000005"/>
    <s v="German"/>
    <s v="Zoya Akhtar"/>
    <s v="Ranbir Kapoor"/>
    <n v="2"/>
    <n v="54"/>
    <n v="273.5"/>
    <s v="Flop"/>
    <s v="Blockbuster"/>
    <s v="No"/>
    <s v="Low"/>
    <n v="219.5"/>
    <n v="506.48148148148147"/>
  </r>
  <r>
    <s v="NFX-101274"/>
    <s v="Golden City 1"/>
    <s v="TV Show"/>
    <x v="6"/>
    <n v="2005"/>
    <x v="1"/>
    <s v="2021-11-12"/>
    <n v="40"/>
    <s v="16+"/>
    <n v="8.4"/>
    <n v="400.1"/>
    <s v="Hindi"/>
    <s v="Rajkumar Hirani"/>
    <s v="Jennifer Lawrence"/>
    <n v="8"/>
    <n v="131"/>
    <n v="159.30000000000001"/>
    <s v="Hit"/>
    <s v="Blockbuster"/>
    <s v="No"/>
    <s v="High"/>
    <n v="28.300000000000011"/>
    <n v="121.6030534351145"/>
  </r>
  <r>
    <s v="NFX-101275"/>
    <s v="Secret Archive 8"/>
    <s v="Movie"/>
    <x v="8"/>
    <n v="2021"/>
    <x v="7"/>
    <s v="2019-02-14"/>
    <n v="124"/>
    <s v="G"/>
    <n v="7.9"/>
    <n v="474.5"/>
    <s v="Korean"/>
    <s v="Steven Spielberg"/>
    <s v="Tom Hardy"/>
    <m/>
    <n v="184"/>
    <n v="1095.3"/>
    <s v="Average"/>
    <s v="Blockbuster"/>
    <s v="Yes"/>
    <s v="High"/>
    <n v="911.3"/>
    <n v="595.27173913043475"/>
  </r>
  <r>
    <s v="NFX-101276"/>
    <s v="Fading Valley 6"/>
    <s v="Movie"/>
    <x v="3"/>
    <n v="2012"/>
    <x v="3"/>
    <s v="2018-08-05"/>
    <n v="95"/>
    <s v="PG-13"/>
    <n v="7.6"/>
    <n v="121.9"/>
    <s v="French"/>
    <s v="Ridley Scott"/>
    <s v="Scarlett Johansson"/>
    <m/>
    <n v="109"/>
    <n v="619"/>
    <s v="Average"/>
    <s v="Normal"/>
    <s v="No"/>
    <s v="High"/>
    <n v="510"/>
    <n v="567.88990825688074"/>
  </r>
  <r>
    <s v="NFX-101277"/>
    <s v="Golden Signal 8"/>
    <s v="TV Show"/>
    <x v="2"/>
    <n v="2023"/>
    <x v="0"/>
    <s v="2024-10-16"/>
    <n v="48"/>
    <s v="16+"/>
    <n v="8.4"/>
    <n v="305.89999999999998"/>
    <s v="German"/>
    <s v="Denis Villeneuve"/>
    <s v="Ryan Gosling"/>
    <n v="3"/>
    <n v="9"/>
    <n v="43.5"/>
    <s v="Hit"/>
    <s v="Popular"/>
    <s v="No"/>
    <s v="Low"/>
    <n v="34.5"/>
    <n v="483.33333333333331"/>
  </r>
  <r>
    <s v="NFX-101278"/>
    <s v="Shadow Signal 5"/>
    <s v="TV Show"/>
    <x v="1"/>
    <n v="2015"/>
    <x v="9"/>
    <s v="2023-10-19"/>
    <n v="30"/>
    <s v="18+"/>
    <n v="6.2"/>
    <n v="577.70000000000005"/>
    <s v="German"/>
    <s v="Sanjay Leela Bhansali"/>
    <s v="Leonardo DiCaprio"/>
    <n v="2"/>
    <n v="71"/>
    <n v="229.3"/>
    <s v="Average"/>
    <s v="Blockbuster"/>
    <s v="No"/>
    <s v="Low"/>
    <n v="158.30000000000001"/>
    <n v="322.95774647887328"/>
  </r>
  <r>
    <s v="NFX-101279"/>
    <s v="Golden Empire 3"/>
    <s v="TV Show"/>
    <x v="7"/>
    <n v="2014"/>
    <x v="0"/>
    <s v="2021-06-25"/>
    <n v="53"/>
    <s v="PG-13"/>
    <n v="9.3000000000000007"/>
    <n v="456.3"/>
    <s v="Spanish"/>
    <s v="Denis Villeneuve"/>
    <s v="Ryan Gosling"/>
    <n v="4"/>
    <n v="26"/>
    <n v="140.9"/>
    <s v="Hit"/>
    <s v="Blockbuster"/>
    <s v="No"/>
    <s v="Low"/>
    <n v="114.9"/>
    <n v="541.92307692307691"/>
  </r>
  <r>
    <s v="NFX-101280"/>
    <s v="Golden Empire 9"/>
    <s v="Movie"/>
    <x v="1"/>
    <n v="2010"/>
    <x v="3"/>
    <s v="2023-09-27"/>
    <n v="167"/>
    <s v="PG"/>
    <n v="8.8000000000000007"/>
    <n v="588.1"/>
    <s v="English"/>
    <s v="Quentin Tarantino"/>
    <s v="Brad Pitt"/>
    <m/>
    <n v="134"/>
    <n v="652.6"/>
    <s v="Hit"/>
    <s v="Blockbuster"/>
    <s v="Yes"/>
    <s v="High"/>
    <n v="518.6"/>
    <n v="487.0149253731343"/>
  </r>
  <r>
    <s v="NFX-101281"/>
    <s v="Silent Legacy 6"/>
    <s v="Movie"/>
    <x v="1"/>
    <n v="2013"/>
    <x v="9"/>
    <s v="2019-03-21"/>
    <n v="173"/>
    <s v="PG"/>
    <n v="8.4"/>
    <n v="216.9"/>
    <s v="Japanese"/>
    <s v="Bong Joon-ho"/>
    <s v="Tom Hardy"/>
    <m/>
    <n v="85"/>
    <n v="490.4"/>
    <s v="Hit"/>
    <s v="Popular"/>
    <s v="Yes"/>
    <s v="Low"/>
    <n v="405.4"/>
    <n v="576.94117647058829"/>
  </r>
  <r>
    <s v="NFX-101282"/>
    <s v="Dark Signal 3"/>
    <s v="TV Show"/>
    <x v="10"/>
    <n v="2005"/>
    <x v="2"/>
    <s v="2023-03-08"/>
    <n v="44"/>
    <s v="PG-13"/>
    <n v="7.7"/>
    <n v="238.7"/>
    <s v="Hindi"/>
    <s v="Steven Spielberg"/>
    <s v="Tom Hardy"/>
    <n v="6"/>
    <n v="200"/>
    <n v="828.9"/>
    <s v="Average"/>
    <s v="Popular"/>
    <s v="No"/>
    <s v="High"/>
    <n v="628.9"/>
    <n v="414.45"/>
  </r>
  <r>
    <s v="NFX-101283"/>
    <s v="Burning Horizon 1"/>
    <s v="TV Show"/>
    <x v="1"/>
    <n v="2001"/>
    <x v="1"/>
    <s v="2019-12-25"/>
    <n v="30"/>
    <s v="18+"/>
    <n v="6.7"/>
    <n v="399.9"/>
    <s v="English"/>
    <s v="Christopher Nolan"/>
    <s v="Robert Downey Jr."/>
    <n v="2"/>
    <n v="165"/>
    <n v="407.7"/>
    <s v="Average"/>
    <s v="Popular"/>
    <s v="No"/>
    <s v="High"/>
    <n v="242.7"/>
    <n v="247.09090909090907"/>
  </r>
  <r>
    <s v="NFX-101284"/>
    <s v="Golden Journey 7"/>
    <s v="Movie"/>
    <x v="5"/>
    <n v="2002"/>
    <x v="4"/>
    <s v="2019-07-17"/>
    <n v="115"/>
    <s v="PG-13"/>
    <n v="7.5"/>
    <n v="510.5"/>
    <s v="German"/>
    <s v="Ridley Scott"/>
    <s v="Shah Rukh Khan"/>
    <m/>
    <n v="153"/>
    <n v="332"/>
    <s v="Average"/>
    <s v="Blockbuster"/>
    <s v="No"/>
    <s v="High"/>
    <n v="179"/>
    <n v="216.99346405228758"/>
  </r>
  <r>
    <s v="NFX-101285"/>
    <s v="Dark Frontier 1"/>
    <s v="Movie"/>
    <x v="9"/>
    <n v="2013"/>
    <x v="3"/>
    <s v="2018-04-12"/>
    <n v="151"/>
    <s v="16+"/>
    <n v="7.7"/>
    <n v="170.8"/>
    <s v="Japanese"/>
    <s v="Zoya Akhtar"/>
    <s v="Timothée Chalamet"/>
    <m/>
    <n v="148"/>
    <n v="943.7"/>
    <s v="Average"/>
    <s v="Normal"/>
    <s v="No"/>
    <s v="High"/>
    <n v="795.7"/>
    <n v="637.6351351351351"/>
  </r>
  <r>
    <s v="NFX-101286"/>
    <s v="Lost Horizon 6"/>
    <s v="Movie"/>
    <x v="4"/>
    <n v="2019"/>
    <x v="2"/>
    <s v="2021-08-09"/>
    <n v="110"/>
    <s v="G"/>
    <n v="7.6"/>
    <n v="456.8"/>
    <s v="Japanese"/>
    <s v="Zoya Akhtar"/>
    <s v="Scarlett Johansson"/>
    <m/>
    <n v="82"/>
    <n v="172.1"/>
    <s v="Average"/>
    <s v="Blockbuster"/>
    <s v="Yes"/>
    <s v="Low"/>
    <n v="90.1"/>
    <n v="209.8780487804878"/>
  </r>
  <r>
    <s v="NFX-101287"/>
    <s v="Crystal Storm 3"/>
    <s v="TV Show"/>
    <x v="4"/>
    <n v="2013"/>
    <x v="2"/>
    <s v="2022-06-13"/>
    <n v="56"/>
    <s v="PG"/>
    <n v="6.1"/>
    <n v="281"/>
    <s v="Spanish"/>
    <s v="Quentin Tarantino"/>
    <s v="Timothée Chalamet"/>
    <n v="6"/>
    <n v="196"/>
    <n v="1167"/>
    <s v="Average"/>
    <s v="Popular"/>
    <s v="Yes"/>
    <s v="High"/>
    <n v="971"/>
    <n v="595.40816326530614"/>
  </r>
  <r>
    <s v="NFX-101288"/>
    <s v="Dark Legacy 6"/>
    <s v="TV Show"/>
    <x v="6"/>
    <n v="2014"/>
    <x v="1"/>
    <s v="2023-02-11"/>
    <n v="37"/>
    <s v="PG-13"/>
    <n v="6.5"/>
    <n v="556.79999999999995"/>
    <s v="English"/>
    <s v="Anurag Kashyap"/>
    <s v="Chris Evans"/>
    <n v="1"/>
    <n v="105"/>
    <n v="171.2"/>
    <s v="Average"/>
    <s v="Blockbuster"/>
    <s v="No"/>
    <s v="High"/>
    <n v="66.199999999999989"/>
    <n v="163.04761904761904"/>
  </r>
  <r>
    <s v="NFX-101289"/>
    <s v="Midnight Chronicles 5"/>
    <s v="Movie"/>
    <x v="1"/>
    <n v="2010"/>
    <x v="3"/>
    <s v="2022-09-16"/>
    <n v="126"/>
    <s v="18+"/>
    <n v="8.1999999999999993"/>
    <n v="92.3"/>
    <s v="English"/>
    <s v="Greta Gerwig"/>
    <s v="Shah Rukh Khan"/>
    <m/>
    <n v="158"/>
    <n v="568.70000000000005"/>
    <s v="Hit"/>
    <s v="Normal"/>
    <s v="No"/>
    <s v="High"/>
    <n v="410.70000000000005"/>
    <n v="359.9367088607595"/>
  </r>
  <r>
    <s v="NFX-101290"/>
    <s v="Broken Legacy 7"/>
    <s v="Movie"/>
    <x v="4"/>
    <n v="2016"/>
    <x v="5"/>
    <s v="2020-08-12"/>
    <n v="176"/>
    <s v="PG-13"/>
    <n v="4.5999999999999996"/>
    <n v="208.6"/>
    <s v="Japanese"/>
    <s v="Bong Joon-ho"/>
    <s v="Jennifer Lawrence"/>
    <m/>
    <n v="10"/>
    <n v="39.5"/>
    <s v="Flop"/>
    <s v="Popular"/>
    <s v="No"/>
    <s v="Low"/>
    <n v="29.5"/>
    <n v="395"/>
  </r>
  <r>
    <s v="NFX-101291"/>
    <s v="Golden Odyssey 9"/>
    <s v="TV Show"/>
    <x v="5"/>
    <n v="2025"/>
    <x v="0"/>
    <s v="2022-07-17"/>
    <n v="38"/>
    <s v="16+"/>
    <n v="7.1"/>
    <n v="285.5"/>
    <s v="Korean"/>
    <s v="Zoya Akhtar"/>
    <s v="Timothée Chalamet"/>
    <n v="5"/>
    <n v="16"/>
    <n v="25.4"/>
    <s v="Average"/>
    <s v="Popular"/>
    <s v="No"/>
    <s v="Low"/>
    <n v="9.3999999999999986"/>
    <n v="158.75"/>
  </r>
  <r>
    <s v="NFX-101292"/>
    <s v="Crystal Odyssey 9"/>
    <s v="TV Show"/>
    <x v="8"/>
    <n v="2010"/>
    <x v="7"/>
    <s v="2022-09-17"/>
    <n v="52"/>
    <s v="PG-13"/>
    <n v="4.8"/>
    <n v="474.6"/>
    <s v="English"/>
    <s v="Christopher Nolan"/>
    <s v="Shah Rukh Khan"/>
    <n v="3"/>
    <n v="44"/>
    <n v="67.3"/>
    <s v="Flop"/>
    <s v="Blockbuster"/>
    <s v="No"/>
    <s v="Low"/>
    <n v="23.299999999999997"/>
    <n v="152.95454545454547"/>
  </r>
  <r>
    <s v="NFX-101293"/>
    <s v="Golden Code 5"/>
    <s v="TV Show"/>
    <x v="8"/>
    <n v="2018"/>
    <x v="5"/>
    <s v="2022-01-19"/>
    <n v="50"/>
    <s v="PG-13"/>
    <n v="6.6"/>
    <n v="341.2"/>
    <s v="Spanish"/>
    <s v="James Cameron"/>
    <s v="Leonardo DiCaprio"/>
    <n v="5"/>
    <n v="199"/>
    <n v="747.8"/>
    <s v="Average"/>
    <s v="Popular"/>
    <s v="No"/>
    <s v="High"/>
    <n v="548.79999999999995"/>
    <n v="375.77889447236174"/>
  </r>
  <r>
    <s v="NFX-101294"/>
    <s v="Dark Storm 8"/>
    <s v="Movie"/>
    <x v="5"/>
    <n v="2004"/>
    <x v="5"/>
    <s v="2023-03-07"/>
    <n v="137"/>
    <s v="G"/>
    <n v="8.5"/>
    <n v="420.1"/>
    <s v="Spanish"/>
    <s v="Ridley Scott"/>
    <s v="Jennifer Lawrence"/>
    <m/>
    <n v="95"/>
    <n v="215.1"/>
    <s v="Hit"/>
    <s v="Blockbuster"/>
    <s v="Yes"/>
    <s v="Low"/>
    <n v="120.1"/>
    <n v="226.42105263157896"/>
  </r>
  <r>
    <s v="NFX-101295"/>
    <s v="Iron Empire 5"/>
    <s v="TV Show"/>
    <x v="5"/>
    <n v="2024"/>
    <x v="3"/>
    <s v="2020-11-05"/>
    <n v="34"/>
    <s v="PG-13"/>
    <n v="7.1"/>
    <n v="318"/>
    <s v="Korean"/>
    <s v="Sanjay Leela Bhansali"/>
    <s v="Robert Downey Jr."/>
    <n v="6"/>
    <n v="163"/>
    <n v="668.4"/>
    <s v="Average"/>
    <s v="Popular"/>
    <s v="No"/>
    <s v="High"/>
    <n v="505.4"/>
    <n v="410.06134969325149"/>
  </r>
  <r>
    <s v="NFX-101296"/>
    <s v="Secret Code 9"/>
    <s v="TV Show"/>
    <x v="4"/>
    <n v="2001"/>
    <x v="6"/>
    <s v="2020-02-25"/>
    <n v="36"/>
    <s v="G"/>
    <n v="5.3"/>
    <n v="394"/>
    <s v="Spanish"/>
    <s v="Park Chan-wook"/>
    <s v="Tom Hardy"/>
    <n v="2"/>
    <n v="14"/>
    <n v="46.3"/>
    <s v="Flop"/>
    <s v="Popular"/>
    <s v="Yes"/>
    <s v="Low"/>
    <n v="32.299999999999997"/>
    <n v="330.71428571428567"/>
  </r>
  <r>
    <s v="NFX-101297"/>
    <s v="Golden Code 1"/>
    <s v="TV Show"/>
    <x v="0"/>
    <n v="2025"/>
    <x v="8"/>
    <s v="2020-04-24"/>
    <n v="32"/>
    <s v="PG"/>
    <n v="6.1"/>
    <n v="418.3"/>
    <s v="French"/>
    <s v="Park Chan-wook"/>
    <s v="Tom Hardy"/>
    <n v="1"/>
    <n v="69"/>
    <n v="169.5"/>
    <s v="Average"/>
    <s v="Blockbuster"/>
    <s v="Yes"/>
    <s v="Low"/>
    <n v="100.5"/>
    <n v="245.65217391304347"/>
  </r>
  <r>
    <s v="NFX-101298"/>
    <s v="Shadow Empire 3"/>
    <s v="TV Show"/>
    <x v="7"/>
    <n v="2022"/>
    <x v="2"/>
    <s v="2020-08-07"/>
    <n v="40"/>
    <s v="18+"/>
    <n v="6.9"/>
    <n v="576.29999999999995"/>
    <s v="Spanish"/>
    <s v="Greta Gerwig"/>
    <s v="Robert Downey Jr."/>
    <n v="3"/>
    <n v="35"/>
    <n v="177.7"/>
    <s v="Average"/>
    <s v="Blockbuster"/>
    <s v="No"/>
    <s v="Low"/>
    <n v="142.69999999999999"/>
    <n v="507.71428571428567"/>
  </r>
  <r>
    <s v="NFX-101299"/>
    <s v="Burning Journey 3"/>
    <s v="TV Show"/>
    <x v="3"/>
    <n v="2008"/>
    <x v="6"/>
    <s v="2022-03-28"/>
    <n v="40"/>
    <s v="PG-13"/>
    <n v="5.2"/>
    <n v="190.4"/>
    <s v="Japanese"/>
    <s v="James Cameron"/>
    <s v="Jennifer Lawrence"/>
    <n v="2"/>
    <n v="118"/>
    <n v="647.4"/>
    <s v="Flop"/>
    <s v="Normal"/>
    <s v="No"/>
    <s v="High"/>
    <n v="529.4"/>
    <n v="548.64406779661022"/>
  </r>
  <r>
    <s v="NFX-101300"/>
    <s v="Shadow Legacy 8"/>
    <s v="TV Show"/>
    <x v="6"/>
    <n v="2006"/>
    <x v="8"/>
    <s v="2022-09-26"/>
    <n v="58"/>
    <s v="G"/>
    <n v="9"/>
    <n v="266.39999999999998"/>
    <s v="German"/>
    <s v="Anurag Kashyap"/>
    <s v="Timothée Chalamet"/>
    <n v="5"/>
    <n v="147"/>
    <n v="247.4"/>
    <s v="Hit"/>
    <s v="Popular"/>
    <s v="Yes"/>
    <s v="High"/>
    <n v="100.4"/>
    <n v="168.29931972789117"/>
  </r>
  <r>
    <s v="NFX-101301"/>
    <s v="Lost Storm 5"/>
    <s v="TV Show"/>
    <x v="8"/>
    <n v="2014"/>
    <x v="0"/>
    <s v="2024-01-17"/>
    <n v="52"/>
    <s v="16+"/>
    <n v="8.1"/>
    <n v="583.29999999999995"/>
    <s v="French"/>
    <s v="Guillermo del Toro"/>
    <s v="Lee Jung-jae"/>
    <n v="7"/>
    <n v="159"/>
    <n v="812.3"/>
    <s v="Hit"/>
    <s v="Blockbuster"/>
    <s v="No"/>
    <s v="High"/>
    <n v="653.29999999999995"/>
    <n v="510.88050314465409"/>
  </r>
  <r>
    <s v="NFX-101302"/>
    <s v="Crystal Chronicles 4"/>
    <s v="Movie"/>
    <x v="5"/>
    <n v="2000"/>
    <x v="3"/>
    <s v="2019-08-30"/>
    <n v="148"/>
    <s v="G"/>
    <n v="4.5999999999999996"/>
    <n v="370.7"/>
    <s v="English"/>
    <s v="Anurag Kashyap"/>
    <s v="Leonardo DiCaprio"/>
    <m/>
    <n v="28"/>
    <n v="148.80000000000001"/>
    <s v="Flop"/>
    <s v="Popular"/>
    <s v="Yes"/>
    <s v="Low"/>
    <n v="120.80000000000001"/>
    <n v="531.42857142857144"/>
  </r>
  <r>
    <s v="NFX-101303"/>
    <s v="Hidden Code 1"/>
    <s v="TV Show"/>
    <x v="5"/>
    <n v="2004"/>
    <x v="2"/>
    <s v="2021-11-16"/>
    <n v="39"/>
    <s v="16+"/>
    <n v="9.1999999999999993"/>
    <n v="498"/>
    <s v="Hindi"/>
    <s v="James Cameron"/>
    <s v="Scarlett Johansson"/>
    <n v="3"/>
    <n v="26"/>
    <n v="67.3"/>
    <s v="Hit"/>
    <s v="Blockbuster"/>
    <s v="No"/>
    <s v="Low"/>
    <n v="41.3"/>
    <n v="258.84615384615381"/>
  </r>
  <r>
    <s v="NFX-101304"/>
    <s v="Crystal Valley 7"/>
    <s v="TV Show"/>
    <x v="10"/>
    <n v="2009"/>
    <x v="9"/>
    <s v="2021-05-24"/>
    <n v="34"/>
    <s v="18+"/>
    <n v="6.8"/>
    <n v="334"/>
    <s v="Japanese"/>
    <s v="Bong Joon-ho"/>
    <s v="Robert Downey Jr."/>
    <n v="1"/>
    <n v="157"/>
    <n v="422.1"/>
    <s v="Average"/>
    <s v="Popular"/>
    <s v="No"/>
    <s v="High"/>
    <n v="265.10000000000002"/>
    <n v="268.85350318471336"/>
  </r>
  <r>
    <s v="NFX-101305"/>
    <s v="Rising Frontier 2"/>
    <s v="TV Show"/>
    <x v="1"/>
    <n v="2020"/>
    <x v="2"/>
    <s v="2024-08-28"/>
    <n v="44"/>
    <s v="18+"/>
    <n v="8.6"/>
    <n v="103.3"/>
    <s v="Spanish"/>
    <s v="Denis Villeneuve"/>
    <s v="Timothée Chalamet"/>
    <n v="4"/>
    <n v="67"/>
    <n v="408.7"/>
    <s v="Hit"/>
    <s v="Normal"/>
    <s v="No"/>
    <s v="Low"/>
    <n v="341.7"/>
    <n v="610"/>
  </r>
  <r>
    <s v="NFX-101306"/>
    <s v="Secret City 4"/>
    <s v="TV Show"/>
    <x v="4"/>
    <n v="2014"/>
    <x v="7"/>
    <s v="2019-01-03"/>
    <n v="34"/>
    <s v="16+"/>
    <n v="6"/>
    <n v="175.3"/>
    <s v="English"/>
    <s v="Quentin Tarantino"/>
    <s v="Shah Rukh Khan"/>
    <n v="1"/>
    <n v="60"/>
    <n v="79.8"/>
    <s v="Average"/>
    <s v="Normal"/>
    <s v="No"/>
    <s v="Low"/>
    <n v="19.799999999999997"/>
    <n v="132.99999999999997"/>
  </r>
  <r>
    <s v="NFX-101307"/>
    <s v="Golden Storm 1"/>
    <s v="Movie"/>
    <x v="0"/>
    <n v="2003"/>
    <x v="5"/>
    <s v="2019-08-12"/>
    <n v="145"/>
    <s v="18+"/>
    <n v="5.0999999999999996"/>
    <n v="564.79999999999995"/>
    <s v="Korean"/>
    <s v="Denis Villeneuve"/>
    <s v="Ryan Gosling"/>
    <m/>
    <n v="88"/>
    <n v="352.5"/>
    <s v="Flop"/>
    <s v="Blockbuster"/>
    <s v="No"/>
    <s v="Low"/>
    <n v="264.5"/>
    <n v="400.56818181818181"/>
  </r>
  <r>
    <s v="NFX-101308"/>
    <s v="Shadow Protocol 3"/>
    <s v="TV Show"/>
    <x v="8"/>
    <n v="2005"/>
    <x v="6"/>
    <s v="2020-04-17"/>
    <n v="45"/>
    <s v="PG-13"/>
    <n v="7.3"/>
    <n v="565.6"/>
    <s v="Spanish"/>
    <s v="Zoya Akhtar"/>
    <s v="Jennifer Lawrence"/>
    <n v="3"/>
    <n v="140"/>
    <n v="720.9"/>
    <s v="Average"/>
    <s v="Blockbuster"/>
    <s v="No"/>
    <s v="High"/>
    <n v="580.9"/>
    <n v="514.92857142857144"/>
  </r>
  <r>
    <s v="NFX-101309"/>
    <s v="Burning Echo 3"/>
    <s v="Movie"/>
    <x v="6"/>
    <n v="2016"/>
    <x v="8"/>
    <s v="2019-03-19"/>
    <n v="150"/>
    <s v="G"/>
    <n v="7.7"/>
    <n v="551.1"/>
    <s v="French"/>
    <s v="Sanjay Leela Bhansali"/>
    <s v="Emma Stone"/>
    <m/>
    <n v="41"/>
    <n v="194"/>
    <s v="Average"/>
    <s v="Blockbuster"/>
    <s v="Yes"/>
    <s v="Low"/>
    <n v="153"/>
    <n v="473.17073170731703"/>
  </r>
  <r>
    <s v="NFX-101310"/>
    <s v="Golden Code 9"/>
    <s v="TV Show"/>
    <x v="5"/>
    <n v="2011"/>
    <x v="7"/>
    <s v="2022-09-23"/>
    <n v="47"/>
    <s v="PG-13"/>
    <n v="9.4"/>
    <n v="380.7"/>
    <s v="English"/>
    <s v="Park Chan-wook"/>
    <s v="Chris Evans"/>
    <n v="1"/>
    <n v="60"/>
    <n v="326"/>
    <s v="Hit"/>
    <s v="Popular"/>
    <s v="No"/>
    <s v="Low"/>
    <n v="266"/>
    <n v="543.33333333333337"/>
  </r>
  <r>
    <s v="NFX-101311"/>
    <s v="Burning Frontier 8"/>
    <s v="Movie"/>
    <x v="1"/>
    <n v="2014"/>
    <x v="9"/>
    <s v="2021-05-19"/>
    <n v="148"/>
    <s v="16+"/>
    <n v="8.5"/>
    <n v="585.4"/>
    <s v="Hindi"/>
    <s v="Sanjay Leela Bhansali"/>
    <s v="Shah Rukh Khan"/>
    <m/>
    <n v="8"/>
    <n v="10.5"/>
    <s v="Hit"/>
    <s v="Blockbuster"/>
    <s v="No"/>
    <s v="Low"/>
    <n v="2.5"/>
    <n v="131.25"/>
  </r>
  <r>
    <s v="NFX-101312"/>
    <s v="Midnight Signal 8"/>
    <s v="Movie"/>
    <x v="5"/>
    <n v="2008"/>
    <x v="3"/>
    <s v="2019-02-03"/>
    <n v="80"/>
    <s v="16+"/>
    <n v="8.1999999999999993"/>
    <n v="367.1"/>
    <s v="Korean"/>
    <s v="Steven Spielberg"/>
    <s v="Lee Jung-jae"/>
    <m/>
    <n v="106"/>
    <n v="658.8"/>
    <s v="Hit"/>
    <s v="Popular"/>
    <s v="No"/>
    <s v="High"/>
    <n v="552.79999999999995"/>
    <n v="621.5094339622641"/>
  </r>
  <r>
    <s v="NFX-101313"/>
    <s v="Rising Frontier 6"/>
    <s v="TV Show"/>
    <x v="4"/>
    <n v="2009"/>
    <x v="9"/>
    <s v="2019-09-09"/>
    <n v="51"/>
    <s v="16+"/>
    <n v="7.1"/>
    <n v="207.4"/>
    <s v="Hindi"/>
    <s v="Greta Gerwig"/>
    <s v="Song Kang-ho"/>
    <n v="6"/>
    <n v="150"/>
    <n v="889.5"/>
    <s v="Average"/>
    <s v="Popular"/>
    <s v="No"/>
    <s v="High"/>
    <n v="739.5"/>
    <n v="593"/>
  </r>
  <r>
    <s v="NFX-101314"/>
    <s v="Fading Odyssey 5"/>
    <s v="TV Show"/>
    <x v="5"/>
    <n v="2008"/>
    <x v="8"/>
    <s v="2018-10-09"/>
    <n v="35"/>
    <s v="G"/>
    <n v="8.6"/>
    <n v="57.9"/>
    <s v="Korean"/>
    <s v="Zoya Akhtar"/>
    <s v="Scarlett Johansson"/>
    <n v="1"/>
    <n v="174"/>
    <n v="925.9"/>
    <s v="Hit"/>
    <s v="Normal"/>
    <s v="Yes"/>
    <s v="High"/>
    <n v="751.9"/>
    <n v="532.12643678160919"/>
  </r>
  <r>
    <s v="NFX-101315"/>
    <s v="Golden Protocol 3"/>
    <s v="TV Show"/>
    <x v="3"/>
    <n v="2016"/>
    <x v="5"/>
    <s v="2022-03-26"/>
    <n v="60"/>
    <s v="G"/>
    <n v="9.6"/>
    <n v="494.6"/>
    <s v="Hindi"/>
    <s v="Rajkumar Hirani"/>
    <s v="Lee Jung-jae"/>
    <n v="6"/>
    <n v="184"/>
    <n v="865"/>
    <s v="Hit"/>
    <s v="Blockbuster"/>
    <s v="Yes"/>
    <s v="High"/>
    <n v="681"/>
    <n v="470.10869565217394"/>
  </r>
  <r>
    <s v="NFX-101316"/>
    <s v="Burning Journey 4"/>
    <s v="Movie"/>
    <x v="8"/>
    <n v="2023"/>
    <x v="2"/>
    <s v="2019-05-25"/>
    <n v="119"/>
    <s v="18+"/>
    <n v="8.5"/>
    <n v="409.4"/>
    <s v="Japanese"/>
    <s v="Ridley Scott"/>
    <s v="Lee Jung-jae"/>
    <m/>
    <n v="128"/>
    <n v="173"/>
    <s v="Hit"/>
    <s v="Blockbuster"/>
    <s v="No"/>
    <s v="High"/>
    <n v="45"/>
    <n v="135.15625"/>
  </r>
  <r>
    <s v="NFX-101317"/>
    <s v="Rising Chronicles 2"/>
    <s v="Movie"/>
    <x v="9"/>
    <n v="2025"/>
    <x v="1"/>
    <s v="2020-11-18"/>
    <n v="130"/>
    <s v="16+"/>
    <n v="5.7"/>
    <n v="99.6"/>
    <s v="English"/>
    <s v="Steven Spielberg"/>
    <s v="Leonardo DiCaprio"/>
    <m/>
    <n v="185"/>
    <n v="452.5"/>
    <s v="Flop"/>
    <s v="Normal"/>
    <s v="No"/>
    <s v="High"/>
    <n v="267.5"/>
    <n v="244.59459459459461"/>
  </r>
  <r>
    <s v="NFX-101318"/>
    <s v="Fading Odyssey 2"/>
    <s v="Movie"/>
    <x v="7"/>
    <n v="2005"/>
    <x v="7"/>
    <s v="2018-06-18"/>
    <n v="152"/>
    <s v="G"/>
    <n v="5.9"/>
    <n v="226.4"/>
    <s v="German"/>
    <s v="Rajkumar Hirani"/>
    <s v="Jennifer Lawrence"/>
    <m/>
    <n v="61"/>
    <n v="98.2"/>
    <s v="Flop"/>
    <s v="Popular"/>
    <s v="Yes"/>
    <s v="Low"/>
    <n v="37.200000000000003"/>
    <n v="160.98360655737704"/>
  </r>
  <r>
    <s v="NFX-101319"/>
    <s v="Fading Chronicles 7"/>
    <s v="TV Show"/>
    <x v="1"/>
    <n v="2020"/>
    <x v="7"/>
    <s v="2022-04-17"/>
    <n v="36"/>
    <s v="PG"/>
    <n v="5.8"/>
    <n v="500.8"/>
    <s v="Korean"/>
    <s v="Sanjay Leela Bhansali"/>
    <s v="Deepika Padukone"/>
    <n v="6"/>
    <n v="191"/>
    <n v="342.3"/>
    <s v="Flop"/>
    <s v="Blockbuster"/>
    <s v="Yes"/>
    <s v="High"/>
    <n v="151.30000000000001"/>
    <n v="179.21465968586386"/>
  </r>
  <r>
    <s v="NFX-101320"/>
    <s v="Hidden Code 8"/>
    <s v="Movie"/>
    <x v="7"/>
    <n v="2001"/>
    <x v="2"/>
    <s v="2020-01-31"/>
    <n v="169"/>
    <s v="18+"/>
    <n v="8.1999999999999993"/>
    <n v="205.9"/>
    <s v="French"/>
    <s v="Zoya Akhtar"/>
    <s v="Brad Pitt"/>
    <m/>
    <n v="181"/>
    <n v="477.1"/>
    <s v="Hit"/>
    <s v="Popular"/>
    <s v="No"/>
    <s v="High"/>
    <n v="296.10000000000002"/>
    <n v="263.59116022099448"/>
  </r>
  <r>
    <s v="NFX-101321"/>
    <s v="Shadow Code 9"/>
    <s v="TV Show"/>
    <x v="4"/>
    <n v="2021"/>
    <x v="5"/>
    <s v="2019-01-23"/>
    <n v="58"/>
    <s v="PG"/>
    <n v="5.9"/>
    <n v="346.6"/>
    <s v="Spanish"/>
    <s v="Sanjay Leela Bhansali"/>
    <s v="Song Kang-ho"/>
    <n v="8"/>
    <n v="85"/>
    <n v="198.1"/>
    <s v="Flop"/>
    <s v="Popular"/>
    <s v="Yes"/>
    <s v="Low"/>
    <n v="113.1"/>
    <n v="233.05882352941177"/>
  </r>
  <r>
    <s v="NFX-101322"/>
    <s v="Dark Storm 6"/>
    <s v="Movie"/>
    <x v="3"/>
    <n v="2023"/>
    <x v="6"/>
    <s v="2023-03-23"/>
    <n v="160"/>
    <s v="PG-13"/>
    <n v="7.4"/>
    <n v="401.8"/>
    <s v="Hindi"/>
    <s v="Anurag Kashyap"/>
    <s v="Shah Rukh Khan"/>
    <m/>
    <n v="119"/>
    <n v="278.60000000000002"/>
    <s v="Average"/>
    <s v="Blockbuster"/>
    <s v="No"/>
    <s v="High"/>
    <n v="159.60000000000002"/>
    <n v="234.11764705882354"/>
  </r>
  <r>
    <s v="NFX-101323"/>
    <s v="Broken Storm 9"/>
    <s v="Movie"/>
    <x v="9"/>
    <n v="2006"/>
    <x v="7"/>
    <s v="2022-05-28"/>
    <n v="141"/>
    <s v="18+"/>
    <n v="8.6999999999999993"/>
    <n v="529.4"/>
    <s v="Korean"/>
    <s v="Greta Gerwig"/>
    <s v="Leonardo DiCaprio"/>
    <m/>
    <n v="87"/>
    <n v="153.30000000000001"/>
    <s v="Hit"/>
    <s v="Blockbuster"/>
    <s v="No"/>
    <s v="Low"/>
    <n v="66.300000000000011"/>
    <n v="176.20689655172416"/>
  </r>
  <r>
    <s v="NFX-101324"/>
    <s v="Lost City 4"/>
    <s v="Movie"/>
    <x v="8"/>
    <n v="2010"/>
    <x v="6"/>
    <s v="2021-10-21"/>
    <n v="156"/>
    <s v="PG"/>
    <n v="5.0999999999999996"/>
    <n v="77.7"/>
    <s v="French"/>
    <s v="Christopher Nolan"/>
    <s v="Emma Stone"/>
    <m/>
    <n v="89"/>
    <n v="427.2"/>
    <s v="Flop"/>
    <s v="Normal"/>
    <s v="Yes"/>
    <s v="Low"/>
    <n v="338.2"/>
    <n v="480"/>
  </r>
  <r>
    <s v="NFX-101325"/>
    <s v="Crystal Journey 5"/>
    <s v="TV Show"/>
    <x v="4"/>
    <n v="2003"/>
    <x v="7"/>
    <s v="2018-08-11"/>
    <n v="51"/>
    <s v="PG"/>
    <n v="7.5"/>
    <n v="381.1"/>
    <s v="Hindi"/>
    <s v="Zoya Akhtar"/>
    <s v="Timothée Chalamet"/>
    <n v="5"/>
    <n v="176"/>
    <n v="873.6"/>
    <s v="Average"/>
    <s v="Popular"/>
    <s v="Yes"/>
    <s v="High"/>
    <n v="697.6"/>
    <n v="496.36363636363637"/>
  </r>
  <r>
    <s v="NFX-101326"/>
    <s v="Shadow Frontier 7"/>
    <s v="TV Show"/>
    <x v="9"/>
    <n v="2012"/>
    <x v="6"/>
    <s v="2022-08-02"/>
    <n v="45"/>
    <s v="G"/>
    <n v="5.3"/>
    <n v="218.4"/>
    <s v="Japanese"/>
    <s v="Steven Spielberg"/>
    <s v="Leonardo DiCaprio"/>
    <n v="1"/>
    <n v="145"/>
    <n v="690.2"/>
    <s v="Flop"/>
    <s v="Popular"/>
    <s v="Yes"/>
    <s v="High"/>
    <n v="545.20000000000005"/>
    <n v="476.00000000000006"/>
  </r>
  <r>
    <s v="NFX-101327"/>
    <s v="Fading Protocol 8"/>
    <s v="Movie"/>
    <x v="8"/>
    <n v="2019"/>
    <x v="8"/>
    <s v="2022-11-25"/>
    <n v="99"/>
    <s v="18+"/>
    <n v="7"/>
    <n v="281.3"/>
    <s v="German"/>
    <s v="Bong Joon-ho"/>
    <s v="Robert Downey Jr."/>
    <m/>
    <n v="25"/>
    <n v="103.6"/>
    <s v="Average"/>
    <s v="Popular"/>
    <s v="No"/>
    <s v="Low"/>
    <n v="78.599999999999994"/>
    <n v="414.40000000000003"/>
  </r>
  <r>
    <s v="NFX-101328"/>
    <s v="Broken Echo 5"/>
    <s v="TV Show"/>
    <x v="2"/>
    <n v="2024"/>
    <x v="1"/>
    <s v="2018-03-01"/>
    <n v="44"/>
    <s v="18+"/>
    <n v="9.5"/>
    <n v="142.9"/>
    <s v="Spanish"/>
    <s v="Park Chan-wook"/>
    <s v="Tom Hardy"/>
    <n v="8"/>
    <n v="150"/>
    <n v="369.6"/>
    <s v="Hit"/>
    <s v="Normal"/>
    <s v="No"/>
    <s v="High"/>
    <n v="219.60000000000002"/>
    <n v="246.4"/>
  </r>
  <r>
    <s v="NFX-101329"/>
    <s v="Fading Horizon 9"/>
    <s v="Movie"/>
    <x v="8"/>
    <n v="2002"/>
    <x v="6"/>
    <s v="2024-10-07"/>
    <n v="145"/>
    <s v="PG"/>
    <n v="8.8000000000000007"/>
    <n v="395.3"/>
    <s v="Japanese"/>
    <s v="Bong Joon-ho"/>
    <s v="Shah Rukh Khan"/>
    <m/>
    <n v="164"/>
    <n v="252.5"/>
    <s v="Hit"/>
    <s v="Popular"/>
    <s v="Yes"/>
    <s v="High"/>
    <n v="88.5"/>
    <n v="153.96341463414635"/>
  </r>
  <r>
    <s v="NFX-101330"/>
    <s v="Shadow Legacy 6"/>
    <s v="TV Show"/>
    <x v="9"/>
    <n v="2020"/>
    <x v="0"/>
    <s v="2023-01-25"/>
    <n v="54"/>
    <s v="G"/>
    <n v="7.8"/>
    <n v="113"/>
    <s v="French"/>
    <s v="Christopher Nolan"/>
    <s v="Emma Stone"/>
    <n v="2"/>
    <n v="126"/>
    <n v="342.4"/>
    <s v="Average"/>
    <s v="Normal"/>
    <s v="Yes"/>
    <s v="High"/>
    <n v="216.39999999999998"/>
    <n v="271.74603174603169"/>
  </r>
  <r>
    <s v="NFX-101331"/>
    <s v="Last Echo 5"/>
    <s v="TV Show"/>
    <x v="10"/>
    <n v="2018"/>
    <x v="4"/>
    <s v="2021-04-10"/>
    <n v="31"/>
    <s v="G"/>
    <n v="5.9"/>
    <n v="387.5"/>
    <s v="English"/>
    <s v="Martin Scorsese"/>
    <s v="Jennifer Lawrence"/>
    <n v="2"/>
    <n v="49"/>
    <n v="210.2"/>
    <s v="Flop"/>
    <s v="Popular"/>
    <s v="Yes"/>
    <s v="Low"/>
    <n v="161.19999999999999"/>
    <n v="428.97959183673464"/>
  </r>
  <r>
    <s v="NFX-101332"/>
    <s v="Silent Storm 1"/>
    <s v="Movie"/>
    <x v="7"/>
    <n v="2016"/>
    <x v="6"/>
    <s v="2021-01-26"/>
    <n v="87"/>
    <s v="18+"/>
    <n v="5.9"/>
    <n v="339.8"/>
    <s v="Spanish"/>
    <s v="Zoya Akhtar"/>
    <s v="Leonardo DiCaprio"/>
    <m/>
    <n v="144"/>
    <n v="684.1"/>
    <s v="Flop"/>
    <s v="Popular"/>
    <s v="No"/>
    <s v="High"/>
    <n v="540.1"/>
    <n v="475.06944444444451"/>
  </r>
  <r>
    <s v="NFX-101333"/>
    <s v="Secret Horizon 1"/>
    <s v="TV Show"/>
    <x v="4"/>
    <n v="2023"/>
    <x v="0"/>
    <s v="2022-10-03"/>
    <n v="35"/>
    <s v="18+"/>
    <n v="8.8000000000000007"/>
    <n v="9.8000000000000007"/>
    <s v="English"/>
    <s v="Guillermo del Toro"/>
    <s v="Brad Pitt"/>
    <n v="1"/>
    <n v="102"/>
    <n v="160.1"/>
    <s v="Hit"/>
    <s v="Normal"/>
    <s v="No"/>
    <s v="High"/>
    <n v="58.099999999999994"/>
    <n v="156.9607843137255"/>
  </r>
  <r>
    <s v="NFX-101334"/>
    <s v="Secret Valley 4"/>
    <s v="TV Show"/>
    <x v="6"/>
    <n v="2006"/>
    <x v="8"/>
    <s v="2022-07-25"/>
    <n v="32"/>
    <s v="G"/>
    <n v="5.0999999999999996"/>
    <n v="334.7"/>
    <s v="French"/>
    <s v="Bong Joon-ho"/>
    <s v="Ranbir Kapoor"/>
    <n v="2"/>
    <n v="172"/>
    <n v="1049.0999999999999"/>
    <s v="Flop"/>
    <s v="Popular"/>
    <s v="Yes"/>
    <s v="High"/>
    <n v="877.09999999999991"/>
    <n v="609.94186046511618"/>
  </r>
  <r>
    <s v="NFX-101335"/>
    <s v="Last Storm 3"/>
    <s v="TV Show"/>
    <x v="5"/>
    <n v="2004"/>
    <x v="0"/>
    <s v="2022-02-18"/>
    <n v="31"/>
    <s v="PG"/>
    <n v="6.2"/>
    <n v="211.1"/>
    <s v="Hindi"/>
    <s v="Quentin Tarantino"/>
    <s v="Emma Stone"/>
    <n v="8"/>
    <n v="165"/>
    <n v="701.2"/>
    <s v="Average"/>
    <s v="Popular"/>
    <s v="Yes"/>
    <s v="High"/>
    <n v="536.20000000000005"/>
    <n v="424.969696969697"/>
  </r>
  <r>
    <s v="NFX-101336"/>
    <s v="Broken Code 8"/>
    <s v="TV Show"/>
    <x v="5"/>
    <n v="2024"/>
    <x v="5"/>
    <s v="2019-01-20"/>
    <n v="33"/>
    <s v="18+"/>
    <n v="7.8"/>
    <n v="353.3"/>
    <s v="English"/>
    <s v="Quentin Tarantino"/>
    <s v="Tom Hardy"/>
    <n v="3"/>
    <n v="123"/>
    <n v="585"/>
    <s v="Average"/>
    <s v="Popular"/>
    <s v="No"/>
    <s v="High"/>
    <n v="462"/>
    <n v="475.60975609756093"/>
  </r>
  <r>
    <s v="NFX-101337"/>
    <s v="Hidden Chronicles 1"/>
    <s v="Movie"/>
    <x v="4"/>
    <n v="2006"/>
    <x v="5"/>
    <s v="2021-12-17"/>
    <n v="100"/>
    <s v="PG-13"/>
    <n v="5.5"/>
    <n v="218.3"/>
    <s v="French"/>
    <s v="Park Chan-wook"/>
    <s v="Scarlett Johansson"/>
    <m/>
    <n v="196"/>
    <n v="694.8"/>
    <s v="Flop"/>
    <s v="Popular"/>
    <s v="No"/>
    <s v="High"/>
    <n v="498.79999999999995"/>
    <n v="354.48979591836729"/>
  </r>
  <r>
    <s v="NFX-101338"/>
    <s v="Fading Frontier 7"/>
    <s v="TV Show"/>
    <x v="9"/>
    <n v="2002"/>
    <x v="8"/>
    <s v="2019-05-17"/>
    <n v="30"/>
    <s v="PG"/>
    <n v="4.9000000000000004"/>
    <n v="275.8"/>
    <s v="English"/>
    <s v="Denis Villeneuve"/>
    <s v="Song Kang-ho"/>
    <n v="1"/>
    <n v="66"/>
    <n v="111.4"/>
    <s v="Flop"/>
    <s v="Popular"/>
    <s v="Yes"/>
    <s v="Low"/>
    <n v="45.400000000000006"/>
    <n v="168.78787878787881"/>
  </r>
  <r>
    <s v="NFX-101339"/>
    <s v="Crystal Horizon 2"/>
    <s v="Movie"/>
    <x v="9"/>
    <n v="2023"/>
    <x v="5"/>
    <s v="2021-11-01"/>
    <n v="130"/>
    <s v="PG"/>
    <n v="6.1"/>
    <n v="65.599999999999994"/>
    <s v="Hindi"/>
    <s v="James Cameron"/>
    <s v="Ranbir Kapoor"/>
    <m/>
    <n v="108"/>
    <n v="448.8"/>
    <s v="Average"/>
    <s v="Normal"/>
    <s v="Yes"/>
    <s v="High"/>
    <n v="340.8"/>
    <n v="415.5555555555556"/>
  </r>
  <r>
    <s v="NFX-101340"/>
    <s v="Secret Odyssey 6"/>
    <s v="TV Show"/>
    <x v="3"/>
    <n v="2019"/>
    <x v="2"/>
    <s v="2019-03-09"/>
    <n v="50"/>
    <s v="18+"/>
    <n v="5.7"/>
    <n v="253.2"/>
    <s v="German"/>
    <s v="Park Chan-wook"/>
    <s v="Emma Stone"/>
    <n v="4"/>
    <n v="128"/>
    <n v="213.8"/>
    <s v="Flop"/>
    <s v="Popular"/>
    <s v="No"/>
    <s v="High"/>
    <n v="85.800000000000011"/>
    <n v="167.03125"/>
  </r>
  <r>
    <s v="NFX-101341"/>
    <s v="Silent Journey 3"/>
    <s v="Movie"/>
    <x v="0"/>
    <n v="2022"/>
    <x v="9"/>
    <s v="2022-06-27"/>
    <n v="158"/>
    <s v="18+"/>
    <n v="8.6999999999999993"/>
    <n v="318.60000000000002"/>
    <s v="Korean"/>
    <s v="Denis Villeneuve"/>
    <s v="Timothée Chalamet"/>
    <m/>
    <n v="168"/>
    <n v="405.9"/>
    <s v="Hit"/>
    <s v="Popular"/>
    <s v="No"/>
    <s v="High"/>
    <n v="237.89999999999998"/>
    <n v="241.60714285714286"/>
  </r>
  <r>
    <s v="NFX-101342"/>
    <s v="Silent Storm 4"/>
    <s v="TV Show"/>
    <x v="7"/>
    <n v="2007"/>
    <x v="3"/>
    <s v="2022-08-03"/>
    <n v="55"/>
    <s v="16+"/>
    <n v="5.7"/>
    <n v="18.7"/>
    <s v="Japanese"/>
    <s v="Bong Joon-ho"/>
    <s v="Shah Rukh Khan"/>
    <n v="7"/>
    <n v="134"/>
    <n v="823.4"/>
    <s v="Flop"/>
    <s v="Normal"/>
    <s v="No"/>
    <s v="High"/>
    <n v="689.4"/>
    <n v="614.47761194029852"/>
  </r>
  <r>
    <s v="NFX-101343"/>
    <s v="Rising Archive 7"/>
    <s v="TV Show"/>
    <x v="5"/>
    <n v="2009"/>
    <x v="5"/>
    <s v="2023-06-08"/>
    <n v="60"/>
    <s v="PG-13"/>
    <n v="9.6"/>
    <n v="134.9"/>
    <s v="Japanese"/>
    <s v="Denis Villeneuve"/>
    <s v="Leonardo DiCaprio"/>
    <n v="3"/>
    <n v="60"/>
    <n v="115.8"/>
    <s v="Hit"/>
    <s v="Normal"/>
    <s v="No"/>
    <s v="Low"/>
    <n v="55.8"/>
    <n v="193"/>
  </r>
  <r>
    <s v="NFX-101344"/>
    <s v="Broken Signal 1"/>
    <s v="TV Show"/>
    <x v="4"/>
    <n v="2001"/>
    <x v="6"/>
    <s v="2021-07-25"/>
    <n v="53"/>
    <s v="16+"/>
    <n v="5.2"/>
    <n v="367"/>
    <s v="Korean"/>
    <s v="Anurag Kashyap"/>
    <s v="Chris Evans"/>
    <n v="7"/>
    <n v="139"/>
    <n v="754.3"/>
    <s v="Flop"/>
    <s v="Popular"/>
    <s v="No"/>
    <s v="High"/>
    <n v="615.29999999999995"/>
    <n v="542.66187050359713"/>
  </r>
  <r>
    <s v="NFX-101345"/>
    <s v="Last Frontier 6"/>
    <s v="Movie"/>
    <x v="0"/>
    <n v="2000"/>
    <x v="8"/>
    <s v="2019-06-20"/>
    <n v="149"/>
    <s v="PG"/>
    <n v="8.5"/>
    <n v="132.19999999999999"/>
    <s v="Korean"/>
    <s v="Christopher Nolan"/>
    <s v="Emma Stone"/>
    <m/>
    <n v="65"/>
    <n v="301.39999999999998"/>
    <s v="Hit"/>
    <s v="Normal"/>
    <s v="Yes"/>
    <s v="Low"/>
    <n v="236.39999999999998"/>
    <n v="463.69230769230762"/>
  </r>
  <r>
    <s v="NFX-101346"/>
    <s v="Iron Code 6"/>
    <s v="TV Show"/>
    <x v="7"/>
    <n v="2007"/>
    <x v="5"/>
    <s v="2023-03-30"/>
    <n v="49"/>
    <s v="16+"/>
    <n v="8.4"/>
    <n v="314.8"/>
    <s v="German"/>
    <s v="Sanjay Leela Bhansali"/>
    <s v="Song Kang-ho"/>
    <n v="5"/>
    <n v="169"/>
    <n v="805.4"/>
    <s v="Hit"/>
    <s v="Popular"/>
    <s v="No"/>
    <s v="High"/>
    <n v="636.4"/>
    <n v="476.56804733727807"/>
  </r>
  <r>
    <s v="NFX-101347"/>
    <s v="Hidden Odyssey 6"/>
    <s v="Movie"/>
    <x v="9"/>
    <n v="2017"/>
    <x v="4"/>
    <s v="2024-03-31"/>
    <n v="81"/>
    <s v="G"/>
    <n v="5.5"/>
    <n v="81.5"/>
    <s v="Japanese"/>
    <s v="Christopher Nolan"/>
    <s v="Robert Downey Jr."/>
    <m/>
    <n v="177"/>
    <n v="816.3"/>
    <s v="Flop"/>
    <s v="Normal"/>
    <s v="Yes"/>
    <s v="High"/>
    <n v="639.29999999999995"/>
    <n v="461.18644067796606"/>
  </r>
  <r>
    <s v="NFX-101348"/>
    <s v="Burning Signal 7"/>
    <s v="Movie"/>
    <x v="5"/>
    <n v="2001"/>
    <x v="3"/>
    <s v="2020-08-07"/>
    <n v="99"/>
    <s v="16+"/>
    <n v="8.1"/>
    <n v="527.79999999999995"/>
    <s v="Hindi"/>
    <s v="Christopher Nolan"/>
    <s v="Song Kang-ho"/>
    <m/>
    <n v="7"/>
    <n v="9.1999999999999993"/>
    <s v="Hit"/>
    <s v="Blockbuster"/>
    <s v="No"/>
    <s v="Low"/>
    <n v="2.1999999999999993"/>
    <n v="131.42857142857142"/>
  </r>
  <r>
    <s v="NFX-101349"/>
    <s v="Golden Frontier 3"/>
    <s v="TV Show"/>
    <x v="9"/>
    <n v="2009"/>
    <x v="3"/>
    <s v="2018-08-09"/>
    <n v="45"/>
    <s v="PG-13"/>
    <n v="7.7"/>
    <n v="422.9"/>
    <s v="Korean"/>
    <s v="Martin Scorsese"/>
    <s v="Emma Stone"/>
    <n v="8"/>
    <n v="116"/>
    <n v="696.9"/>
    <s v="Average"/>
    <s v="Blockbuster"/>
    <s v="No"/>
    <s v="High"/>
    <n v="580.9"/>
    <n v="600.77586206896547"/>
  </r>
  <r>
    <s v="NFX-101350"/>
    <s v="Crystal Chronicles 8"/>
    <s v="TV Show"/>
    <x v="10"/>
    <n v="2017"/>
    <x v="2"/>
    <s v="2020-08-01"/>
    <n v="54"/>
    <s v="16+"/>
    <n v="8.6"/>
    <n v="161.80000000000001"/>
    <s v="English"/>
    <s v="Bong Joon-ho"/>
    <s v="Tom Hardy"/>
    <n v="3"/>
    <n v="65"/>
    <n v="161.80000000000001"/>
    <s v="Hit"/>
    <s v="Normal"/>
    <s v="No"/>
    <s v="Low"/>
    <n v="96.800000000000011"/>
    <n v="248.92307692307693"/>
  </r>
  <r>
    <s v="NFX-101351"/>
    <s v="Hidden Empire 7"/>
    <s v="TV Show"/>
    <x v="5"/>
    <n v="2004"/>
    <x v="0"/>
    <s v="2018-08-26"/>
    <n v="41"/>
    <s v="18+"/>
    <n v="5.9"/>
    <n v="506.6"/>
    <s v="French"/>
    <s v="Sanjay Leela Bhansali"/>
    <s v="Ranbir Kapoor"/>
    <n v="1"/>
    <n v="112"/>
    <n v="280.8"/>
    <s v="Flop"/>
    <s v="Blockbuster"/>
    <s v="No"/>
    <s v="High"/>
    <n v="168.8"/>
    <n v="250.71428571428572"/>
  </r>
  <r>
    <s v="NFX-101352"/>
    <s v="Crystal Valley 3"/>
    <s v="Movie"/>
    <x v="4"/>
    <n v="2011"/>
    <x v="0"/>
    <s v="2019-02-02"/>
    <n v="174"/>
    <s v="G"/>
    <n v="6.5"/>
    <n v="86.6"/>
    <s v="English"/>
    <s v="James Cameron"/>
    <s v="Shah Rukh Khan"/>
    <m/>
    <n v="180"/>
    <n v="741.6"/>
    <s v="Average"/>
    <s v="Normal"/>
    <s v="Yes"/>
    <s v="High"/>
    <n v="561.6"/>
    <n v="412"/>
  </r>
  <r>
    <s v="NFX-101353"/>
    <s v="Rising Archive 4"/>
    <s v="TV Show"/>
    <x v="10"/>
    <n v="2020"/>
    <x v="9"/>
    <s v="2019-08-03"/>
    <n v="42"/>
    <s v="PG"/>
    <n v="9.4"/>
    <n v="122.8"/>
    <s v="French"/>
    <s v="Anurag Kashyap"/>
    <s v="Tom Hardy"/>
    <n v="6"/>
    <n v="72"/>
    <n v="386.4"/>
    <s v="Hit"/>
    <s v="Normal"/>
    <s v="Yes"/>
    <s v="Low"/>
    <n v="314.39999999999998"/>
    <n v="536.66666666666663"/>
  </r>
  <r>
    <s v="NFX-101354"/>
    <s v="Rising Journey 8"/>
    <s v="TV Show"/>
    <x v="5"/>
    <n v="2023"/>
    <x v="7"/>
    <s v="2023-05-20"/>
    <n v="50"/>
    <s v="G"/>
    <n v="5.5"/>
    <n v="278.8"/>
    <s v="Spanish"/>
    <s v="Guillermo del Toro"/>
    <s v="Ranbir Kapoor"/>
    <n v="1"/>
    <n v="182"/>
    <n v="406.3"/>
    <s v="Flop"/>
    <s v="Popular"/>
    <s v="Yes"/>
    <s v="High"/>
    <n v="224.3"/>
    <n v="223.24175824175825"/>
  </r>
  <r>
    <s v="NFX-101355"/>
    <s v="Golden Storm 4"/>
    <s v="TV Show"/>
    <x v="8"/>
    <n v="2022"/>
    <x v="0"/>
    <s v="2020-06-28"/>
    <n v="31"/>
    <s v="16+"/>
    <n v="7"/>
    <n v="362.5"/>
    <s v="Japanese"/>
    <s v="Rajkumar Hirani"/>
    <s v="Deepika Padukone"/>
    <n v="3"/>
    <n v="73"/>
    <n v="306.10000000000002"/>
    <s v="Average"/>
    <s v="Popular"/>
    <s v="No"/>
    <s v="Low"/>
    <n v="233.10000000000002"/>
    <n v="419.3150684931507"/>
  </r>
  <r>
    <s v="NFX-101356"/>
    <s v="Dark City 4"/>
    <s v="Movie"/>
    <x v="3"/>
    <n v="2024"/>
    <x v="9"/>
    <s v="2023-10-19"/>
    <n v="178"/>
    <s v="PG-13"/>
    <n v="6.8"/>
    <n v="595.20000000000005"/>
    <s v="French"/>
    <s v="Steven Spielberg"/>
    <s v="Lee Jung-jae"/>
    <m/>
    <n v="48"/>
    <n v="135.80000000000001"/>
    <s v="Average"/>
    <s v="Blockbuster"/>
    <s v="No"/>
    <s v="Low"/>
    <n v="87.800000000000011"/>
    <n v="282.91666666666669"/>
  </r>
  <r>
    <s v="NFX-101357"/>
    <s v="Shadow Frontier 8"/>
    <s v="TV Show"/>
    <x v="5"/>
    <n v="2019"/>
    <x v="8"/>
    <s v="2021-01-26"/>
    <n v="55"/>
    <s v="18+"/>
    <n v="7.7"/>
    <n v="56.1"/>
    <s v="French"/>
    <s v="Anurag Kashyap"/>
    <s v="Leonardo DiCaprio"/>
    <n v="6"/>
    <n v="134"/>
    <n v="816.1"/>
    <s v="Average"/>
    <s v="Normal"/>
    <s v="No"/>
    <s v="High"/>
    <n v="682.1"/>
    <n v="609.02985074626872"/>
  </r>
  <r>
    <s v="NFX-101358"/>
    <s v="Burning Chronicles 2"/>
    <s v="Movie"/>
    <x v="2"/>
    <n v="2003"/>
    <x v="9"/>
    <s v="2021-11-23"/>
    <n v="137"/>
    <s v="18+"/>
    <n v="6.3"/>
    <n v="318.7"/>
    <s v="French"/>
    <s v="Denis Villeneuve"/>
    <s v="Jennifer Lawrence"/>
    <m/>
    <n v="38"/>
    <n v="185.3"/>
    <s v="Average"/>
    <s v="Popular"/>
    <s v="No"/>
    <s v="Low"/>
    <n v="147.30000000000001"/>
    <n v="487.63157894736844"/>
  </r>
  <r>
    <s v="NFX-101359"/>
    <s v="Iron Frontier 1"/>
    <s v="TV Show"/>
    <x v="8"/>
    <n v="2007"/>
    <x v="3"/>
    <s v="2018-09-27"/>
    <n v="58"/>
    <s v="PG-13"/>
    <n v="7.8"/>
    <n v="264"/>
    <s v="German"/>
    <s v="Bong Joon-ho"/>
    <s v="Ryan Gosling"/>
    <n v="4"/>
    <n v="97"/>
    <n v="354.5"/>
    <s v="Average"/>
    <s v="Popular"/>
    <s v="No"/>
    <s v="Low"/>
    <n v="257.5"/>
    <n v="365.46391752577318"/>
  </r>
  <r>
    <s v="NFX-101360"/>
    <s v="Silent Protocol 4"/>
    <s v="Movie"/>
    <x v="7"/>
    <n v="2006"/>
    <x v="1"/>
    <s v="2023-07-15"/>
    <n v="176"/>
    <s v="PG"/>
    <n v="7.6"/>
    <n v="421.6"/>
    <s v="English"/>
    <s v="Denis Villeneuve"/>
    <s v="Timothée Chalamet"/>
    <m/>
    <n v="150"/>
    <n v="626.5"/>
    <s v="Average"/>
    <s v="Blockbuster"/>
    <s v="Yes"/>
    <s v="High"/>
    <n v="476.5"/>
    <n v="417.66666666666669"/>
  </r>
  <r>
    <s v="NFX-101361"/>
    <s v="Iron Valley 6"/>
    <s v="Movie"/>
    <x v="2"/>
    <n v="2018"/>
    <x v="5"/>
    <s v="2021-07-19"/>
    <n v="175"/>
    <s v="16+"/>
    <n v="4.8"/>
    <n v="558.6"/>
    <s v="English"/>
    <s v="Ridley Scott"/>
    <s v="Emma Stone"/>
    <m/>
    <n v="88"/>
    <n v="509.4"/>
    <s v="Flop"/>
    <s v="Blockbuster"/>
    <s v="No"/>
    <s v="Low"/>
    <n v="421.4"/>
    <n v="578.86363636363626"/>
  </r>
  <r>
    <s v="NFX-101362"/>
    <s v="Fading Odyssey 6"/>
    <s v="TV Show"/>
    <x v="8"/>
    <n v="2011"/>
    <x v="4"/>
    <s v="2023-04-02"/>
    <n v="52"/>
    <s v="16+"/>
    <n v="4.8"/>
    <n v="534.20000000000005"/>
    <s v="German"/>
    <s v="Christopher Nolan"/>
    <s v="Brad Pitt"/>
    <n v="4"/>
    <n v="141"/>
    <n v="342.6"/>
    <s v="Flop"/>
    <s v="Blockbuster"/>
    <s v="No"/>
    <s v="High"/>
    <n v="201.60000000000002"/>
    <n v="242.97872340425533"/>
  </r>
  <r>
    <s v="NFX-101363"/>
    <s v="Rising Journey 7"/>
    <s v="TV Show"/>
    <x v="7"/>
    <n v="2009"/>
    <x v="8"/>
    <s v="2020-11-24"/>
    <n v="56"/>
    <s v="18+"/>
    <n v="5.4"/>
    <n v="298.39999999999998"/>
    <s v="Spanish"/>
    <s v="Park Chan-wook"/>
    <s v="Robert Downey Jr."/>
    <n v="2"/>
    <n v="19"/>
    <n v="48.3"/>
    <s v="Flop"/>
    <s v="Popular"/>
    <s v="No"/>
    <s v="Low"/>
    <n v="29.299999999999997"/>
    <n v="254.21052631578945"/>
  </r>
  <r>
    <s v="NFX-101364"/>
    <s v="Rising Archive 3"/>
    <s v="TV Show"/>
    <x v="6"/>
    <n v="2003"/>
    <x v="8"/>
    <s v="2019-11-06"/>
    <n v="56"/>
    <s v="18+"/>
    <n v="8.1999999999999993"/>
    <n v="140.80000000000001"/>
    <s v="German"/>
    <s v="Zoya Akhtar"/>
    <s v="Emma Stone"/>
    <n v="7"/>
    <n v="37"/>
    <n v="140.1"/>
    <s v="Hit"/>
    <s v="Normal"/>
    <s v="No"/>
    <s v="Low"/>
    <n v="103.1"/>
    <n v="378.64864864864865"/>
  </r>
  <r>
    <s v="NFX-101365"/>
    <s v="Fading Empire 2"/>
    <s v="Movie"/>
    <x v="4"/>
    <n v="2001"/>
    <x v="1"/>
    <s v="2022-06-13"/>
    <n v="103"/>
    <s v="PG"/>
    <n v="5.3"/>
    <n v="172.6"/>
    <s v="Japanese"/>
    <s v="Park Chan-wook"/>
    <s v="Jennifer Lawrence"/>
    <m/>
    <n v="11"/>
    <n v="46.1"/>
    <s v="Flop"/>
    <s v="Normal"/>
    <s v="Yes"/>
    <s v="Low"/>
    <n v="35.1"/>
    <n v="419.09090909090912"/>
  </r>
  <r>
    <s v="NFX-101366"/>
    <s v="Secret Journey 6"/>
    <s v="TV Show"/>
    <x v="2"/>
    <n v="2014"/>
    <x v="7"/>
    <s v="2019-02-10"/>
    <n v="46"/>
    <s v="18+"/>
    <n v="6"/>
    <n v="327.7"/>
    <s v="Hindi"/>
    <s v="Martin Scorsese"/>
    <s v="Ryan Gosling"/>
    <n v="3"/>
    <n v="185"/>
    <n v="945.5"/>
    <s v="Average"/>
    <s v="Popular"/>
    <s v="No"/>
    <s v="High"/>
    <n v="760.5"/>
    <n v="511.08108108108115"/>
  </r>
  <r>
    <s v="NFX-101367"/>
    <s v="Midnight Archive 3"/>
    <s v="Movie"/>
    <x v="3"/>
    <n v="2022"/>
    <x v="8"/>
    <s v="2020-02-19"/>
    <n v="125"/>
    <s v="16+"/>
    <n v="5.0999999999999996"/>
    <n v="409.1"/>
    <s v="French"/>
    <s v="Park Chan-wook"/>
    <s v="Ranbir Kapoor"/>
    <m/>
    <n v="41"/>
    <n v="148.1"/>
    <s v="Flop"/>
    <s v="Blockbuster"/>
    <s v="No"/>
    <s v="Low"/>
    <n v="107.1"/>
    <n v="361.21951219512192"/>
  </r>
  <r>
    <s v="NFX-101368"/>
    <s v="Broken Odyssey 9"/>
    <s v="TV Show"/>
    <x v="6"/>
    <n v="2009"/>
    <x v="1"/>
    <s v="2020-03-29"/>
    <n v="59"/>
    <s v="16+"/>
    <n v="5.4"/>
    <n v="192.3"/>
    <s v="Spanish"/>
    <s v="Martin Scorsese"/>
    <s v="Emma Stone"/>
    <n v="5"/>
    <n v="196"/>
    <n v="867.7"/>
    <s v="Flop"/>
    <s v="Normal"/>
    <s v="No"/>
    <s v="High"/>
    <n v="671.7"/>
    <n v="442.70408163265307"/>
  </r>
  <r>
    <s v="NFX-101369"/>
    <s v="Midnight Code 1"/>
    <s v="TV Show"/>
    <x v="2"/>
    <n v="2022"/>
    <x v="3"/>
    <s v="2023-02-04"/>
    <n v="48"/>
    <s v="PG"/>
    <n v="9.1"/>
    <n v="60.6"/>
    <s v="Korean"/>
    <s v="Guillermo del Toro"/>
    <s v="Emma Stone"/>
    <n v="3"/>
    <n v="56"/>
    <n v="259.89999999999998"/>
    <s v="Hit"/>
    <s v="Normal"/>
    <s v="Yes"/>
    <s v="Low"/>
    <n v="203.89999999999998"/>
    <n v="464.10714285714283"/>
  </r>
  <r>
    <s v="NFX-101370"/>
    <s v="Secret Code 8"/>
    <s v="Movie"/>
    <x v="8"/>
    <n v="2007"/>
    <x v="0"/>
    <s v="2019-12-10"/>
    <n v="135"/>
    <s v="16+"/>
    <n v="6.1"/>
    <n v="59.4"/>
    <s v="English"/>
    <s v="Zoya Akhtar"/>
    <s v="Emma Stone"/>
    <m/>
    <n v="173"/>
    <n v="284.60000000000002"/>
    <s v="Average"/>
    <s v="Normal"/>
    <s v="No"/>
    <s v="High"/>
    <n v="111.60000000000002"/>
    <n v="164.50867052023125"/>
  </r>
  <r>
    <s v="NFX-101371"/>
    <s v="Iron Echo 2"/>
    <s v="TV Show"/>
    <x v="2"/>
    <n v="2006"/>
    <x v="6"/>
    <s v="2020-07-22"/>
    <n v="55"/>
    <s v="G"/>
    <n v="9.6"/>
    <n v="231.2"/>
    <s v="French"/>
    <s v="Greta Gerwig"/>
    <s v="Robert Downey Jr."/>
    <n v="3"/>
    <n v="48"/>
    <n v="293.7"/>
    <s v="Hit"/>
    <s v="Popular"/>
    <s v="Yes"/>
    <s v="Low"/>
    <n v="245.7"/>
    <n v="611.875"/>
  </r>
  <r>
    <s v="NFX-101372"/>
    <s v="Broken Empire 3"/>
    <s v="TV Show"/>
    <x v="4"/>
    <n v="2024"/>
    <x v="0"/>
    <s v="2023-02-21"/>
    <n v="44"/>
    <s v="PG"/>
    <n v="5.0999999999999996"/>
    <n v="585"/>
    <s v="Spanish"/>
    <s v="Martin Scorsese"/>
    <s v="Chris Evans"/>
    <n v="1"/>
    <n v="158"/>
    <n v="579.20000000000005"/>
    <s v="Flop"/>
    <s v="Blockbuster"/>
    <s v="Yes"/>
    <s v="High"/>
    <n v="421.20000000000005"/>
    <n v="366.58227848101268"/>
  </r>
  <r>
    <s v="NFX-101373"/>
    <s v="Broken Odyssey 1"/>
    <s v="Movie"/>
    <x v="8"/>
    <n v="2020"/>
    <x v="8"/>
    <s v="2019-04-09"/>
    <n v="122"/>
    <s v="PG-13"/>
    <n v="8.1999999999999993"/>
    <n v="299.3"/>
    <s v="English"/>
    <s v="Greta Gerwig"/>
    <s v="Scarlett Johansson"/>
    <m/>
    <n v="148"/>
    <n v="351.1"/>
    <s v="Hit"/>
    <s v="Popular"/>
    <s v="No"/>
    <s v="High"/>
    <n v="203.10000000000002"/>
    <n v="237.22972972972974"/>
  </r>
  <r>
    <s v="NFX-101374"/>
    <s v="Rising Valley 3"/>
    <s v="TV Show"/>
    <x v="6"/>
    <n v="2016"/>
    <x v="2"/>
    <s v="2023-04-25"/>
    <n v="46"/>
    <s v="PG"/>
    <n v="6.7"/>
    <n v="79.400000000000006"/>
    <s v="German"/>
    <s v="Christopher Nolan"/>
    <s v="Jennifer Lawrence"/>
    <n v="5"/>
    <n v="197"/>
    <n v="424.8"/>
    <s v="Average"/>
    <s v="Normal"/>
    <s v="Yes"/>
    <s v="High"/>
    <n v="227.8"/>
    <n v="215.63451776649748"/>
  </r>
  <r>
    <s v="NFX-101375"/>
    <s v="Broken Storm 7"/>
    <s v="Movie"/>
    <x v="4"/>
    <n v="2025"/>
    <x v="6"/>
    <s v="2019-01-21"/>
    <n v="123"/>
    <s v="G"/>
    <n v="5.4"/>
    <n v="563.1"/>
    <s v="English"/>
    <s v="Denis Villeneuve"/>
    <s v="Timothée Chalamet"/>
    <m/>
    <n v="169"/>
    <n v="1026.7"/>
    <s v="Flop"/>
    <s v="Blockbuster"/>
    <s v="Yes"/>
    <s v="High"/>
    <n v="857.7"/>
    <n v="607.51479289940823"/>
  </r>
  <r>
    <s v="NFX-101376"/>
    <s v="Shadow City 1"/>
    <s v="TV Show"/>
    <x v="5"/>
    <n v="2019"/>
    <x v="5"/>
    <s v="2019-07-30"/>
    <n v="44"/>
    <s v="16+"/>
    <n v="9.1"/>
    <n v="479.6"/>
    <s v="French"/>
    <s v="Guillermo del Toro"/>
    <s v="Scarlett Johansson"/>
    <n v="6"/>
    <n v="138"/>
    <n v="457"/>
    <s v="Hit"/>
    <s v="Blockbuster"/>
    <s v="No"/>
    <s v="High"/>
    <n v="319"/>
    <n v="331.15942028985506"/>
  </r>
  <r>
    <s v="NFX-101377"/>
    <s v="Crystal Chronicles 1"/>
    <s v="TV Show"/>
    <x v="1"/>
    <n v="2015"/>
    <x v="0"/>
    <s v="2021-08-12"/>
    <n v="47"/>
    <s v="18+"/>
    <n v="5.3"/>
    <n v="101.2"/>
    <s v="Korean"/>
    <s v="Guillermo del Toro"/>
    <s v="Timothée Chalamet"/>
    <n v="8"/>
    <n v="72"/>
    <n v="335.5"/>
    <s v="Flop"/>
    <s v="Normal"/>
    <s v="No"/>
    <s v="Low"/>
    <n v="263.5"/>
    <n v="465.97222222222223"/>
  </r>
  <r>
    <s v="NFX-101378"/>
    <s v="Iron Frontier 8"/>
    <s v="TV Show"/>
    <x v="1"/>
    <n v="2018"/>
    <x v="1"/>
    <s v="2020-10-04"/>
    <n v="50"/>
    <s v="PG-13"/>
    <n v="6.2"/>
    <n v="254.3"/>
    <s v="Japanese"/>
    <s v="Anurag Kashyap"/>
    <s v="Scarlett Johansson"/>
    <n v="4"/>
    <n v="188"/>
    <n v="1032.8"/>
    <s v="Average"/>
    <s v="Popular"/>
    <s v="No"/>
    <s v="High"/>
    <n v="844.8"/>
    <n v="549.36170212765956"/>
  </r>
  <r>
    <s v="NFX-101379"/>
    <s v="Fading Echo 9"/>
    <s v="TV Show"/>
    <x v="1"/>
    <n v="2017"/>
    <x v="7"/>
    <s v="2022-03-24"/>
    <n v="40"/>
    <s v="18+"/>
    <n v="9.1"/>
    <n v="78.900000000000006"/>
    <s v="Japanese"/>
    <s v="Greta Gerwig"/>
    <s v="Jennifer Lawrence"/>
    <n v="1"/>
    <n v="122"/>
    <n v="425"/>
    <s v="Hit"/>
    <s v="Normal"/>
    <s v="No"/>
    <s v="High"/>
    <n v="303"/>
    <n v="348.36065573770492"/>
  </r>
  <r>
    <s v="NFX-101380"/>
    <s v="Crystal Code 7"/>
    <s v="TV Show"/>
    <x v="6"/>
    <n v="2022"/>
    <x v="8"/>
    <s v="2022-05-25"/>
    <n v="50"/>
    <s v="16+"/>
    <n v="8.6"/>
    <n v="146.69999999999999"/>
    <s v="German"/>
    <s v="Greta Gerwig"/>
    <s v="Chris Evans"/>
    <n v="2"/>
    <n v="73"/>
    <n v="323.60000000000002"/>
    <s v="Hit"/>
    <s v="Normal"/>
    <s v="No"/>
    <s v="Low"/>
    <n v="250.60000000000002"/>
    <n v="443.28767123287679"/>
  </r>
  <r>
    <s v="NFX-101381"/>
    <s v="Burning Storm 6"/>
    <s v="TV Show"/>
    <x v="3"/>
    <n v="2010"/>
    <x v="5"/>
    <s v="2024-10-31"/>
    <n v="43"/>
    <s v="PG"/>
    <n v="5.2"/>
    <n v="312.3"/>
    <s v="Japanese"/>
    <s v="Christopher Nolan"/>
    <s v="Lee Jung-jae"/>
    <n v="5"/>
    <n v="34"/>
    <n v="184"/>
    <s v="Flop"/>
    <s v="Popular"/>
    <s v="Yes"/>
    <s v="Low"/>
    <n v="150"/>
    <n v="541.17647058823536"/>
  </r>
  <r>
    <s v="NFX-101382"/>
    <s v="Crystal Horizon 3"/>
    <s v="TV Show"/>
    <x v="8"/>
    <n v="2015"/>
    <x v="1"/>
    <s v="2022-10-11"/>
    <n v="46"/>
    <s v="16+"/>
    <n v="9.5"/>
    <n v="522.9"/>
    <s v="German"/>
    <s v="Denis Villeneuve"/>
    <s v="Ryan Gosling"/>
    <n v="6"/>
    <n v="176"/>
    <n v="514.70000000000005"/>
    <s v="Hit"/>
    <s v="Blockbuster"/>
    <s v="No"/>
    <s v="High"/>
    <n v="338.70000000000005"/>
    <n v="292.44318181818187"/>
  </r>
  <r>
    <s v="NFX-101383"/>
    <s v="Midnight Protocol 6"/>
    <s v="Movie"/>
    <x v="6"/>
    <n v="2014"/>
    <x v="9"/>
    <s v="2023-12-29"/>
    <n v="156"/>
    <s v="G"/>
    <n v="7"/>
    <n v="309.89999999999998"/>
    <s v="Hindi"/>
    <s v="Christopher Nolan"/>
    <s v="Timothée Chalamet"/>
    <m/>
    <n v="86"/>
    <n v="138"/>
    <s v="Average"/>
    <s v="Popular"/>
    <s v="Yes"/>
    <s v="Low"/>
    <n v="52"/>
    <n v="160.46511627906978"/>
  </r>
  <r>
    <s v="NFX-101384"/>
    <s v="Midnight Protocol 3"/>
    <s v="TV Show"/>
    <x v="4"/>
    <n v="2025"/>
    <x v="4"/>
    <s v="2024-05-04"/>
    <n v="43"/>
    <s v="PG"/>
    <n v="5.8"/>
    <n v="398.6"/>
    <s v="French"/>
    <s v="Guillermo del Toro"/>
    <s v="Ryan Gosling"/>
    <n v="8"/>
    <n v="175"/>
    <n v="628.4"/>
    <s v="Flop"/>
    <s v="Popular"/>
    <s v="Yes"/>
    <s v="High"/>
    <n v="453.4"/>
    <n v="359.08571428571429"/>
  </r>
  <r>
    <s v="NFX-101385"/>
    <s v="Lost Horizon 7"/>
    <s v="TV Show"/>
    <x v="0"/>
    <n v="2008"/>
    <x v="8"/>
    <s v="2022-09-29"/>
    <n v="55"/>
    <s v="16+"/>
    <n v="9.1999999999999993"/>
    <n v="60.8"/>
    <s v="Korean"/>
    <s v="Martin Scorsese"/>
    <s v="Timothée Chalamet"/>
    <n v="1"/>
    <n v="43"/>
    <n v="137.4"/>
    <s v="Hit"/>
    <s v="Normal"/>
    <s v="No"/>
    <s v="Low"/>
    <n v="94.4"/>
    <n v="319.53488372093022"/>
  </r>
  <r>
    <s v="NFX-101386"/>
    <s v="Crystal Storm 6"/>
    <s v="Movie"/>
    <x v="9"/>
    <n v="2006"/>
    <x v="0"/>
    <s v="2019-09-29"/>
    <n v="88"/>
    <s v="PG"/>
    <n v="6.8"/>
    <n v="148"/>
    <s v="Hindi"/>
    <s v="Zoya Akhtar"/>
    <s v="Chris Evans"/>
    <m/>
    <n v="80"/>
    <n v="397.1"/>
    <s v="Average"/>
    <s v="Normal"/>
    <s v="Yes"/>
    <s v="Low"/>
    <n v="317.10000000000002"/>
    <n v="496.375"/>
  </r>
  <r>
    <s v="NFX-101387"/>
    <s v="Midnight Odyssey 7"/>
    <s v="TV Show"/>
    <x v="0"/>
    <n v="2002"/>
    <x v="2"/>
    <s v="2023-07-26"/>
    <n v="34"/>
    <s v="18+"/>
    <n v="8.8000000000000007"/>
    <n v="502"/>
    <s v="Japanese"/>
    <s v="Bong Joon-ho"/>
    <s v="Song Kang-ho"/>
    <n v="7"/>
    <n v="13"/>
    <n v="23.9"/>
    <s v="Hit"/>
    <s v="Blockbuster"/>
    <s v="No"/>
    <s v="Low"/>
    <n v="10.899999999999999"/>
    <n v="183.84615384615384"/>
  </r>
  <r>
    <s v="NFX-101388"/>
    <s v="Iron Code 8"/>
    <s v="Movie"/>
    <x v="0"/>
    <n v="2011"/>
    <x v="5"/>
    <s v="2018-05-14"/>
    <n v="146"/>
    <s v="G"/>
    <n v="7.1"/>
    <n v="574.9"/>
    <s v="Hindi"/>
    <s v="Ridley Scott"/>
    <s v="Shah Rukh Khan"/>
    <m/>
    <n v="9"/>
    <n v="14.3"/>
    <s v="Average"/>
    <s v="Blockbuster"/>
    <s v="Yes"/>
    <s v="Low"/>
    <n v="5.3000000000000007"/>
    <n v="158.88888888888891"/>
  </r>
  <r>
    <s v="NFX-101389"/>
    <s v="Lost Echo 2"/>
    <s v="TV Show"/>
    <x v="4"/>
    <n v="2016"/>
    <x v="9"/>
    <s v="2018-03-17"/>
    <n v="55"/>
    <s v="G"/>
    <n v="6.1"/>
    <n v="596.20000000000005"/>
    <s v="German"/>
    <s v="Greta Gerwig"/>
    <s v="Ranbir Kapoor"/>
    <n v="6"/>
    <n v="120"/>
    <n v="679.5"/>
    <s v="Average"/>
    <s v="Blockbuster"/>
    <s v="Yes"/>
    <s v="High"/>
    <n v="559.5"/>
    <n v="566.25"/>
  </r>
  <r>
    <s v="NFX-101390"/>
    <s v="Midnight Frontier 9"/>
    <s v="Movie"/>
    <x v="6"/>
    <n v="2006"/>
    <x v="4"/>
    <s v="2024-10-27"/>
    <n v="135"/>
    <s v="PG"/>
    <n v="7.3"/>
    <n v="546"/>
    <s v="Korean"/>
    <s v="Martin Scorsese"/>
    <s v="Leonardo DiCaprio"/>
    <m/>
    <n v="52"/>
    <n v="128"/>
    <s v="Average"/>
    <s v="Blockbuster"/>
    <s v="Yes"/>
    <s v="Low"/>
    <n v="76"/>
    <n v="246.15384615384616"/>
  </r>
  <r>
    <s v="NFX-101391"/>
    <s v="Rising Empire 5"/>
    <s v="TV Show"/>
    <x v="2"/>
    <n v="2024"/>
    <x v="1"/>
    <s v="2019-07-16"/>
    <n v="53"/>
    <s v="G"/>
    <n v="5.7"/>
    <n v="199.5"/>
    <s v="English"/>
    <s v="Sanjay Leela Bhansali"/>
    <s v="Tom Hardy"/>
    <n v="5"/>
    <n v="90"/>
    <n v="425.4"/>
    <s v="Flop"/>
    <s v="Normal"/>
    <s v="Yes"/>
    <s v="Low"/>
    <n v="335.4"/>
    <n v="472.66666666666663"/>
  </r>
  <r>
    <s v="NFX-101392"/>
    <s v="Crystal City 5"/>
    <s v="Movie"/>
    <x v="8"/>
    <n v="2000"/>
    <x v="7"/>
    <s v="2023-09-14"/>
    <n v="113"/>
    <s v="PG-13"/>
    <n v="6.5"/>
    <n v="442.2"/>
    <s v="English"/>
    <s v="Guillermo del Toro"/>
    <s v="Chris Evans"/>
    <m/>
    <n v="191"/>
    <n v="1047.9000000000001"/>
    <s v="Average"/>
    <s v="Blockbuster"/>
    <s v="No"/>
    <s v="High"/>
    <n v="856.90000000000009"/>
    <n v="548.63874345549743"/>
  </r>
  <r>
    <s v="NFX-101393"/>
    <s v="Crystal Protocol 8"/>
    <s v="TV Show"/>
    <x v="1"/>
    <n v="2007"/>
    <x v="7"/>
    <s v="2018-04-04"/>
    <n v="48"/>
    <s v="18+"/>
    <n v="6.7"/>
    <n v="566.20000000000005"/>
    <s v="Spanish"/>
    <s v="Denis Villeneuve"/>
    <s v="Brad Pitt"/>
    <n v="7"/>
    <n v="81"/>
    <n v="256.2"/>
    <s v="Average"/>
    <s v="Blockbuster"/>
    <s v="No"/>
    <s v="Low"/>
    <n v="175.2"/>
    <n v="316.2962962962963"/>
  </r>
  <r>
    <s v="NFX-101394"/>
    <s v="Iron Odyssey 9"/>
    <s v="TV Show"/>
    <x v="5"/>
    <n v="2024"/>
    <x v="5"/>
    <s v="2019-08-14"/>
    <n v="58"/>
    <s v="PG"/>
    <n v="6.8"/>
    <n v="550.9"/>
    <s v="Korean"/>
    <s v="Martin Scorsese"/>
    <s v="Deepika Padukone"/>
    <n v="5"/>
    <n v="18"/>
    <n v="56.2"/>
    <s v="Average"/>
    <s v="Blockbuster"/>
    <s v="Yes"/>
    <s v="Low"/>
    <n v="38.200000000000003"/>
    <n v="312.22222222222223"/>
  </r>
  <r>
    <s v="NFX-101395"/>
    <s v="Iron City 8"/>
    <s v="Movie"/>
    <x v="7"/>
    <n v="2018"/>
    <x v="4"/>
    <s v="2024-07-09"/>
    <n v="101"/>
    <s v="16+"/>
    <n v="7.6"/>
    <n v="97.6"/>
    <s v="Hindi"/>
    <s v="Greta Gerwig"/>
    <s v="Tom Hardy"/>
    <m/>
    <n v="9"/>
    <n v="21.2"/>
    <s v="Average"/>
    <s v="Normal"/>
    <s v="No"/>
    <s v="Low"/>
    <n v="12.2"/>
    <n v="235.55555555555557"/>
  </r>
  <r>
    <s v="NFX-101396"/>
    <s v="Silent Signal 2"/>
    <s v="Movie"/>
    <x v="6"/>
    <n v="2023"/>
    <x v="3"/>
    <s v="2024-09-22"/>
    <n v="126"/>
    <s v="PG"/>
    <n v="6.2"/>
    <n v="204.9"/>
    <s v="Spanish"/>
    <s v="Martin Scorsese"/>
    <s v="Ranbir Kapoor"/>
    <m/>
    <n v="154"/>
    <n v="831.4"/>
    <s v="Average"/>
    <s v="Popular"/>
    <s v="Yes"/>
    <s v="High"/>
    <n v="677.4"/>
    <n v="539.87012987012986"/>
  </r>
  <r>
    <s v="NFX-101397"/>
    <s v="Burning Valley 6"/>
    <s v="TV Show"/>
    <x v="2"/>
    <n v="2001"/>
    <x v="9"/>
    <s v="2019-10-28"/>
    <n v="53"/>
    <s v="PG"/>
    <n v="6"/>
    <n v="132"/>
    <s v="German"/>
    <s v="James Cameron"/>
    <s v="Ryan Gosling"/>
    <n v="6"/>
    <n v="128"/>
    <n v="365.1"/>
    <s v="Average"/>
    <s v="Normal"/>
    <s v="Yes"/>
    <s v="High"/>
    <n v="237.10000000000002"/>
    <n v="285.234375"/>
  </r>
  <r>
    <s v="NFX-101398"/>
    <s v="Golden Frontier 9"/>
    <s v="TV Show"/>
    <x v="7"/>
    <n v="2007"/>
    <x v="5"/>
    <s v="2018-09-01"/>
    <n v="36"/>
    <s v="PG"/>
    <n v="5.0999999999999996"/>
    <n v="561.70000000000005"/>
    <s v="German"/>
    <s v="Zoya Akhtar"/>
    <s v="Deepika Padukone"/>
    <n v="8"/>
    <n v="34"/>
    <n v="149.19999999999999"/>
    <s v="Flop"/>
    <s v="Blockbuster"/>
    <s v="Yes"/>
    <s v="Low"/>
    <n v="115.19999999999999"/>
    <n v="438.82352941176464"/>
  </r>
  <r>
    <s v="NFX-101399"/>
    <s v="Silent Archive 7"/>
    <s v="Movie"/>
    <x v="4"/>
    <n v="2003"/>
    <x v="3"/>
    <s v="2018-07-24"/>
    <n v="130"/>
    <s v="16+"/>
    <n v="8.8000000000000007"/>
    <n v="27.7"/>
    <s v="Korean"/>
    <s v="Park Chan-wook"/>
    <s v="Ryan Gosling"/>
    <m/>
    <n v="81"/>
    <n v="452"/>
    <s v="Hit"/>
    <s v="Normal"/>
    <s v="No"/>
    <s v="Low"/>
    <n v="371"/>
    <n v="558.02469135802471"/>
  </r>
  <r>
    <s v="NFX-101400"/>
    <s v="Crystal Odyssey 2"/>
    <s v="TV Show"/>
    <x v="8"/>
    <n v="2001"/>
    <x v="6"/>
    <s v="2021-11-10"/>
    <n v="55"/>
    <s v="PG-13"/>
    <n v="6.9"/>
    <n v="500.6"/>
    <s v="English"/>
    <s v="Zoya Akhtar"/>
    <s v="Lee Jung-jae"/>
    <n v="8"/>
    <n v="178"/>
    <n v="263.39999999999998"/>
    <s v="Average"/>
    <s v="Blockbuster"/>
    <s v="No"/>
    <s v="High"/>
    <n v="85.399999999999977"/>
    <n v="147.97752808988761"/>
  </r>
  <r>
    <s v="NFX-101401"/>
    <s v="Crystal Legacy 7"/>
    <s v="Movie"/>
    <x v="1"/>
    <n v="2022"/>
    <x v="1"/>
    <s v="2018-06-24"/>
    <n v="80"/>
    <s v="G"/>
    <n v="8"/>
    <n v="33.700000000000003"/>
    <s v="Korean"/>
    <s v="Christopher Nolan"/>
    <s v="Leonardo DiCaprio"/>
    <m/>
    <n v="93"/>
    <n v="132.80000000000001"/>
    <s v="Hit"/>
    <s v="Normal"/>
    <s v="Yes"/>
    <s v="Low"/>
    <n v="39.800000000000011"/>
    <n v="142.7956989247312"/>
  </r>
  <r>
    <s v="NFX-101402"/>
    <s v="Iron Frontier 7"/>
    <s v="TV Show"/>
    <x v="10"/>
    <n v="2003"/>
    <x v="4"/>
    <s v="2018-09-15"/>
    <n v="54"/>
    <s v="PG-13"/>
    <n v="5.9"/>
    <n v="111"/>
    <s v="Spanish"/>
    <s v="Martin Scorsese"/>
    <s v="Shah Rukh Khan"/>
    <n v="7"/>
    <n v="145"/>
    <n v="683.5"/>
    <s v="Flop"/>
    <s v="Normal"/>
    <s v="No"/>
    <s v="High"/>
    <n v="538.5"/>
    <n v="471.37931034482756"/>
  </r>
  <r>
    <s v="NFX-101403"/>
    <s v="Last Code 9"/>
    <s v="Movie"/>
    <x v="5"/>
    <n v="2008"/>
    <x v="7"/>
    <s v="2022-08-05"/>
    <n v="148"/>
    <s v="PG-13"/>
    <n v="8.3000000000000007"/>
    <n v="95.8"/>
    <s v="German"/>
    <s v="Guillermo del Toro"/>
    <s v="Timothée Chalamet"/>
    <m/>
    <n v="196"/>
    <n v="938.2"/>
    <s v="Hit"/>
    <s v="Normal"/>
    <s v="No"/>
    <s v="High"/>
    <n v="742.2"/>
    <n v="478.67346938775512"/>
  </r>
  <r>
    <s v="NFX-101404"/>
    <s v="Silent Archive 9"/>
    <s v="TV Show"/>
    <x v="4"/>
    <n v="2014"/>
    <x v="1"/>
    <s v="2024-10-06"/>
    <n v="57"/>
    <s v="G"/>
    <n v="5.0999999999999996"/>
    <n v="156.19999999999999"/>
    <s v="German"/>
    <s v="Christopher Nolan"/>
    <s v="Shah Rukh Khan"/>
    <n v="8"/>
    <n v="20"/>
    <n v="47.6"/>
    <s v="Flop"/>
    <s v="Normal"/>
    <s v="Yes"/>
    <s v="Low"/>
    <n v="27.6"/>
    <n v="238"/>
  </r>
  <r>
    <s v="NFX-101405"/>
    <s v="Shadow Frontier 9"/>
    <s v="Movie"/>
    <x v="8"/>
    <n v="2004"/>
    <x v="9"/>
    <s v="2021-07-09"/>
    <n v="121"/>
    <s v="PG"/>
    <n v="7.9"/>
    <n v="501.7"/>
    <s v="German"/>
    <s v="Christopher Nolan"/>
    <s v="Jennifer Lawrence"/>
    <m/>
    <n v="135"/>
    <n v="179.2"/>
    <s v="Average"/>
    <s v="Blockbuster"/>
    <s v="Yes"/>
    <s v="High"/>
    <n v="44.199999999999989"/>
    <n v="132.74074074074073"/>
  </r>
  <r>
    <s v="NFX-101406"/>
    <s v="Crystal City 6"/>
    <s v="Movie"/>
    <x v="7"/>
    <n v="2021"/>
    <x v="3"/>
    <s v="2023-09-02"/>
    <n v="159"/>
    <s v="PG"/>
    <n v="9.1999999999999993"/>
    <n v="327.10000000000002"/>
    <s v="German"/>
    <s v="Martin Scorsese"/>
    <s v="Leonardo DiCaprio"/>
    <m/>
    <n v="194"/>
    <n v="932.6"/>
    <s v="Hit"/>
    <s v="Popular"/>
    <s v="Yes"/>
    <s v="High"/>
    <n v="738.6"/>
    <n v="480.72164948453604"/>
  </r>
  <r>
    <s v="NFX-101407"/>
    <s v="Fading Archive 8"/>
    <s v="Movie"/>
    <x v="0"/>
    <n v="2020"/>
    <x v="4"/>
    <s v="2023-04-30"/>
    <n v="154"/>
    <s v="PG-13"/>
    <n v="4.9000000000000004"/>
    <n v="27.3"/>
    <s v="Korean"/>
    <s v="James Cameron"/>
    <s v="Scarlett Johansson"/>
    <m/>
    <n v="113"/>
    <n v="488.8"/>
    <s v="Flop"/>
    <s v="Normal"/>
    <s v="No"/>
    <s v="High"/>
    <n v="375.8"/>
    <n v="432.56637168141594"/>
  </r>
  <r>
    <s v="NFX-101408"/>
    <s v="Fading Horizon 3"/>
    <s v="Movie"/>
    <x v="0"/>
    <n v="2001"/>
    <x v="1"/>
    <s v="2019-02-09"/>
    <n v="89"/>
    <s v="PG"/>
    <n v="6.5"/>
    <n v="523.6"/>
    <s v="Hindi"/>
    <s v="Martin Scorsese"/>
    <s v="Scarlett Johansson"/>
    <m/>
    <n v="83"/>
    <n v="110.7"/>
    <s v="Average"/>
    <s v="Blockbuster"/>
    <s v="Yes"/>
    <s v="Low"/>
    <n v="27.700000000000003"/>
    <n v="133.37349397590361"/>
  </r>
  <r>
    <s v="NFX-101409"/>
    <s v="Golden Valley 9"/>
    <s v="TV Show"/>
    <x v="9"/>
    <n v="2003"/>
    <x v="7"/>
    <s v="2024-09-14"/>
    <n v="56"/>
    <s v="G"/>
    <n v="6.8"/>
    <n v="283.8"/>
    <s v="Hindi"/>
    <s v="James Cameron"/>
    <s v="Shah Rukh Khan"/>
    <n v="8"/>
    <n v="197"/>
    <n v="1119.7"/>
    <s v="Average"/>
    <s v="Popular"/>
    <s v="Yes"/>
    <s v="High"/>
    <n v="922.7"/>
    <n v="568.37563451776646"/>
  </r>
  <r>
    <s v="NFX-101410"/>
    <s v="Midnight Echo 1"/>
    <s v="Movie"/>
    <x v="7"/>
    <n v="2018"/>
    <x v="1"/>
    <s v="2023-06-12"/>
    <n v="148"/>
    <s v="16+"/>
    <n v="5.4"/>
    <n v="95.1"/>
    <s v="Spanish"/>
    <s v="Sanjay Leela Bhansali"/>
    <s v="Deepika Padukone"/>
    <m/>
    <n v="52"/>
    <n v="280.89999999999998"/>
    <s v="Flop"/>
    <s v="Normal"/>
    <s v="No"/>
    <s v="Low"/>
    <n v="228.89999999999998"/>
    <n v="540.19230769230774"/>
  </r>
  <r>
    <s v="NFX-101411"/>
    <s v="Broken Odyssey 4"/>
    <s v="Movie"/>
    <x v="10"/>
    <n v="2002"/>
    <x v="7"/>
    <s v="2023-02-09"/>
    <n v="156"/>
    <s v="PG"/>
    <n v="4.7"/>
    <n v="133.6"/>
    <s v="Spanish"/>
    <s v="Ridley Scott"/>
    <s v="Brad Pitt"/>
    <m/>
    <n v="69"/>
    <n v="409.2"/>
    <s v="Flop"/>
    <s v="Normal"/>
    <s v="Yes"/>
    <s v="Low"/>
    <n v="340.2"/>
    <n v="593.04347826086951"/>
  </r>
  <r>
    <s v="NFX-101412"/>
    <s v="Secret Code 5"/>
    <s v="Movie"/>
    <x v="7"/>
    <n v="2007"/>
    <x v="1"/>
    <s v="2018-07-31"/>
    <n v="156"/>
    <s v="18+"/>
    <n v="5.8"/>
    <n v="122.4"/>
    <s v="French"/>
    <s v="Christopher Nolan"/>
    <s v="Shah Rukh Khan"/>
    <m/>
    <n v="28"/>
    <n v="36.1"/>
    <s v="Flop"/>
    <s v="Normal"/>
    <s v="No"/>
    <s v="Low"/>
    <n v="8.1000000000000014"/>
    <n v="128.92857142857144"/>
  </r>
  <r>
    <s v="NFX-101413"/>
    <s v="Broken Journey 6"/>
    <s v="TV Show"/>
    <x v="8"/>
    <n v="2012"/>
    <x v="0"/>
    <s v="2020-12-05"/>
    <n v="34"/>
    <s v="18+"/>
    <n v="6.3"/>
    <n v="205.7"/>
    <s v="Japanese"/>
    <s v="Denis Villeneuve"/>
    <s v="Robert Downey Jr."/>
    <n v="8"/>
    <n v="86"/>
    <n v="133.6"/>
    <s v="Average"/>
    <s v="Popular"/>
    <s v="No"/>
    <s v="Low"/>
    <n v="47.599999999999994"/>
    <n v="155.34883720930233"/>
  </r>
  <r>
    <s v="NFX-101414"/>
    <s v="Secret Valley 3"/>
    <s v="Movie"/>
    <x v="0"/>
    <n v="2015"/>
    <x v="3"/>
    <s v="2022-11-02"/>
    <n v="139"/>
    <s v="16+"/>
    <n v="4.8"/>
    <n v="313.2"/>
    <s v="German"/>
    <s v="Steven Spielberg"/>
    <s v="Timothée Chalamet"/>
    <m/>
    <n v="71"/>
    <n v="216.8"/>
    <s v="Flop"/>
    <s v="Popular"/>
    <s v="No"/>
    <s v="Low"/>
    <n v="145.80000000000001"/>
    <n v="305.35211267605638"/>
  </r>
  <r>
    <s v="NFX-101415"/>
    <s v="Burning Signal 1"/>
    <s v="Movie"/>
    <x v="6"/>
    <n v="2000"/>
    <x v="7"/>
    <s v="2020-03-19"/>
    <n v="175"/>
    <s v="16+"/>
    <n v="4.7"/>
    <n v="168.8"/>
    <s v="French"/>
    <s v="Sanjay Leela Bhansali"/>
    <s v="Emma Stone"/>
    <m/>
    <n v="44"/>
    <n v="169"/>
    <s v="Flop"/>
    <s v="Normal"/>
    <s v="No"/>
    <s v="Low"/>
    <n v="125"/>
    <n v="384.09090909090907"/>
  </r>
  <r>
    <s v="NFX-101416"/>
    <s v="Midnight Journey 7"/>
    <s v="TV Show"/>
    <x v="0"/>
    <n v="2012"/>
    <x v="3"/>
    <s v="2019-10-03"/>
    <n v="56"/>
    <s v="PG"/>
    <n v="6.5"/>
    <n v="557.79999999999995"/>
    <s v="Japanese"/>
    <s v="Zoya Akhtar"/>
    <s v="Deepika Padukone"/>
    <n v="3"/>
    <n v="130"/>
    <n v="626.20000000000005"/>
    <s v="Average"/>
    <s v="Blockbuster"/>
    <s v="Yes"/>
    <s v="High"/>
    <n v="496.20000000000005"/>
    <n v="481.69230769230768"/>
  </r>
  <r>
    <s v="NFX-101417"/>
    <s v="Lost Echo 8"/>
    <s v="Movie"/>
    <x v="2"/>
    <n v="2007"/>
    <x v="2"/>
    <s v="2021-06-21"/>
    <n v="109"/>
    <s v="16+"/>
    <n v="6.8"/>
    <n v="77.3"/>
    <s v="Spanish"/>
    <s v="Ridley Scott"/>
    <s v="Song Kang-ho"/>
    <m/>
    <n v="101"/>
    <n v="126.3"/>
    <s v="Average"/>
    <s v="Normal"/>
    <s v="No"/>
    <s v="High"/>
    <n v="25.299999999999997"/>
    <n v="125.04950495049505"/>
  </r>
  <r>
    <s v="NFX-101418"/>
    <s v="Rising Echo 9"/>
    <s v="TV Show"/>
    <x v="2"/>
    <n v="2023"/>
    <x v="3"/>
    <s v="2022-12-08"/>
    <n v="31"/>
    <s v="PG"/>
    <n v="7.9"/>
    <n v="445.4"/>
    <s v="English"/>
    <s v="Zoya Akhtar"/>
    <s v="Lee Jung-jae"/>
    <n v="1"/>
    <n v="119"/>
    <n v="159.5"/>
    <s v="Average"/>
    <s v="Blockbuster"/>
    <s v="Yes"/>
    <s v="High"/>
    <n v="40.5"/>
    <n v="134.03361344537814"/>
  </r>
  <r>
    <s v="NFX-101419"/>
    <s v="Rising Storm 6"/>
    <s v="TV Show"/>
    <x v="4"/>
    <n v="2020"/>
    <x v="2"/>
    <s v="2020-10-31"/>
    <n v="39"/>
    <s v="18+"/>
    <n v="8.1"/>
    <n v="322.39999999999998"/>
    <s v="Japanese"/>
    <s v="Christopher Nolan"/>
    <s v="Leonardo DiCaprio"/>
    <n v="1"/>
    <n v="157"/>
    <n v="1004.9"/>
    <s v="Hit"/>
    <s v="Popular"/>
    <s v="No"/>
    <s v="High"/>
    <n v="847.9"/>
    <n v="640.06369426751587"/>
  </r>
  <r>
    <s v="NFX-101420"/>
    <s v="Crystal Valley 4"/>
    <s v="Movie"/>
    <x v="0"/>
    <n v="2005"/>
    <x v="4"/>
    <s v="2022-03-02"/>
    <n v="83"/>
    <s v="PG"/>
    <n v="4.7"/>
    <n v="109.8"/>
    <s v="Hindi"/>
    <s v="Quentin Tarantino"/>
    <s v="Shah Rukh Khan"/>
    <m/>
    <n v="127"/>
    <n v="256.3"/>
    <s v="Flop"/>
    <s v="Normal"/>
    <s v="Yes"/>
    <s v="High"/>
    <n v="129.30000000000001"/>
    <n v="201.81102362204726"/>
  </r>
  <r>
    <s v="NFX-101421"/>
    <s v="Fading Legacy 9"/>
    <s v="Movie"/>
    <x v="10"/>
    <n v="2000"/>
    <x v="9"/>
    <s v="2024-09-11"/>
    <n v="153"/>
    <s v="PG"/>
    <n v="5.3"/>
    <n v="436.4"/>
    <s v="Korean"/>
    <s v="James Cameron"/>
    <s v="Jennifer Lawrence"/>
    <m/>
    <n v="173"/>
    <n v="321.5"/>
    <s v="Flop"/>
    <s v="Blockbuster"/>
    <s v="Yes"/>
    <s v="High"/>
    <n v="148.5"/>
    <n v="185.83815028901734"/>
  </r>
  <r>
    <s v="NFX-101422"/>
    <s v="Hidden Empire 9"/>
    <s v="Movie"/>
    <x v="6"/>
    <n v="2021"/>
    <x v="4"/>
    <s v="2023-01-22"/>
    <n v="125"/>
    <s v="18+"/>
    <n v="5.4"/>
    <n v="539.79999999999995"/>
    <s v="Spanish"/>
    <s v="Denis Villeneuve"/>
    <s v="Timothée Chalamet"/>
    <m/>
    <n v="107"/>
    <n v="292.8"/>
    <s v="Flop"/>
    <s v="Blockbuster"/>
    <s v="No"/>
    <s v="High"/>
    <n v="185.8"/>
    <n v="273.64485981308411"/>
  </r>
  <r>
    <s v="NFX-101423"/>
    <s v="Crystal Archive 4"/>
    <s v="Movie"/>
    <x v="3"/>
    <n v="2006"/>
    <x v="5"/>
    <s v="2019-02-08"/>
    <n v="87"/>
    <s v="G"/>
    <n v="8.1"/>
    <n v="268.2"/>
    <s v="Korean"/>
    <s v="Martin Scorsese"/>
    <s v="Lee Jung-jae"/>
    <m/>
    <n v="49"/>
    <n v="80.099999999999994"/>
    <s v="Hit"/>
    <s v="Popular"/>
    <s v="Yes"/>
    <s v="Low"/>
    <n v="31.099999999999994"/>
    <n v="163.46938775510202"/>
  </r>
  <r>
    <s v="NFX-101424"/>
    <s v="Iron Code 1"/>
    <s v="Movie"/>
    <x v="4"/>
    <n v="2004"/>
    <x v="7"/>
    <s v="2021-08-11"/>
    <n v="102"/>
    <s v="18+"/>
    <n v="6.3"/>
    <n v="579.20000000000005"/>
    <s v="Korean"/>
    <s v="Zoya Akhtar"/>
    <s v="Ryan Gosling"/>
    <m/>
    <n v="86"/>
    <n v="178.9"/>
    <s v="Average"/>
    <s v="Blockbuster"/>
    <s v="No"/>
    <s v="Low"/>
    <n v="92.9"/>
    <n v="208.02325581395351"/>
  </r>
  <r>
    <s v="NFX-101425"/>
    <s v="Crystal Odyssey 3"/>
    <s v="Movie"/>
    <x v="9"/>
    <n v="2025"/>
    <x v="3"/>
    <s v="2018-07-22"/>
    <n v="146"/>
    <s v="PG-13"/>
    <n v="9.4"/>
    <n v="94.8"/>
    <s v="Korean"/>
    <s v="Christopher Nolan"/>
    <s v="Leonardo DiCaprio"/>
    <m/>
    <n v="169"/>
    <n v="1064.8"/>
    <s v="Hit"/>
    <s v="Normal"/>
    <s v="No"/>
    <s v="High"/>
    <n v="895.8"/>
    <n v="630.05917159763317"/>
  </r>
  <r>
    <s v="NFX-101426"/>
    <s v="Golden Frontier 4"/>
    <s v="TV Show"/>
    <x v="2"/>
    <n v="2024"/>
    <x v="1"/>
    <s v="2018-09-30"/>
    <n v="49"/>
    <s v="G"/>
    <n v="8.3000000000000007"/>
    <n v="329.7"/>
    <s v="German"/>
    <s v="Christopher Nolan"/>
    <s v="Brad Pitt"/>
    <n v="8"/>
    <n v="172"/>
    <n v="1102.5999999999999"/>
    <s v="Hit"/>
    <s v="Popular"/>
    <s v="Yes"/>
    <s v="High"/>
    <n v="930.59999999999991"/>
    <n v="641.04651162790697"/>
  </r>
  <r>
    <s v="NFX-101427"/>
    <s v="Secret Signal 7"/>
    <s v="TV Show"/>
    <x v="9"/>
    <n v="2025"/>
    <x v="1"/>
    <s v="2021-05-13"/>
    <n v="33"/>
    <s v="PG"/>
    <n v="4.8"/>
    <n v="424.3"/>
    <s v="French"/>
    <s v="Christopher Nolan"/>
    <s v="Song Kang-ho"/>
    <n v="7"/>
    <n v="68"/>
    <n v="119.4"/>
    <s v="Flop"/>
    <s v="Blockbuster"/>
    <s v="Yes"/>
    <s v="Low"/>
    <n v="51.400000000000006"/>
    <n v="175.58823529411765"/>
  </r>
  <r>
    <s v="NFX-101428"/>
    <s v="Silent City 1"/>
    <s v="Movie"/>
    <x v="3"/>
    <n v="2021"/>
    <x v="1"/>
    <s v="2021-03-29"/>
    <n v="158"/>
    <s v="PG"/>
    <n v="6.2"/>
    <n v="39.6"/>
    <s v="Hindi"/>
    <s v="Zoya Akhtar"/>
    <s v="Shah Rukh Khan"/>
    <m/>
    <n v="86"/>
    <n v="533.29999999999995"/>
    <s v="Average"/>
    <s v="Normal"/>
    <s v="Yes"/>
    <s v="Low"/>
    <n v="447.29999999999995"/>
    <n v="620.11627906976742"/>
  </r>
  <r>
    <s v="NFX-101429"/>
    <s v="Midnight City 9"/>
    <s v="TV Show"/>
    <x v="1"/>
    <n v="2020"/>
    <x v="1"/>
    <s v="2022-10-20"/>
    <n v="40"/>
    <s v="G"/>
    <n v="8.1"/>
    <n v="350.1"/>
    <s v="French"/>
    <s v="Zoya Akhtar"/>
    <s v="Brad Pitt"/>
    <n v="1"/>
    <n v="172"/>
    <n v="1075.5"/>
    <s v="Hit"/>
    <s v="Popular"/>
    <s v="Yes"/>
    <s v="High"/>
    <n v="903.5"/>
    <n v="625.29069767441865"/>
  </r>
  <r>
    <s v="NFX-101430"/>
    <s v="Crystal Protocol 1"/>
    <s v="TV Show"/>
    <x v="2"/>
    <n v="2019"/>
    <x v="8"/>
    <s v="2018-09-19"/>
    <n v="32"/>
    <s v="18+"/>
    <n v="5.5"/>
    <n v="309.2"/>
    <s v="German"/>
    <s v="James Cameron"/>
    <s v="Lee Jung-jae"/>
    <n v="3"/>
    <n v="178"/>
    <n v="256.39999999999998"/>
    <s v="Flop"/>
    <s v="Popular"/>
    <s v="No"/>
    <s v="High"/>
    <n v="78.399999999999977"/>
    <n v="144.04494382022472"/>
  </r>
  <r>
    <s v="NFX-101431"/>
    <s v="Fading Code 8"/>
    <s v="TV Show"/>
    <x v="4"/>
    <n v="2010"/>
    <x v="2"/>
    <s v="2021-06-08"/>
    <n v="31"/>
    <s v="18+"/>
    <n v="5.3"/>
    <n v="233.7"/>
    <s v="French"/>
    <s v="Bong Joon-ho"/>
    <s v="Emma Stone"/>
    <n v="2"/>
    <n v="124"/>
    <n v="178"/>
    <s v="Flop"/>
    <s v="Popular"/>
    <s v="No"/>
    <s v="High"/>
    <n v="54"/>
    <n v="143.54838709677421"/>
  </r>
  <r>
    <s v="NFX-101432"/>
    <s v="Iron Archive 6"/>
    <s v="Movie"/>
    <x v="1"/>
    <n v="2018"/>
    <x v="0"/>
    <s v="2019-05-01"/>
    <n v="110"/>
    <s v="18+"/>
    <n v="8.1"/>
    <n v="349.9"/>
    <s v="French"/>
    <s v="Ridley Scott"/>
    <s v="Leonardo DiCaprio"/>
    <m/>
    <n v="48"/>
    <n v="89.4"/>
    <s v="Hit"/>
    <s v="Popular"/>
    <s v="No"/>
    <s v="Low"/>
    <n v="41.400000000000006"/>
    <n v="186.25"/>
  </r>
  <r>
    <s v="NFX-101433"/>
    <s v="Golden Legacy 9"/>
    <s v="TV Show"/>
    <x v="10"/>
    <n v="2014"/>
    <x v="6"/>
    <s v="2018-06-30"/>
    <n v="43"/>
    <s v="16+"/>
    <n v="5.3"/>
    <n v="297.7"/>
    <s v="German"/>
    <s v="Quentin Tarantino"/>
    <s v="Jennifer Lawrence"/>
    <n v="5"/>
    <n v="96"/>
    <n v="573.79999999999995"/>
    <s v="Flop"/>
    <s v="Popular"/>
    <s v="No"/>
    <s v="Low"/>
    <n v="477.79999999999995"/>
    <n v="597.70833333333326"/>
  </r>
  <r>
    <s v="NFX-101434"/>
    <s v="Rising Echo 2"/>
    <s v="TV Show"/>
    <x v="7"/>
    <n v="2005"/>
    <x v="7"/>
    <s v="2020-07-29"/>
    <n v="57"/>
    <s v="G"/>
    <n v="6.3"/>
    <n v="471.3"/>
    <s v="Spanish"/>
    <s v="Bong Joon-ho"/>
    <s v="Ranbir Kapoor"/>
    <n v="7"/>
    <n v="128"/>
    <n v="781.3"/>
    <s v="Average"/>
    <s v="Blockbuster"/>
    <s v="Yes"/>
    <s v="High"/>
    <n v="653.29999999999995"/>
    <n v="610.390625"/>
  </r>
  <r>
    <s v="NFX-101435"/>
    <s v="Crystal Storm 7"/>
    <s v="TV Show"/>
    <x v="7"/>
    <n v="2013"/>
    <x v="2"/>
    <s v="2024-04-24"/>
    <n v="53"/>
    <s v="G"/>
    <n v="9.6"/>
    <n v="365"/>
    <s v="Hindi"/>
    <s v="Quentin Tarantino"/>
    <s v="Lee Jung-jae"/>
    <n v="8"/>
    <n v="7"/>
    <n v="16.899999999999999"/>
    <s v="Hit"/>
    <s v="Popular"/>
    <s v="Yes"/>
    <s v="Low"/>
    <n v="9.8999999999999986"/>
    <n v="241.42857142857142"/>
  </r>
  <r>
    <s v="NFX-101436"/>
    <s v="Dark Code 4"/>
    <s v="Movie"/>
    <x v="9"/>
    <n v="2002"/>
    <x v="6"/>
    <s v="2019-07-05"/>
    <n v="174"/>
    <s v="18+"/>
    <n v="5.0999999999999996"/>
    <n v="496.5"/>
    <s v="English"/>
    <s v="Zoya Akhtar"/>
    <s v="Deepika Padukone"/>
    <m/>
    <n v="128"/>
    <n v="345.4"/>
    <s v="Flop"/>
    <s v="Blockbuster"/>
    <s v="No"/>
    <s v="High"/>
    <n v="217.39999999999998"/>
    <n v="269.84375"/>
  </r>
  <r>
    <s v="NFX-101437"/>
    <s v="Last Journey 2"/>
    <s v="Movie"/>
    <x v="10"/>
    <n v="2015"/>
    <x v="6"/>
    <s v="2023-07-06"/>
    <n v="180"/>
    <s v="PG-13"/>
    <n v="7.9"/>
    <n v="30"/>
    <s v="German"/>
    <s v="Denis Villeneuve"/>
    <s v="Leonardo DiCaprio"/>
    <m/>
    <n v="150"/>
    <n v="409.7"/>
    <s v="Average"/>
    <s v="Normal"/>
    <s v="No"/>
    <s v="High"/>
    <n v="259.7"/>
    <n v="273.13333333333333"/>
  </r>
  <r>
    <s v="NFX-101438"/>
    <s v="Fading Archive 3"/>
    <s v="Movie"/>
    <x v="5"/>
    <n v="2003"/>
    <x v="3"/>
    <s v="2023-10-12"/>
    <n v="174"/>
    <s v="PG"/>
    <n v="4.5"/>
    <n v="537.70000000000005"/>
    <s v="Spanish"/>
    <s v="Ridley Scott"/>
    <s v="Timothée Chalamet"/>
    <m/>
    <n v="162"/>
    <n v="288.7"/>
    <s v="Flop"/>
    <s v="Blockbuster"/>
    <s v="Yes"/>
    <s v="High"/>
    <n v="126.69999999999999"/>
    <n v="178.20987654320987"/>
  </r>
  <r>
    <s v="NFX-101439"/>
    <s v="Rising City 3"/>
    <s v="TV Show"/>
    <x v="4"/>
    <n v="2012"/>
    <x v="4"/>
    <s v="2020-06-28"/>
    <n v="45"/>
    <s v="PG-13"/>
    <n v="7.5"/>
    <n v="214.1"/>
    <s v="Spanish"/>
    <s v="Denis Villeneuve"/>
    <s v="Brad Pitt"/>
    <n v="1"/>
    <n v="118"/>
    <n v="218.7"/>
    <s v="Average"/>
    <s v="Popular"/>
    <s v="No"/>
    <s v="High"/>
    <n v="100.69999999999999"/>
    <n v="185.33898305084745"/>
  </r>
  <r>
    <s v="NFX-101440"/>
    <s v="Fading Code 1"/>
    <s v="TV Show"/>
    <x v="1"/>
    <n v="2021"/>
    <x v="6"/>
    <s v="2019-06-11"/>
    <n v="34"/>
    <s v="PG"/>
    <n v="5.3"/>
    <n v="111"/>
    <s v="Korean"/>
    <s v="Sanjay Leela Bhansali"/>
    <s v="Tom Hardy"/>
    <n v="5"/>
    <n v="200"/>
    <n v="1243.4000000000001"/>
    <s v="Flop"/>
    <s v="Normal"/>
    <s v="Yes"/>
    <s v="High"/>
    <n v="1043.4000000000001"/>
    <n v="621.70000000000005"/>
  </r>
  <r>
    <s v="NFX-101441"/>
    <s v="Lost Echo 1"/>
    <s v="TV Show"/>
    <x v="8"/>
    <n v="2018"/>
    <x v="6"/>
    <s v="2024-03-16"/>
    <n v="45"/>
    <s v="PG-13"/>
    <n v="5.3"/>
    <n v="21.9"/>
    <s v="Korean"/>
    <s v="Greta Gerwig"/>
    <s v="Shah Rukh Khan"/>
    <n v="4"/>
    <n v="25"/>
    <n v="80.099999999999994"/>
    <s v="Flop"/>
    <s v="Normal"/>
    <s v="No"/>
    <s v="Low"/>
    <n v="55.099999999999994"/>
    <n v="320.39999999999998"/>
  </r>
  <r>
    <s v="NFX-101442"/>
    <s v="Shadow Chronicles 4"/>
    <s v="TV Show"/>
    <x v="5"/>
    <n v="2009"/>
    <x v="0"/>
    <s v="2020-09-06"/>
    <n v="39"/>
    <s v="18+"/>
    <n v="7.4"/>
    <n v="502.3"/>
    <s v="Hindi"/>
    <s v="Guillermo del Toro"/>
    <s v="Ranbir Kapoor"/>
    <n v="6"/>
    <n v="130"/>
    <n v="793.7"/>
    <s v="Average"/>
    <s v="Blockbuster"/>
    <s v="No"/>
    <s v="High"/>
    <n v="663.7"/>
    <n v="610.53846153846166"/>
  </r>
  <r>
    <s v="NFX-101443"/>
    <s v="Lost Code 7"/>
    <s v="Movie"/>
    <x v="4"/>
    <n v="2021"/>
    <x v="8"/>
    <s v="2022-05-17"/>
    <n v="94"/>
    <s v="16+"/>
    <n v="6.2"/>
    <n v="307.8"/>
    <s v="German"/>
    <s v="Denis Villeneuve"/>
    <s v="Scarlett Johansson"/>
    <m/>
    <n v="116"/>
    <n v="448.5"/>
    <s v="Average"/>
    <s v="Popular"/>
    <s v="No"/>
    <s v="High"/>
    <n v="332.5"/>
    <n v="386.63793103448273"/>
  </r>
  <r>
    <s v="NFX-101444"/>
    <s v="Dark Horizon 5"/>
    <s v="TV Show"/>
    <x v="1"/>
    <n v="2016"/>
    <x v="0"/>
    <s v="2019-02-17"/>
    <n v="38"/>
    <s v="PG"/>
    <n v="7.7"/>
    <n v="391.8"/>
    <s v="Hindi"/>
    <s v="Anurag Kashyap"/>
    <s v="Shah Rukh Khan"/>
    <n v="7"/>
    <n v="151"/>
    <n v="790.2"/>
    <s v="Average"/>
    <s v="Popular"/>
    <s v="Yes"/>
    <s v="High"/>
    <n v="639.20000000000005"/>
    <n v="523.31125827814571"/>
  </r>
  <r>
    <s v="NFX-101445"/>
    <s v="Silent Echo 7"/>
    <s v="TV Show"/>
    <x v="1"/>
    <n v="2010"/>
    <x v="8"/>
    <s v="2020-08-25"/>
    <n v="56"/>
    <s v="16+"/>
    <n v="6.5"/>
    <n v="255.2"/>
    <s v="Japanese"/>
    <s v="Christopher Nolan"/>
    <s v="Chris Evans"/>
    <n v="1"/>
    <n v="7"/>
    <n v="41.2"/>
    <s v="Average"/>
    <s v="Popular"/>
    <s v="No"/>
    <s v="Low"/>
    <n v="34.200000000000003"/>
    <n v="588.57142857142867"/>
  </r>
  <r>
    <s v="NFX-101446"/>
    <s v="Midnight Chronicles 2"/>
    <s v="Movie"/>
    <x v="0"/>
    <n v="2022"/>
    <x v="8"/>
    <s v="2021-07-31"/>
    <n v="150"/>
    <s v="PG-13"/>
    <n v="8.1999999999999993"/>
    <n v="444.4"/>
    <s v="French"/>
    <s v="Quentin Tarantino"/>
    <s v="Deepika Padukone"/>
    <m/>
    <n v="26"/>
    <n v="39.799999999999997"/>
    <s v="Hit"/>
    <s v="Blockbuster"/>
    <s v="No"/>
    <s v="Low"/>
    <n v="13.799999999999997"/>
    <n v="153.07692307692307"/>
  </r>
  <r>
    <s v="NFX-101447"/>
    <s v="Crystal Odyssey 8"/>
    <s v="Movie"/>
    <x v="10"/>
    <n v="2007"/>
    <x v="8"/>
    <s v="2022-12-03"/>
    <n v="173"/>
    <s v="G"/>
    <n v="9.5"/>
    <n v="230.7"/>
    <s v="English"/>
    <s v="Rajkumar Hirani"/>
    <s v="Shah Rukh Khan"/>
    <m/>
    <n v="143"/>
    <n v="591.20000000000005"/>
    <s v="Hit"/>
    <s v="Popular"/>
    <s v="Yes"/>
    <s v="High"/>
    <n v="448.20000000000005"/>
    <n v="413.42657342657344"/>
  </r>
  <r>
    <s v="NFX-101448"/>
    <s v="Last Journey 1"/>
    <s v="TV Show"/>
    <x v="2"/>
    <n v="2013"/>
    <x v="8"/>
    <s v="2021-05-11"/>
    <n v="60"/>
    <s v="16+"/>
    <n v="6.9"/>
    <n v="568.5"/>
    <s v="French"/>
    <s v="Steven Spielberg"/>
    <s v="Brad Pitt"/>
    <n v="5"/>
    <n v="181"/>
    <n v="1103"/>
    <s v="Average"/>
    <s v="Blockbuster"/>
    <s v="No"/>
    <s v="High"/>
    <n v="922"/>
    <n v="609.39226519337012"/>
  </r>
  <r>
    <s v="NFX-101449"/>
    <s v="Hidden Echo 8"/>
    <s v="Movie"/>
    <x v="9"/>
    <n v="2000"/>
    <x v="7"/>
    <s v="2018-03-23"/>
    <n v="155"/>
    <s v="G"/>
    <n v="4.7"/>
    <n v="291.3"/>
    <s v="German"/>
    <s v="Greta Gerwig"/>
    <s v="Deepika Padukone"/>
    <m/>
    <n v="37"/>
    <n v="48.5"/>
    <s v="Flop"/>
    <s v="Popular"/>
    <s v="Yes"/>
    <s v="Low"/>
    <n v="11.5"/>
    <n v="131.08108108108107"/>
  </r>
  <r>
    <s v="NFX-101450"/>
    <s v="Secret Signal 8"/>
    <s v="Movie"/>
    <x v="3"/>
    <n v="2016"/>
    <x v="5"/>
    <s v="2021-10-23"/>
    <n v="169"/>
    <s v="18+"/>
    <n v="5.8"/>
    <n v="597.4"/>
    <s v="Korean"/>
    <s v="Sanjay Leela Bhansali"/>
    <s v="Lee Jung-jae"/>
    <m/>
    <n v="123"/>
    <n v="277.7"/>
    <s v="Flop"/>
    <s v="Blockbuster"/>
    <s v="No"/>
    <s v="High"/>
    <n v="154.69999999999999"/>
    <n v="225.77235772357724"/>
  </r>
  <r>
    <s v="NFX-101451"/>
    <s v="Rising Chronicles 1"/>
    <s v="Movie"/>
    <x v="1"/>
    <n v="2014"/>
    <x v="7"/>
    <s v="2023-11-22"/>
    <n v="127"/>
    <s v="18+"/>
    <n v="6.2"/>
    <n v="323.7"/>
    <s v="Hindi"/>
    <s v="Quentin Tarantino"/>
    <s v="Robert Downey Jr."/>
    <m/>
    <n v="75"/>
    <n v="334.1"/>
    <s v="Average"/>
    <s v="Popular"/>
    <s v="No"/>
    <s v="Low"/>
    <n v="259.10000000000002"/>
    <n v="445.4666666666667"/>
  </r>
  <r>
    <s v="NFX-101452"/>
    <s v="Midnight Storm 1"/>
    <s v="Movie"/>
    <x v="7"/>
    <n v="2018"/>
    <x v="6"/>
    <s v="2022-03-16"/>
    <n v="108"/>
    <s v="PG-13"/>
    <n v="9.1999999999999993"/>
    <n v="497.4"/>
    <s v="Hindi"/>
    <s v="Steven Spielberg"/>
    <s v="Ranbir Kapoor"/>
    <m/>
    <n v="199"/>
    <n v="413.1"/>
    <s v="Hit"/>
    <s v="Blockbuster"/>
    <s v="No"/>
    <s v="High"/>
    <n v="214.10000000000002"/>
    <n v="207.58793969849245"/>
  </r>
  <r>
    <s v="NFX-101453"/>
    <s v="Lost Signal 7"/>
    <s v="TV Show"/>
    <x v="5"/>
    <n v="2003"/>
    <x v="0"/>
    <s v="2022-02-06"/>
    <n v="46"/>
    <s v="PG-13"/>
    <n v="7.7"/>
    <n v="435.1"/>
    <s v="Spanish"/>
    <s v="Guillermo del Toro"/>
    <s v="Scarlett Johansson"/>
    <n v="1"/>
    <n v="43"/>
    <n v="121.9"/>
    <s v="Average"/>
    <s v="Blockbuster"/>
    <s v="No"/>
    <s v="Low"/>
    <n v="78.900000000000006"/>
    <n v="283.48837209302332"/>
  </r>
  <r>
    <s v="NFX-101454"/>
    <s v="Crystal Signal 8"/>
    <s v="Movie"/>
    <x v="6"/>
    <n v="2002"/>
    <x v="1"/>
    <s v="2020-07-31"/>
    <n v="98"/>
    <s v="PG"/>
    <n v="6.3"/>
    <n v="179.1"/>
    <s v="English"/>
    <s v="Rajkumar Hirani"/>
    <s v="Emma Stone"/>
    <m/>
    <n v="144"/>
    <n v="587.1"/>
    <s v="Average"/>
    <s v="Normal"/>
    <s v="Yes"/>
    <s v="High"/>
    <n v="443.1"/>
    <n v="407.70833333333331"/>
  </r>
  <r>
    <s v="NFX-101455"/>
    <s v="Burning Legacy 8"/>
    <s v="TV Show"/>
    <x v="5"/>
    <n v="2023"/>
    <x v="5"/>
    <s v="2022-08-22"/>
    <n v="35"/>
    <s v="G"/>
    <n v="8.1"/>
    <n v="37.700000000000003"/>
    <s v="English"/>
    <s v="James Cameron"/>
    <s v="Ranbir Kapoor"/>
    <n v="7"/>
    <n v="191"/>
    <n v="426"/>
    <s v="Hit"/>
    <s v="Normal"/>
    <s v="Yes"/>
    <s v="High"/>
    <n v="235"/>
    <n v="223.03664921465969"/>
  </r>
  <r>
    <s v="NFX-101456"/>
    <s v="Shadow Legacy 7"/>
    <s v="TV Show"/>
    <x v="10"/>
    <n v="2022"/>
    <x v="3"/>
    <s v="2019-11-14"/>
    <n v="60"/>
    <s v="G"/>
    <n v="7.4"/>
    <n v="337.2"/>
    <s v="English"/>
    <s v="Zoya Akhtar"/>
    <s v="Shah Rukh Khan"/>
    <n v="6"/>
    <n v="74"/>
    <n v="410"/>
    <s v="Average"/>
    <s v="Popular"/>
    <s v="Yes"/>
    <s v="Low"/>
    <n v="336"/>
    <n v="554.05405405405406"/>
  </r>
  <r>
    <s v="NFX-101457"/>
    <s v="Burning Chronicles 4"/>
    <s v="TV Show"/>
    <x v="6"/>
    <n v="2016"/>
    <x v="3"/>
    <s v="2020-03-15"/>
    <n v="58"/>
    <s v="16+"/>
    <n v="8.3000000000000007"/>
    <n v="229"/>
    <s v="English"/>
    <s v="Guillermo del Toro"/>
    <s v="Tom Hardy"/>
    <n v="7"/>
    <n v="102"/>
    <n v="147.5"/>
    <s v="Hit"/>
    <s v="Popular"/>
    <s v="No"/>
    <s v="High"/>
    <n v="45.5"/>
    <n v="144.60784313725489"/>
  </r>
  <r>
    <s v="NFX-101458"/>
    <s v="Shadow Horizon 5"/>
    <s v="TV Show"/>
    <x v="2"/>
    <n v="2022"/>
    <x v="6"/>
    <s v="2019-02-07"/>
    <n v="60"/>
    <s v="PG"/>
    <n v="7"/>
    <n v="372.3"/>
    <s v="Korean"/>
    <s v="Martin Scorsese"/>
    <s v="Leonardo DiCaprio"/>
    <n v="1"/>
    <n v="26"/>
    <n v="50.4"/>
    <s v="Average"/>
    <s v="Popular"/>
    <s v="Yes"/>
    <s v="Low"/>
    <n v="24.4"/>
    <n v="193.84615384615384"/>
  </r>
  <r>
    <s v="NFX-101459"/>
    <s v="Lost Code 5"/>
    <s v="TV Show"/>
    <x v="9"/>
    <n v="2023"/>
    <x v="7"/>
    <s v="2018-10-22"/>
    <n v="53"/>
    <s v="18+"/>
    <n v="6.6"/>
    <n v="459.5"/>
    <s v="English"/>
    <s v="Ridley Scott"/>
    <s v="Deepika Padukone"/>
    <n v="7"/>
    <n v="68"/>
    <n v="170.2"/>
    <s v="Average"/>
    <s v="Blockbuster"/>
    <s v="No"/>
    <s v="Low"/>
    <n v="102.19999999999999"/>
    <n v="250.29411764705881"/>
  </r>
  <r>
    <s v="NFX-101460"/>
    <s v="Rising Storm 5"/>
    <s v="TV Show"/>
    <x v="4"/>
    <n v="2013"/>
    <x v="4"/>
    <s v="2022-03-19"/>
    <n v="41"/>
    <s v="PG"/>
    <n v="4.8"/>
    <n v="532.4"/>
    <s v="Hindi"/>
    <s v="Christopher Nolan"/>
    <s v="Tom Hardy"/>
    <n v="8"/>
    <n v="156"/>
    <n v="191"/>
    <s v="Flop"/>
    <s v="Blockbuster"/>
    <s v="Yes"/>
    <s v="High"/>
    <n v="35"/>
    <n v="122.43589743589745"/>
  </r>
  <r>
    <s v="NFX-101461"/>
    <s v="Secret Echo 7"/>
    <s v="Movie"/>
    <x v="7"/>
    <n v="2022"/>
    <x v="0"/>
    <s v="2020-06-08"/>
    <n v="101"/>
    <s v="G"/>
    <n v="8.6999999999999993"/>
    <n v="168.2"/>
    <s v="German"/>
    <s v="Zoya Akhtar"/>
    <s v="Song Kang-ho"/>
    <m/>
    <n v="12"/>
    <n v="42.9"/>
    <s v="Hit"/>
    <s v="Normal"/>
    <s v="Yes"/>
    <s v="Low"/>
    <n v="30.9"/>
    <n v="357.5"/>
  </r>
  <r>
    <s v="NFX-101462"/>
    <s v="Golden Archive 7"/>
    <s v="Movie"/>
    <x v="6"/>
    <n v="2004"/>
    <x v="2"/>
    <s v="2023-03-09"/>
    <n v="152"/>
    <s v="16+"/>
    <n v="5.5"/>
    <n v="189"/>
    <s v="Spanish"/>
    <s v="Denis Villeneuve"/>
    <s v="Timothée Chalamet"/>
    <m/>
    <n v="35"/>
    <n v="125.3"/>
    <s v="Flop"/>
    <s v="Normal"/>
    <s v="No"/>
    <s v="Low"/>
    <n v="90.3"/>
    <n v="358"/>
  </r>
  <r>
    <s v="NFX-101463"/>
    <s v="Shadow Empire 6"/>
    <s v="TV Show"/>
    <x v="6"/>
    <n v="2021"/>
    <x v="5"/>
    <s v="2018-07-29"/>
    <n v="41"/>
    <s v="16+"/>
    <n v="8.8000000000000007"/>
    <n v="96.8"/>
    <s v="English"/>
    <s v="Bong Joon-ho"/>
    <s v="Emma Stone"/>
    <n v="6"/>
    <n v="106"/>
    <n v="325.60000000000002"/>
    <s v="Hit"/>
    <s v="Normal"/>
    <s v="No"/>
    <s v="High"/>
    <n v="219.60000000000002"/>
    <n v="307.16981132075472"/>
  </r>
  <r>
    <s v="NFX-101464"/>
    <s v="Dark Empire 9"/>
    <s v="Movie"/>
    <x v="1"/>
    <n v="2023"/>
    <x v="1"/>
    <s v="2021-11-29"/>
    <n v="109"/>
    <s v="16+"/>
    <n v="7.3"/>
    <n v="404.4"/>
    <s v="Korean"/>
    <s v="Martin Scorsese"/>
    <s v="Scarlett Johansson"/>
    <m/>
    <n v="160"/>
    <n v="831.3"/>
    <s v="Average"/>
    <s v="Blockbuster"/>
    <s v="No"/>
    <s v="High"/>
    <n v="671.3"/>
    <n v="519.5625"/>
  </r>
  <r>
    <s v="NFX-101465"/>
    <s v="Secret Signal 6"/>
    <s v="TV Show"/>
    <x v="10"/>
    <n v="2003"/>
    <x v="8"/>
    <s v="2024-01-04"/>
    <n v="45"/>
    <s v="16+"/>
    <n v="6"/>
    <n v="418.9"/>
    <s v="Hindi"/>
    <s v="Greta Gerwig"/>
    <s v="Leonardo DiCaprio"/>
    <n v="1"/>
    <n v="36"/>
    <n v="57.7"/>
    <s v="Average"/>
    <s v="Blockbuster"/>
    <s v="No"/>
    <s v="Low"/>
    <n v="21.700000000000003"/>
    <n v="160.27777777777777"/>
  </r>
  <r>
    <s v="NFX-101466"/>
    <s v="Golden Valley 4"/>
    <s v="Movie"/>
    <x v="8"/>
    <n v="2004"/>
    <x v="5"/>
    <s v="2023-06-29"/>
    <n v="120"/>
    <s v="16+"/>
    <n v="8.4"/>
    <n v="238.9"/>
    <s v="Korean"/>
    <s v="Bong Joon-ho"/>
    <s v="Tom Hardy"/>
    <m/>
    <n v="88"/>
    <n v="507.4"/>
    <s v="Hit"/>
    <s v="Popular"/>
    <s v="No"/>
    <s v="Low"/>
    <n v="419.4"/>
    <n v="576.59090909090901"/>
  </r>
  <r>
    <s v="NFX-101467"/>
    <s v="Crystal Empire 5"/>
    <s v="TV Show"/>
    <x v="7"/>
    <n v="2022"/>
    <x v="2"/>
    <s v="2020-06-28"/>
    <n v="51"/>
    <s v="G"/>
    <n v="8.8000000000000007"/>
    <n v="446.9"/>
    <s v="Spanish"/>
    <s v="Denis Villeneuve"/>
    <s v="Leonardo DiCaprio"/>
    <n v="7"/>
    <n v="97"/>
    <n v="485.6"/>
    <s v="Hit"/>
    <s v="Blockbuster"/>
    <s v="Yes"/>
    <s v="Low"/>
    <n v="388.6"/>
    <n v="500.61855670103091"/>
  </r>
  <r>
    <s v="NFX-101468"/>
    <s v="Silent Horizon 9"/>
    <s v="TV Show"/>
    <x v="3"/>
    <n v="2005"/>
    <x v="9"/>
    <s v="2023-04-09"/>
    <n v="48"/>
    <s v="PG"/>
    <n v="7.1"/>
    <n v="149"/>
    <s v="English"/>
    <s v="Bong Joon-ho"/>
    <s v="Emma Stone"/>
    <n v="3"/>
    <n v="199"/>
    <n v="931.1"/>
    <s v="Average"/>
    <s v="Normal"/>
    <s v="Yes"/>
    <s v="High"/>
    <n v="732.1"/>
    <n v="467.8894472361809"/>
  </r>
  <r>
    <s v="NFX-101469"/>
    <s v="Iron Empire 7"/>
    <s v="Movie"/>
    <x v="10"/>
    <n v="2024"/>
    <x v="2"/>
    <s v="2022-06-18"/>
    <n v="90"/>
    <s v="PG"/>
    <n v="6.3"/>
    <n v="369.8"/>
    <s v="Hindi"/>
    <s v="Quentin Tarantino"/>
    <s v="Timothée Chalamet"/>
    <m/>
    <n v="14"/>
    <n v="45"/>
    <s v="Average"/>
    <s v="Popular"/>
    <s v="Yes"/>
    <s v="Low"/>
    <n v="31"/>
    <n v="321.42857142857144"/>
  </r>
  <r>
    <s v="NFX-101470"/>
    <s v="Rising Echo 3"/>
    <s v="Movie"/>
    <x v="4"/>
    <n v="2018"/>
    <x v="1"/>
    <s v="2019-08-09"/>
    <n v="96"/>
    <s v="18+"/>
    <n v="8.4"/>
    <n v="72.2"/>
    <s v="English"/>
    <s v="Steven Spielberg"/>
    <s v="Song Kang-ho"/>
    <m/>
    <n v="197"/>
    <n v="1187.4000000000001"/>
    <s v="Hit"/>
    <s v="Normal"/>
    <s v="No"/>
    <s v="High"/>
    <n v="990.40000000000009"/>
    <n v="602.74111675126903"/>
  </r>
  <r>
    <s v="NFX-101471"/>
    <s v="Crystal Code 6"/>
    <s v="TV Show"/>
    <x v="4"/>
    <n v="2005"/>
    <x v="5"/>
    <s v="2018-08-04"/>
    <n v="48"/>
    <s v="16+"/>
    <n v="6"/>
    <n v="301.39999999999998"/>
    <s v="French"/>
    <s v="Park Chan-wook"/>
    <s v="Shah Rukh Khan"/>
    <n v="3"/>
    <n v="147"/>
    <n v="570.5"/>
    <s v="Average"/>
    <s v="Popular"/>
    <s v="No"/>
    <s v="High"/>
    <n v="423.5"/>
    <n v="388.09523809523807"/>
  </r>
  <r>
    <s v="NFX-101472"/>
    <s v="Broken Odyssey 2"/>
    <s v="Movie"/>
    <x v="0"/>
    <n v="2006"/>
    <x v="6"/>
    <s v="2023-10-17"/>
    <n v="162"/>
    <s v="PG"/>
    <n v="8.1999999999999993"/>
    <n v="353.4"/>
    <s v="German"/>
    <s v="Guillermo del Toro"/>
    <s v="Song Kang-ho"/>
    <m/>
    <n v="196"/>
    <n v="966"/>
    <s v="Hit"/>
    <s v="Popular"/>
    <s v="Yes"/>
    <s v="High"/>
    <n v="770"/>
    <n v="492.85714285714289"/>
  </r>
  <r>
    <s v="NFX-101473"/>
    <s v="Fading Code 5"/>
    <s v="Movie"/>
    <x v="5"/>
    <n v="2015"/>
    <x v="5"/>
    <s v="2023-04-10"/>
    <n v="89"/>
    <s v="G"/>
    <n v="4.7"/>
    <n v="361.1"/>
    <s v="German"/>
    <s v="Ridley Scott"/>
    <s v="Jennifer Lawrence"/>
    <m/>
    <n v="194"/>
    <n v="330.1"/>
    <s v="Flop"/>
    <s v="Popular"/>
    <s v="Yes"/>
    <s v="High"/>
    <n v="136.10000000000002"/>
    <n v="170.15463917525776"/>
  </r>
  <r>
    <s v="NFX-101474"/>
    <s v="Midnight Empire 8"/>
    <s v="Movie"/>
    <x v="2"/>
    <n v="2017"/>
    <x v="3"/>
    <s v="2022-05-17"/>
    <n v="130"/>
    <s v="16+"/>
    <n v="6.3"/>
    <n v="8.6"/>
    <s v="Korean"/>
    <s v="Steven Spielberg"/>
    <s v="Lee Jung-jae"/>
    <m/>
    <n v="123"/>
    <n v="425.2"/>
    <s v="Average"/>
    <s v="Normal"/>
    <s v="No"/>
    <s v="High"/>
    <n v="302.2"/>
    <n v="345.6910569105691"/>
  </r>
  <r>
    <s v="NFX-101475"/>
    <s v="Golden Archive 6"/>
    <s v="Movie"/>
    <x v="7"/>
    <n v="2017"/>
    <x v="8"/>
    <s v="2022-04-28"/>
    <n v="158"/>
    <s v="16+"/>
    <n v="5.7"/>
    <n v="468.5"/>
    <s v="Korean"/>
    <s v="Steven Spielberg"/>
    <s v="Shah Rukh Khan"/>
    <m/>
    <n v="55"/>
    <n v="99.1"/>
    <s v="Flop"/>
    <s v="Blockbuster"/>
    <s v="No"/>
    <s v="Low"/>
    <n v="44.099999999999994"/>
    <n v="180.18181818181819"/>
  </r>
  <r>
    <s v="NFX-101476"/>
    <s v="Crystal Horizon 9"/>
    <s v="Movie"/>
    <x v="9"/>
    <n v="2013"/>
    <x v="9"/>
    <s v="2020-01-03"/>
    <n v="168"/>
    <s v="PG"/>
    <n v="7.1"/>
    <n v="102.7"/>
    <s v="German"/>
    <s v="Anurag Kashyap"/>
    <s v="Leonardo DiCaprio"/>
    <m/>
    <n v="87"/>
    <n v="358.5"/>
    <s v="Average"/>
    <s v="Normal"/>
    <s v="Yes"/>
    <s v="Low"/>
    <n v="271.5"/>
    <n v="412.06896551724139"/>
  </r>
  <r>
    <s v="NFX-101477"/>
    <s v="Lost Odyssey 8"/>
    <s v="Movie"/>
    <x v="9"/>
    <n v="2017"/>
    <x v="7"/>
    <s v="2022-01-04"/>
    <n v="145"/>
    <s v="PG-13"/>
    <n v="9.1"/>
    <n v="566.6"/>
    <s v="English"/>
    <s v="Rajkumar Hirani"/>
    <s v="Tom Hardy"/>
    <m/>
    <n v="76"/>
    <n v="186.5"/>
    <s v="Hit"/>
    <s v="Blockbuster"/>
    <s v="No"/>
    <s v="Low"/>
    <n v="110.5"/>
    <n v="245.39473684210526"/>
  </r>
  <r>
    <s v="NFX-101478"/>
    <s v="Last Legacy 6"/>
    <s v="Movie"/>
    <x v="4"/>
    <n v="2005"/>
    <x v="5"/>
    <s v="2023-06-24"/>
    <n v="90"/>
    <s v="PG-13"/>
    <n v="5.7"/>
    <n v="76.8"/>
    <s v="Hindi"/>
    <s v="Zoya Akhtar"/>
    <s v="Timothée Chalamet"/>
    <m/>
    <n v="194"/>
    <n v="756.7"/>
    <s v="Flop"/>
    <s v="Normal"/>
    <s v="No"/>
    <s v="High"/>
    <n v="562.70000000000005"/>
    <n v="390.05154639175259"/>
  </r>
  <r>
    <s v="NFX-101479"/>
    <s v="Crystal Legacy 4"/>
    <s v="Movie"/>
    <x v="4"/>
    <n v="2023"/>
    <x v="5"/>
    <s v="2019-12-13"/>
    <n v="176"/>
    <s v="PG-13"/>
    <n v="7.4"/>
    <n v="185.4"/>
    <s v="French"/>
    <s v="James Cameron"/>
    <s v="Chris Evans"/>
    <m/>
    <n v="35"/>
    <n v="105.3"/>
    <s v="Average"/>
    <s v="Normal"/>
    <s v="No"/>
    <s v="Low"/>
    <n v="70.3"/>
    <n v="300.85714285714283"/>
  </r>
  <r>
    <s v="NFX-101480"/>
    <s v="Last Empire 8"/>
    <s v="TV Show"/>
    <x v="2"/>
    <n v="2021"/>
    <x v="0"/>
    <s v="2021-01-04"/>
    <n v="38"/>
    <s v="G"/>
    <n v="8.3000000000000007"/>
    <n v="585.4"/>
    <s v="Spanish"/>
    <s v="James Cameron"/>
    <s v="Lee Jung-jae"/>
    <n v="3"/>
    <n v="54"/>
    <n v="192.3"/>
    <s v="Hit"/>
    <s v="Blockbuster"/>
    <s v="Yes"/>
    <s v="Low"/>
    <n v="138.30000000000001"/>
    <n v="356.11111111111114"/>
  </r>
  <r>
    <s v="NFX-101481"/>
    <s v="Rising Valley 8"/>
    <s v="Movie"/>
    <x v="6"/>
    <n v="2018"/>
    <x v="0"/>
    <s v="2019-07-26"/>
    <n v="145"/>
    <s v="18+"/>
    <n v="6.9"/>
    <n v="315.8"/>
    <s v="Korean"/>
    <s v="Greta Gerwig"/>
    <s v="Brad Pitt"/>
    <m/>
    <n v="141"/>
    <n v="619.79999999999995"/>
    <s v="Average"/>
    <s v="Popular"/>
    <s v="No"/>
    <s v="High"/>
    <n v="478.79999999999995"/>
    <n v="439.57446808510633"/>
  </r>
  <r>
    <s v="NFX-101482"/>
    <s v="Burning Journey 2"/>
    <s v="Movie"/>
    <x v="7"/>
    <n v="2000"/>
    <x v="0"/>
    <s v="2024-04-29"/>
    <n v="180"/>
    <s v="16+"/>
    <n v="6.1"/>
    <n v="355.2"/>
    <s v="English"/>
    <s v="Zoya Akhtar"/>
    <s v="Robert Downey Jr."/>
    <m/>
    <n v="168"/>
    <n v="858.5"/>
    <s v="Average"/>
    <s v="Popular"/>
    <s v="No"/>
    <s v="High"/>
    <n v="690.5"/>
    <n v="511.01190476190476"/>
  </r>
  <r>
    <s v="NFX-101483"/>
    <s v="Golden Echo 5"/>
    <s v="TV Show"/>
    <x v="9"/>
    <n v="2021"/>
    <x v="1"/>
    <s v="2018-08-24"/>
    <n v="57"/>
    <s v="PG"/>
    <n v="5"/>
    <n v="162.9"/>
    <s v="Hindi"/>
    <s v="Christopher Nolan"/>
    <s v="Deepika Padukone"/>
    <n v="4"/>
    <n v="58"/>
    <n v="248.1"/>
    <s v="Flop"/>
    <s v="Normal"/>
    <s v="Yes"/>
    <s v="Low"/>
    <n v="190.1"/>
    <n v="427.75862068965517"/>
  </r>
  <r>
    <s v="NFX-101484"/>
    <s v="Golden City 8"/>
    <s v="Movie"/>
    <x v="2"/>
    <n v="2017"/>
    <x v="8"/>
    <s v="2020-04-02"/>
    <n v="147"/>
    <s v="16+"/>
    <n v="7.2"/>
    <n v="77"/>
    <s v="Japanese"/>
    <s v="Guillermo del Toro"/>
    <s v="Timothée Chalamet"/>
    <m/>
    <n v="19"/>
    <n v="81.400000000000006"/>
    <s v="Average"/>
    <s v="Normal"/>
    <s v="No"/>
    <s v="Low"/>
    <n v="62.400000000000006"/>
    <n v="428.42105263157902"/>
  </r>
  <r>
    <s v="NFX-101485"/>
    <s v="Fading Storm 1"/>
    <s v="TV Show"/>
    <x v="5"/>
    <n v="2007"/>
    <x v="0"/>
    <s v="2021-03-13"/>
    <n v="33"/>
    <s v="18+"/>
    <n v="9.4"/>
    <n v="73"/>
    <s v="French"/>
    <s v="Park Chan-wook"/>
    <s v="Deepika Padukone"/>
    <n v="7"/>
    <n v="98"/>
    <n v="194.9"/>
    <s v="Hit"/>
    <s v="Normal"/>
    <s v="No"/>
    <s v="Low"/>
    <n v="96.9"/>
    <n v="198.87755102040816"/>
  </r>
  <r>
    <s v="NFX-101486"/>
    <s v="Dark Frontier 6"/>
    <s v="Movie"/>
    <x v="7"/>
    <n v="2023"/>
    <x v="2"/>
    <s v="2024-04-16"/>
    <n v="132"/>
    <s v="PG"/>
    <n v="6.3"/>
    <n v="94.8"/>
    <s v="Japanese"/>
    <s v="Quentin Tarantino"/>
    <s v="Song Kang-ho"/>
    <m/>
    <n v="114"/>
    <n v="505.8"/>
    <s v="Average"/>
    <s v="Normal"/>
    <s v="Yes"/>
    <s v="High"/>
    <n v="391.8"/>
    <n v="443.68421052631578"/>
  </r>
  <r>
    <s v="NFX-101487"/>
    <s v="Silent Horizon 6"/>
    <s v="TV Show"/>
    <x v="3"/>
    <n v="2014"/>
    <x v="8"/>
    <s v="2018-10-09"/>
    <n v="45"/>
    <s v="G"/>
    <n v="5.5"/>
    <n v="217.2"/>
    <s v="Korean"/>
    <s v="Martin Scorsese"/>
    <s v="Scarlett Johansson"/>
    <n v="2"/>
    <n v="194"/>
    <n v="292.3"/>
    <s v="Flop"/>
    <s v="Popular"/>
    <s v="Yes"/>
    <s v="High"/>
    <n v="98.300000000000011"/>
    <n v="150.67010309278351"/>
  </r>
  <r>
    <s v="NFX-101488"/>
    <s v="Broken Odyssey 3"/>
    <s v="TV Show"/>
    <x v="0"/>
    <n v="2000"/>
    <x v="1"/>
    <s v="2022-05-11"/>
    <n v="30"/>
    <s v="16+"/>
    <n v="6.4"/>
    <n v="395.1"/>
    <s v="Japanese"/>
    <s v="Sanjay Leela Bhansali"/>
    <s v="Timothée Chalamet"/>
    <n v="8"/>
    <n v="20"/>
    <n v="95.1"/>
    <s v="Average"/>
    <s v="Popular"/>
    <s v="No"/>
    <s v="Low"/>
    <n v="75.099999999999994"/>
    <n v="475.5"/>
  </r>
  <r>
    <s v="NFX-101489"/>
    <s v="Rising Protocol 6"/>
    <s v="TV Show"/>
    <x v="9"/>
    <n v="2000"/>
    <x v="7"/>
    <s v="2019-05-19"/>
    <n v="56"/>
    <s v="PG"/>
    <n v="6.8"/>
    <n v="283.7"/>
    <s v="Spanish"/>
    <s v="Bong Joon-ho"/>
    <s v="Shah Rukh Khan"/>
    <n v="4"/>
    <n v="185"/>
    <n v="1112.9000000000001"/>
    <s v="Average"/>
    <s v="Popular"/>
    <s v="Yes"/>
    <s v="High"/>
    <n v="927.90000000000009"/>
    <n v="601.56756756756761"/>
  </r>
  <r>
    <s v="NFX-101490"/>
    <s v="Last Storm 5"/>
    <s v="TV Show"/>
    <x v="4"/>
    <n v="2005"/>
    <x v="5"/>
    <s v="2023-01-15"/>
    <n v="45"/>
    <s v="18+"/>
    <n v="6.5"/>
    <n v="473.7"/>
    <s v="English"/>
    <s v="Zoya Akhtar"/>
    <s v="Shah Rukh Khan"/>
    <n v="5"/>
    <n v="50"/>
    <n v="190.7"/>
    <s v="Average"/>
    <s v="Blockbuster"/>
    <s v="No"/>
    <s v="Low"/>
    <n v="140.69999999999999"/>
    <n v="381.4"/>
  </r>
  <r>
    <s v="NFX-101491"/>
    <s v="Lost Horizon 9"/>
    <s v="TV Show"/>
    <x v="6"/>
    <n v="2000"/>
    <x v="0"/>
    <s v="2023-07-29"/>
    <n v="42"/>
    <s v="PG"/>
    <n v="7.4"/>
    <n v="518.1"/>
    <s v="Hindi"/>
    <s v="Ridley Scott"/>
    <s v="Leonardo DiCaprio"/>
    <n v="1"/>
    <n v="106"/>
    <n v="504.9"/>
    <s v="Average"/>
    <s v="Blockbuster"/>
    <s v="Yes"/>
    <s v="High"/>
    <n v="398.9"/>
    <n v="476.32075471698113"/>
  </r>
  <r>
    <s v="NFX-101492"/>
    <s v="Last Storm 9"/>
    <s v="Movie"/>
    <x v="5"/>
    <n v="2022"/>
    <x v="0"/>
    <s v="2018-01-19"/>
    <n v="145"/>
    <s v="16+"/>
    <n v="8.1999999999999993"/>
    <n v="478.7"/>
    <s v="Korean"/>
    <s v="Martin Scorsese"/>
    <s v="Ryan Gosling"/>
    <m/>
    <n v="121"/>
    <n v="722.2"/>
    <s v="Hit"/>
    <s v="Blockbuster"/>
    <s v="No"/>
    <s v="High"/>
    <n v="601.20000000000005"/>
    <n v="596.85950413223145"/>
  </r>
  <r>
    <s v="NFX-101493"/>
    <s v="Rising Frontier 5"/>
    <s v="TV Show"/>
    <x v="3"/>
    <n v="2013"/>
    <x v="0"/>
    <s v="2023-07-10"/>
    <n v="37"/>
    <s v="18+"/>
    <n v="5.4"/>
    <n v="201.8"/>
    <s v="Spanish"/>
    <s v="Anurag Kashyap"/>
    <s v="Timothée Chalamet"/>
    <n v="4"/>
    <n v="144"/>
    <n v="627.20000000000005"/>
    <s v="Flop"/>
    <s v="Popular"/>
    <s v="No"/>
    <s v="High"/>
    <n v="483.20000000000005"/>
    <n v="435.5555555555556"/>
  </r>
  <r>
    <s v="NFX-101494"/>
    <s v="Last City 7"/>
    <s v="TV Show"/>
    <x v="10"/>
    <n v="2000"/>
    <x v="9"/>
    <s v="2021-12-14"/>
    <n v="45"/>
    <s v="16+"/>
    <n v="7.7"/>
    <n v="546.29999999999995"/>
    <s v="English"/>
    <s v="Anurag Kashyap"/>
    <s v="Ranbir Kapoor"/>
    <n v="1"/>
    <n v="109"/>
    <n v="562.29999999999995"/>
    <s v="Average"/>
    <s v="Blockbuster"/>
    <s v="No"/>
    <s v="High"/>
    <n v="453.29999999999995"/>
    <n v="515.87155963302746"/>
  </r>
  <r>
    <s v="NFX-101495"/>
    <s v="Silent Frontier 8"/>
    <s v="Movie"/>
    <x v="3"/>
    <n v="2017"/>
    <x v="6"/>
    <s v="2022-07-01"/>
    <n v="142"/>
    <s v="16+"/>
    <n v="6.5"/>
    <n v="582.79999999999995"/>
    <s v="Korean"/>
    <s v="Denis Villeneuve"/>
    <s v="Ryan Gosling"/>
    <m/>
    <n v="130"/>
    <n v="259.39999999999998"/>
    <s v="Average"/>
    <s v="Blockbuster"/>
    <s v="No"/>
    <s v="High"/>
    <n v="129.39999999999998"/>
    <n v="199.53846153846152"/>
  </r>
  <r>
    <s v="NFX-101496"/>
    <s v="Midnight Storm 9"/>
    <s v="Movie"/>
    <x v="3"/>
    <n v="2025"/>
    <x v="5"/>
    <s v="2022-04-20"/>
    <n v="113"/>
    <s v="G"/>
    <n v="4.8"/>
    <n v="216.9"/>
    <s v="English"/>
    <s v="Martin Scorsese"/>
    <s v="Emma Stone"/>
    <m/>
    <n v="168"/>
    <n v="808.9"/>
    <s v="Flop"/>
    <s v="Popular"/>
    <s v="Yes"/>
    <s v="High"/>
    <n v="640.9"/>
    <n v="481.48809523809524"/>
  </r>
  <r>
    <s v="NFX-101497"/>
    <s v="Lost Empire 7"/>
    <s v="Movie"/>
    <x v="10"/>
    <n v="2018"/>
    <x v="2"/>
    <s v="2021-04-05"/>
    <n v="100"/>
    <s v="18+"/>
    <n v="4.8"/>
    <n v="258.8"/>
    <s v="Korean"/>
    <s v="Zoya Akhtar"/>
    <s v="Shah Rukh Khan"/>
    <m/>
    <n v="161"/>
    <n v="819.6"/>
    <s v="Flop"/>
    <s v="Popular"/>
    <s v="No"/>
    <s v="High"/>
    <n v="658.6"/>
    <n v="509.06832298136646"/>
  </r>
  <r>
    <s v="NFX-101498"/>
    <s v="Hidden Signal 6"/>
    <s v="Movie"/>
    <x v="5"/>
    <n v="2014"/>
    <x v="6"/>
    <s v="2019-10-28"/>
    <n v="127"/>
    <s v="PG-13"/>
    <n v="5.2"/>
    <n v="158.1"/>
    <s v="German"/>
    <s v="Christopher Nolan"/>
    <s v="Scarlett Johansson"/>
    <m/>
    <n v="169"/>
    <n v="686.5"/>
    <s v="Flop"/>
    <s v="Normal"/>
    <s v="No"/>
    <s v="High"/>
    <n v="517.5"/>
    <n v="406.2130177514793"/>
  </r>
  <r>
    <s v="NFX-101499"/>
    <s v="Iron Signal 4"/>
    <s v="Movie"/>
    <x v="7"/>
    <n v="2001"/>
    <x v="7"/>
    <s v="2023-08-31"/>
    <n v="136"/>
    <s v="PG"/>
    <n v="9.5"/>
    <n v="433.6"/>
    <s v="Japanese"/>
    <s v="James Cameron"/>
    <s v="Brad Pitt"/>
    <m/>
    <n v="50"/>
    <n v="117.5"/>
    <s v="Hit"/>
    <s v="Blockbuster"/>
    <s v="Yes"/>
    <s v="Low"/>
    <n v="67.5"/>
    <n v="235"/>
  </r>
  <r>
    <s v="NFX-101500"/>
    <s v="Hidden Echo 3"/>
    <s v="Movie"/>
    <x v="5"/>
    <n v="2023"/>
    <x v="2"/>
    <s v="2022-09-02"/>
    <n v="90"/>
    <s v="16+"/>
    <n v="6.1"/>
    <n v="223.8"/>
    <s v="Japanese"/>
    <s v="Ridley Scott"/>
    <s v="Deepika Padukone"/>
    <m/>
    <n v="69"/>
    <n v="321"/>
    <s v="Average"/>
    <s v="Popular"/>
    <s v="No"/>
    <s v="Low"/>
    <n v="252"/>
    <n v="465.217391304347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95D47-98D1-40B8-90DF-612BBF3AB7C3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5" firstHeaderRow="1" firstDataRow="1" firstDataCol="1"/>
  <pivotFields count="23">
    <pivotField showAll="0"/>
    <pivotField showAll="0"/>
    <pivotField showAll="0"/>
    <pivotField axis="axisRow" showAll="0">
      <items count="12">
        <item x="5"/>
        <item x="2"/>
        <item x="10"/>
        <item x="4"/>
        <item x="9"/>
        <item x="0"/>
        <item x="6"/>
        <item x="7"/>
        <item x="1"/>
        <item x="8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_Million_USD" fld="16" baseField="0" baseItem="0"/>
  </dataFields>
  <formats count="15">
    <format dxfId="26">
      <pivotArea field="3" type="button" dataOnly="0" labelOnly="1" outline="0" axis="axisRow" fieldPosition="0"/>
    </format>
    <format dxfId="25">
      <pivotArea dataOnly="0" labelOnly="1" outline="0" axis="axisValues" fieldPosition="0"/>
    </format>
    <format dxfId="19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dataOnly="0" grandRow="1" fieldPosition="0"/>
    </format>
    <format dxfId="5">
      <pivotArea collapsedLevelsAreSubtotals="1" fieldPosition="0">
        <references count="1">
          <reference field="3" count="0"/>
        </references>
      </pivotArea>
    </format>
    <format dxfId="4">
      <pivotArea dataOnly="0" labelOnly="1" fieldPosition="0">
        <references count="1">
          <reference field="3" count="0"/>
        </references>
      </pivotArea>
    </format>
    <format dxfId="3">
      <pivotArea collapsedLevelsAreSubtotals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/>
        </references>
      </pivotArea>
    </format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155D6-62BF-47CD-A39B-6ED662FDF63A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4" firstHeaderRow="1" firstDataRow="1" firstDataCol="1"/>
  <pivotFields count="23"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6"/>
        <item x="7"/>
        <item x="2"/>
        <item x="8"/>
        <item x="1"/>
        <item x="4"/>
        <item x="0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MDb_Rating" fld="9" subtotal="average" baseField="5" baseItem="0"/>
  </dataFields>
  <formats count="12">
    <format dxfId="44">
      <pivotArea field="5" type="button" dataOnly="0" labelOnly="1" outline="0" axis="axisRow" fieldPosition="0"/>
    </format>
    <format dxfId="43">
      <pivotArea dataOnly="0" labelOnly="1" outline="0" axis="axisValues" fieldPosition="0"/>
    </format>
    <format dxfId="41">
      <pivotArea dataOnly="0" grandRow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29">
      <pivotArea dataOnly="0" fieldPosition="0">
        <references count="1">
          <reference field="5" count="0"/>
        </references>
      </pivotArea>
    </format>
    <format dxfId="28">
      <pivotArea dataOnly="0" fieldPosition="0">
        <references count="1">
          <reference field="5" count="0"/>
        </references>
      </pivotArea>
    </format>
    <format dxfId="27">
      <pivotArea dataOnly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BDFA7-0A2E-4BED-AC02-B669385AA6A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3">
    <pivotField showAll="0"/>
    <pivotField dataField="1" showAll="0">
      <items count="1502">
        <item x="235"/>
        <item x="245"/>
        <item x="477"/>
        <item x="1261"/>
        <item x="1076"/>
        <item x="485"/>
        <item x="514"/>
        <item x="29"/>
        <item x="101"/>
        <item x="704"/>
        <item x="556"/>
        <item x="1162"/>
        <item x="400"/>
        <item x="1034"/>
        <item x="200"/>
        <item x="610"/>
        <item x="1068"/>
        <item x="623"/>
        <item x="1079"/>
        <item x="700"/>
        <item x="679"/>
        <item x="240"/>
        <item x="875"/>
        <item x="1190"/>
        <item x="1335"/>
        <item x="122"/>
        <item x="310"/>
        <item x="539"/>
        <item x="843"/>
        <item x="1327"/>
        <item x="907"/>
        <item x="1169"/>
        <item x="1255"/>
        <item x="574"/>
        <item x="5"/>
        <item x="720"/>
        <item x="946"/>
        <item x="1371"/>
        <item x="971"/>
        <item x="138"/>
        <item x="804"/>
        <item x="871"/>
        <item x="320"/>
        <item x="397"/>
        <item x="126"/>
        <item x="312"/>
        <item x="1242"/>
        <item x="558"/>
        <item x="262"/>
        <item x="77"/>
        <item x="88"/>
        <item x="435"/>
        <item x="418"/>
        <item x="1193"/>
        <item x="332"/>
        <item x="550"/>
        <item x="997"/>
        <item x="354"/>
        <item x="1113"/>
        <item x="683"/>
        <item x="513"/>
        <item x="1412"/>
        <item x="733"/>
        <item x="6"/>
        <item x="238"/>
        <item x="676"/>
        <item x="1036"/>
        <item x="966"/>
        <item x="1289"/>
        <item x="587"/>
        <item x="62"/>
        <item x="1372"/>
        <item x="1471"/>
        <item x="1487"/>
        <item x="1410"/>
        <item x="744"/>
        <item x="538"/>
        <item x="1238"/>
        <item x="1367"/>
        <item x="266"/>
        <item x="730"/>
        <item x="166"/>
        <item x="668"/>
        <item x="1138"/>
        <item x="1175"/>
        <item x="1178"/>
        <item x="805"/>
        <item x="1343"/>
        <item x="639"/>
        <item x="287"/>
        <item x="624"/>
        <item x="1116"/>
        <item x="141"/>
        <item x="727"/>
        <item x="1256"/>
        <item x="1374"/>
        <item x="950"/>
        <item x="1322"/>
        <item x="210"/>
        <item x="434"/>
        <item x="707"/>
        <item x="218"/>
        <item x="461"/>
        <item x="398"/>
        <item x="1037"/>
        <item x="1126"/>
        <item x="167"/>
        <item x="893"/>
        <item x="607"/>
        <item x="777"/>
        <item x="970"/>
        <item x="195"/>
        <item x="1357"/>
        <item x="1456"/>
        <item x="1072"/>
        <item x="28"/>
        <item x="500"/>
        <item x="479"/>
        <item x="475"/>
        <item x="874"/>
        <item x="1141"/>
        <item x="1069"/>
        <item x="390"/>
        <item x="985"/>
        <item x="615"/>
        <item x="70"/>
        <item x="1272"/>
        <item x="1167"/>
        <item x="1086"/>
        <item x="717"/>
        <item x="567"/>
        <item x="214"/>
        <item x="283"/>
        <item x="1308"/>
        <item x="91"/>
        <item x="359"/>
        <item x="854"/>
        <item x="207"/>
        <item x="338"/>
        <item x="1083"/>
        <item x="902"/>
        <item x="878"/>
        <item x="825"/>
        <item x="798"/>
        <item x="233"/>
        <item x="933"/>
        <item x="225"/>
        <item x="527"/>
        <item x="1310"/>
        <item x="1194"/>
        <item x="76"/>
        <item x="1282"/>
        <item x="820"/>
        <item x="611"/>
        <item x="1124"/>
        <item x="351"/>
        <item x="244"/>
        <item x="1481"/>
        <item x="1298"/>
        <item x="1315"/>
        <item x="191"/>
        <item x="938"/>
        <item x="55"/>
        <item x="17"/>
        <item x="203"/>
        <item x="555"/>
        <item x="1064"/>
        <item x="1454"/>
        <item x="838"/>
        <item x="629"/>
        <item x="1217"/>
        <item x="926"/>
        <item x="399"/>
        <item x="1090"/>
        <item x="1067"/>
        <item x="1038"/>
        <item x="1202"/>
        <item x="1266"/>
        <item x="689"/>
        <item x="892"/>
        <item x="458"/>
        <item x="1414"/>
        <item x="64"/>
        <item x="388"/>
        <item x="1220"/>
        <item x="1347"/>
        <item x="833"/>
        <item x="272"/>
        <item x="385"/>
        <item x="928"/>
        <item x="1258"/>
        <item x="264"/>
        <item x="1380"/>
        <item x="648"/>
        <item x="1137"/>
        <item x="159"/>
        <item x="406"/>
        <item x="411"/>
        <item x="487"/>
        <item x="959"/>
        <item x="1127"/>
        <item x="1396"/>
        <item x="192"/>
        <item x="1181"/>
        <item x="349"/>
        <item x="1422"/>
        <item x="695"/>
        <item x="862"/>
        <item x="1237"/>
        <item x="811"/>
        <item x="136"/>
        <item x="1376"/>
        <item x="1301"/>
        <item x="1189"/>
        <item x="1228"/>
        <item x="991"/>
        <item x="1349"/>
        <item x="216"/>
        <item x="417"/>
        <item x="810"/>
        <item x="785"/>
        <item x="645"/>
        <item x="1391"/>
        <item x="1405"/>
        <item x="149"/>
        <item x="1234"/>
        <item x="592"/>
        <item x="756"/>
        <item x="693"/>
        <item x="1470"/>
        <item x="1379"/>
        <item x="1033"/>
        <item x="1058"/>
        <item x="104"/>
        <item x="1059"/>
        <item x="427"/>
        <item x="999"/>
        <item x="248"/>
        <item x="761"/>
        <item x="520"/>
        <item x="302"/>
        <item x="345"/>
        <item x="1009"/>
        <item x="329"/>
        <item x="1466"/>
        <item x="694"/>
        <item x="1075"/>
        <item x="1172"/>
        <item x="186"/>
        <item x="1"/>
        <item x="791"/>
        <item x="762"/>
        <item x="51"/>
        <item x="125"/>
        <item x="1338"/>
        <item x="1381"/>
        <item x="930"/>
        <item x="951"/>
        <item x="660"/>
        <item x="1119"/>
        <item x="646"/>
        <item x="1475"/>
        <item x="34"/>
        <item x="640"/>
        <item x="1050"/>
        <item x="1085"/>
        <item x="1324"/>
        <item x="1022"/>
        <item x="150"/>
        <item x="1182"/>
        <item x="1246"/>
        <item x="1478"/>
        <item x="910"/>
        <item x="1400"/>
        <item x="698"/>
        <item x="3"/>
        <item x="1244"/>
        <item x="1399"/>
        <item x="1424"/>
        <item x="860"/>
        <item x="725"/>
        <item x="1032"/>
        <item x="1446"/>
        <item x="1291"/>
        <item x="89"/>
        <item x="1429"/>
        <item x="979"/>
        <item x="1140"/>
        <item x="919"/>
        <item x="912"/>
        <item x="1392"/>
        <item x="105"/>
        <item x="1014"/>
        <item x="1131"/>
        <item x="604"/>
        <item x="1065"/>
        <item x="1453"/>
        <item x="1048"/>
        <item x="196"/>
        <item x="965"/>
        <item x="1286"/>
        <item x="617"/>
        <item x="478"/>
        <item x="1385"/>
        <item x="1434"/>
        <item x="973"/>
        <item x="612"/>
        <item x="1351"/>
        <item x="1419"/>
        <item x="1186"/>
        <item x="740"/>
        <item x="1303"/>
        <item x="333"/>
        <item x="1115"/>
        <item x="596"/>
        <item x="314"/>
        <item x="228"/>
        <item x="934"/>
        <item x="631"/>
        <item x="4"/>
        <item x="63"/>
        <item x="1227"/>
        <item x="1003"/>
        <item x="983"/>
        <item x="1093"/>
        <item x="1084"/>
        <item x="1073"/>
        <item x="250"/>
        <item x="758"/>
        <item x="318"/>
        <item x="1355"/>
        <item x="213"/>
        <item x="716"/>
        <item x="952"/>
        <item x="263"/>
        <item x="1221"/>
        <item x="814"/>
        <item x="1435"/>
        <item x="753"/>
        <item x="277"/>
        <item x="803"/>
        <item x="867"/>
        <item x="929"/>
        <item x="544"/>
        <item x="702"/>
        <item x="832"/>
        <item x="818"/>
        <item x="637"/>
        <item x="352"/>
        <item x="66"/>
        <item x="882"/>
        <item x="1120"/>
        <item x="559"/>
        <item x="572"/>
        <item x="1463"/>
        <item x="32"/>
        <item x="1284"/>
        <item x="799"/>
        <item x="531"/>
        <item x="1485"/>
        <item x="776"/>
        <item x="206"/>
        <item x="1043"/>
        <item x="633"/>
        <item x="1443"/>
        <item x="1133"/>
        <item x="563"/>
        <item x="87"/>
        <item x="412"/>
        <item x="142"/>
        <item x="330"/>
        <item x="9"/>
        <item x="880"/>
        <item x="738"/>
        <item x="334"/>
        <item x="1287"/>
        <item x="1229"/>
        <item x="492"/>
        <item x="139"/>
        <item x="879"/>
        <item x="391"/>
        <item x="73"/>
        <item x="80"/>
        <item x="311"/>
        <item x="414"/>
        <item x="1240"/>
        <item x="1269"/>
        <item x="465"/>
        <item x="436"/>
        <item x="1144"/>
        <item x="38"/>
        <item x="121"/>
        <item x="1281"/>
        <item x="904"/>
        <item x="532"/>
        <item x="949"/>
        <item x="197"/>
        <item x="1046"/>
        <item x="974"/>
        <item x="1321"/>
        <item x="1293"/>
        <item x="433"/>
        <item x="779"/>
        <item x="988"/>
        <item x="1203"/>
        <item x="986"/>
        <item x="450"/>
        <item x="1061"/>
        <item x="457"/>
        <item x="1437"/>
        <item x="836"/>
        <item x="1082"/>
        <item x="241"/>
        <item x="1406"/>
        <item x="1231"/>
        <item x="37"/>
        <item x="703"/>
        <item x="1188"/>
        <item x="1254"/>
        <item x="1318"/>
        <item x="170"/>
        <item x="1054"/>
        <item x="158"/>
        <item x="0"/>
        <item x="850"/>
        <item x="1089"/>
        <item x="1250"/>
        <item x="459"/>
        <item x="460"/>
        <item x="114"/>
        <item x="1439"/>
        <item x="489"/>
        <item x="945"/>
        <item x="1472"/>
        <item x="1096"/>
        <item x="1430"/>
        <item x="1204"/>
        <item x="189"/>
        <item x="1262"/>
        <item x="1091"/>
        <item x="19"/>
        <item x="1157"/>
        <item x="849"/>
        <item x="684"/>
        <item x="1378"/>
        <item x="353"/>
        <item x="381"/>
        <item x="1364"/>
        <item x="857"/>
        <item x="1039"/>
        <item x="294"/>
        <item x="83"/>
        <item x="44"/>
        <item x="1071"/>
        <item x="453"/>
        <item x="226"/>
        <item x="65"/>
        <item x="778"/>
        <item x="1337"/>
        <item x="905"/>
        <item x="413"/>
        <item x="111"/>
        <item x="18"/>
        <item x="1407"/>
        <item x="375"/>
        <item x="548"/>
        <item x="1328"/>
        <item x="164"/>
        <item x="1027"/>
        <item x="423"/>
        <item x="261"/>
        <item x="754"/>
        <item x="188"/>
        <item x="1263"/>
        <item x="202"/>
        <item x="732"/>
        <item x="697"/>
        <item x="299"/>
        <item x="699"/>
        <item x="1420"/>
        <item x="58"/>
        <item x="528"/>
        <item x="1317"/>
        <item x="543"/>
        <item x="1239"/>
        <item x="1313"/>
        <item x="1361"/>
        <item x="916"/>
        <item x="673"/>
        <item x="439"/>
        <item x="654"/>
        <item x="284"/>
        <item x="659"/>
        <item x="1326"/>
        <item x="212"/>
        <item x="35"/>
        <item x="1205"/>
        <item x="899"/>
        <item x="109"/>
        <item x="647"/>
        <item x="918"/>
        <item x="908"/>
        <item x="112"/>
        <item x="165"/>
        <item x="1484"/>
        <item x="1245"/>
        <item x="625"/>
        <item x="340"/>
        <item x="20"/>
        <item x="1226"/>
        <item x="800"/>
        <item x="1275"/>
        <item x="253"/>
        <item x="219"/>
        <item x="1474"/>
        <item x="1461"/>
        <item x="565"/>
        <item x="746"/>
        <item x="828"/>
        <item x="230"/>
        <item x="1264"/>
        <item x="119"/>
        <item x="1273"/>
        <item x="1044"/>
        <item x="510"/>
        <item x="493"/>
        <item x="1213"/>
        <item x="1483"/>
        <item x="168"/>
        <item x="1296"/>
        <item x="958"/>
        <item x="861"/>
        <item x="1292"/>
        <item x="622"/>
        <item x="658"/>
        <item x="1078"/>
        <item x="1309"/>
        <item x="384"/>
        <item x="1191"/>
        <item x="361"/>
        <item x="613"/>
        <item x="1166"/>
        <item x="1482"/>
        <item x="845"/>
        <item x="146"/>
        <item x="160"/>
        <item x="1278"/>
        <item x="995"/>
        <item x="745"/>
        <item x="1209"/>
        <item x="735"/>
        <item x="1279"/>
        <item x="594"/>
        <item x="1111"/>
        <item x="1348"/>
        <item x="1425"/>
        <item x="454"/>
        <item x="1397"/>
        <item x="185"/>
        <item x="97"/>
        <item x="963"/>
        <item x="285"/>
        <item x="1013"/>
        <item x="357"/>
        <item x="525"/>
        <item x="137"/>
        <item x="901"/>
        <item x="1283"/>
        <item x="181"/>
        <item x="98"/>
        <item x="642"/>
        <item x="471"/>
        <item x="533"/>
        <item x="1432"/>
        <item x="130"/>
        <item x="844"/>
        <item x="1019"/>
        <item x="529"/>
        <item x="542"/>
        <item x="1132"/>
        <item x="1290"/>
        <item x="86"/>
        <item x="935"/>
        <item x="416"/>
        <item x="1314"/>
        <item x="1045"/>
        <item x="990"/>
        <item x="1035"/>
        <item x="317"/>
        <item x="409"/>
        <item x="626"/>
        <item x="1171"/>
        <item x="978"/>
        <item x="722"/>
        <item x="1276"/>
        <item x="205"/>
        <item x="348"/>
        <item x="1306"/>
        <item x="1063"/>
        <item x="627"/>
        <item x="1354"/>
        <item x="870"/>
        <item x="783"/>
        <item x="1125"/>
        <item x="85"/>
        <item x="75"/>
        <item x="1465"/>
        <item x="298"/>
        <item x="1098"/>
        <item x="404"/>
        <item x="1408"/>
        <item x="71"/>
        <item x="977"/>
        <item x="229"/>
        <item x="792"/>
        <item x="582"/>
        <item x="1336"/>
        <item x="472"/>
        <item x="108"/>
        <item x="360"/>
        <item x="765"/>
        <item x="300"/>
        <item x="505"/>
        <item x="451"/>
        <item x="781"/>
        <item x="1105"/>
        <item x="535"/>
        <item x="644"/>
        <item x="522"/>
        <item x="1198"/>
        <item x="308"/>
        <item x="27"/>
        <item x="1302"/>
        <item x="401"/>
        <item x="344"/>
        <item x="257"/>
        <item x="1103"/>
        <item x="1319"/>
        <item x="1142"/>
        <item x="255"/>
        <item x="1002"/>
        <item x="1499"/>
        <item x="209"/>
        <item x="506"/>
        <item x="204"/>
        <item x="1448"/>
        <item x="386"/>
        <item x="937"/>
        <item x="325"/>
        <item x="1117"/>
        <item x="162"/>
        <item x="976"/>
        <item x="1350"/>
        <item x="1421"/>
        <item x="42"/>
        <item x="10"/>
        <item x="911"/>
        <item x="147"/>
        <item x="858"/>
        <item x="1057"/>
        <item x="1243"/>
        <item x="323"/>
        <item x="90"/>
        <item x="1070"/>
        <item x="297"/>
        <item x="437"/>
        <item x="835"/>
        <item x="174"/>
        <item x="438"/>
        <item x="476"/>
        <item x="268"/>
        <item x="1107"/>
        <item x="956"/>
        <item x="515"/>
        <item x="16"/>
        <item x="817"/>
        <item x="728"/>
        <item x="442"/>
        <item x="455"/>
        <item x="554"/>
        <item x="341"/>
        <item x="258"/>
        <item x="536"/>
        <item x="941"/>
        <item x="616"/>
        <item x="998"/>
        <item x="1346"/>
        <item x="690"/>
        <item x="517"/>
        <item x="822"/>
        <item x="92"/>
        <item x="269"/>
        <item x="110"/>
        <item x="947"/>
        <item x="834"/>
        <item x="201"/>
        <item x="954"/>
        <item x="1497"/>
        <item x="1224"/>
        <item x="521"/>
        <item x="370"/>
        <item x="275"/>
        <item x="742"/>
        <item x="760"/>
        <item x="1028"/>
        <item x="295"/>
        <item x="706"/>
        <item x="1201"/>
        <item x="764"/>
        <item x="807"/>
        <item x="324"/>
        <item x="1265"/>
        <item x="67"/>
        <item x="980"/>
        <item x="801"/>
        <item x="1431"/>
        <item x="315"/>
        <item x="46"/>
        <item x="1156"/>
        <item x="169"/>
        <item x="755"/>
        <item x="636"/>
        <item x="491"/>
        <item x="102"/>
        <item x="749"/>
        <item x="856"/>
        <item x="288"/>
        <item x="1394"/>
        <item x="597"/>
        <item x="480"/>
        <item x="1423"/>
        <item x="1000"/>
        <item x="630"/>
        <item x="1345"/>
        <item x="675"/>
        <item x="1387"/>
        <item x="103"/>
        <item x="1370"/>
        <item x="393"/>
        <item x="564"/>
        <item x="1081"/>
        <item x="1153"/>
        <item x="681"/>
        <item x="873"/>
        <item x="61"/>
        <item x="1294"/>
        <item x="1200"/>
        <item x="1468"/>
        <item x="1118"/>
        <item x="1248"/>
        <item x="883"/>
        <item x="1358"/>
        <item x="431"/>
        <item x="1159"/>
        <item x="474"/>
        <item x="1401"/>
        <item x="1377"/>
        <item x="468"/>
        <item x="117"/>
        <item x="469"/>
        <item x="322"/>
        <item x="1109"/>
        <item x="148"/>
        <item x="566"/>
        <item x="896"/>
        <item x="1121"/>
        <item x="913"/>
        <item x="848"/>
        <item x="752"/>
        <item x="41"/>
        <item x="889"/>
        <item x="1101"/>
        <item x="547"/>
        <item x="1128"/>
        <item x="72"/>
        <item x="483"/>
        <item x="1077"/>
        <item x="718"/>
        <item x="917"/>
        <item x="1196"/>
        <item x="1100"/>
        <item x="1393"/>
        <item x="208"/>
        <item x="1180"/>
        <item x="771"/>
        <item x="736"/>
        <item x="430"/>
        <item x="948"/>
        <item x="1152"/>
        <item x="1498"/>
        <item x="993"/>
        <item x="672"/>
        <item x="495"/>
        <item x="984"/>
        <item x="133"/>
        <item x="1212"/>
        <item x="677"/>
        <item x="788"/>
        <item x="759"/>
        <item x="686"/>
        <item x="562"/>
        <item x="365"/>
        <item x="628"/>
        <item x="74"/>
        <item x="1024"/>
        <item x="1360"/>
        <item x="152"/>
        <item x="1110"/>
        <item x="750"/>
        <item x="713"/>
        <item x="1218"/>
        <item x="1270"/>
        <item x="456"/>
        <item x="773"/>
        <item x="407"/>
        <item x="1161"/>
        <item x="504"/>
        <item x="161"/>
        <item x="864"/>
        <item x="915"/>
        <item x="486"/>
        <item x="1015"/>
        <item x="394"/>
        <item x="972"/>
        <item x="519"/>
        <item x="484"/>
        <item x="1493"/>
        <item x="1163"/>
        <item x="279"/>
        <item x="1184"/>
        <item x="790"/>
        <item x="184"/>
        <item x="260"/>
        <item x="1402"/>
        <item x="498"/>
        <item x="467"/>
        <item x="1102"/>
        <item x="635"/>
        <item x="1330"/>
        <item x="1233"/>
        <item x="1004"/>
        <item x="127"/>
        <item x="306"/>
        <item x="1199"/>
        <item x="775"/>
        <item x="1097"/>
        <item x="1155"/>
        <item x="1479"/>
        <item x="14"/>
        <item x="715"/>
        <item x="15"/>
        <item x="685"/>
        <item x="95"/>
        <item x="894"/>
        <item x="1344"/>
        <item x="25"/>
        <item x="1122"/>
        <item x="231"/>
        <item x="780"/>
        <item x="772"/>
        <item x="1249"/>
        <item x="953"/>
        <item x="589"/>
        <item x="39"/>
        <item x="1447"/>
        <item x="1436"/>
        <item x="846"/>
        <item x="1056"/>
        <item x="2"/>
        <item x="942"/>
        <item x="304"/>
        <item x="649"/>
        <item x="13"/>
        <item x="570"/>
        <item x="1477"/>
        <item x="1088"/>
        <item x="508"/>
        <item x="865"/>
        <item x="327"/>
        <item x="1114"/>
        <item x="1222"/>
        <item x="1021"/>
        <item x="739"/>
        <item x="595"/>
        <item x="955"/>
        <item x="155"/>
        <item x="242"/>
        <item x="24"/>
        <item x="1230"/>
        <item x="1104"/>
        <item x="1192"/>
        <item x="1187"/>
        <item x="577"/>
        <item x="815"/>
        <item x="224"/>
        <item x="1006"/>
        <item x="337"/>
        <item x="573"/>
        <item x="1334"/>
        <item x="1489"/>
        <item x="1095"/>
        <item x="842"/>
        <item x="1491"/>
        <item x="256"/>
        <item x="1062"/>
        <item x="96"/>
        <item x="552"/>
        <item x="575"/>
        <item x="568"/>
        <item x="383"/>
        <item x="598"/>
        <item x="1060"/>
        <item x="1216"/>
        <item x="1129"/>
        <item x="115"/>
        <item x="403"/>
        <item x="462"/>
        <item x="541"/>
        <item x="606"/>
        <item x="507"/>
        <item x="992"/>
        <item x="1008"/>
        <item x="1031"/>
        <item x="731"/>
        <item x="682"/>
        <item x="1099"/>
        <item x="1323"/>
        <item x="687"/>
        <item x="741"/>
        <item x="847"/>
        <item x="276"/>
        <item x="415"/>
        <item x="830"/>
        <item x="549"/>
        <item x="671"/>
        <item x="1267"/>
        <item x="1458"/>
        <item x="107"/>
        <item x="1442"/>
        <item x="712"/>
        <item x="819"/>
        <item x="113"/>
        <item x="1440"/>
        <item x="1388"/>
        <item x="1136"/>
        <item x="726"/>
        <item x="445"/>
        <item x="1416"/>
        <item x="289"/>
        <item x="156"/>
        <item x="1177"/>
        <item x="1168"/>
        <item x="936"/>
        <item x="1496"/>
        <item x="1146"/>
        <item x="124"/>
        <item x="909"/>
        <item x="47"/>
        <item x="837"/>
        <item x="795"/>
        <item x="839"/>
        <item x="422"/>
        <item x="957"/>
        <item x="368"/>
        <item x="1285"/>
        <item x="1384"/>
        <item x="1490"/>
        <item x="36"/>
        <item x="600"/>
        <item x="1016"/>
        <item x="1049"/>
        <item x="452"/>
        <item x="816"/>
        <item x="734"/>
        <item x="571"/>
        <item x="708"/>
        <item x="578"/>
        <item x="797"/>
        <item x="222"/>
        <item x="1148"/>
        <item x="591"/>
        <item x="585"/>
        <item x="1251"/>
        <item x="688"/>
        <item x="270"/>
        <item x="887"/>
        <item x="1150"/>
        <item x="227"/>
        <item x="494"/>
        <item x="1476"/>
        <item x="336"/>
        <item x="473"/>
        <item x="599"/>
        <item x="829"/>
        <item x="429"/>
        <item x="701"/>
        <item x="620"/>
        <item x="512"/>
        <item x="254"/>
        <item x="551"/>
        <item x="1149"/>
        <item x="448"/>
        <item x="509"/>
        <item x="1452"/>
        <item x="11"/>
        <item x="840"/>
        <item x="424"/>
        <item x="1300"/>
        <item x="81"/>
        <item x="193"/>
        <item x="1259"/>
        <item x="696"/>
        <item x="1052"/>
        <item x="446"/>
        <item x="236"/>
        <item x="1366"/>
        <item x="1087"/>
        <item x="724"/>
        <item x="1023"/>
        <item x="1232"/>
        <item x="387"/>
        <item x="1445"/>
        <item x="1288"/>
        <item x="358"/>
        <item x="826"/>
        <item x="897"/>
        <item x="705"/>
        <item x="782"/>
        <item x="395"/>
        <item x="1428"/>
        <item x="426"/>
        <item x="1368"/>
        <item x="853"/>
        <item x="714"/>
        <item x="719"/>
        <item x="379"/>
        <item x="120"/>
        <item x="1409"/>
        <item x="841"/>
        <item x="927"/>
        <item x="463"/>
        <item x="373"/>
        <item x="614"/>
        <item x="1252"/>
        <item x="8"/>
        <item x="931"/>
        <item x="1473"/>
        <item x="175"/>
        <item x="145"/>
        <item x="1147"/>
        <item x="173"/>
        <item x="273"/>
        <item x="1112"/>
        <item x="389"/>
        <item x="392"/>
        <item x="1389"/>
        <item x="526"/>
        <item x="1017"/>
        <item x="1055"/>
        <item x="342"/>
        <item x="721"/>
        <item x="217"/>
        <item x="827"/>
        <item x="183"/>
        <item x="421"/>
        <item x="968"/>
        <item x="1415"/>
        <item x="321"/>
        <item x="499"/>
        <item x="502"/>
        <item x="23"/>
        <item x="369"/>
        <item x="586"/>
        <item x="723"/>
        <item x="425"/>
        <item x="171"/>
        <item x="743"/>
        <item x="793"/>
        <item x="1160"/>
        <item x="1386"/>
        <item x="52"/>
        <item x="259"/>
        <item x="177"/>
        <item x="662"/>
        <item x="1383"/>
        <item x="691"/>
        <item x="1382"/>
        <item x="481"/>
        <item x="898"/>
        <item x="232"/>
        <item x="1001"/>
        <item x="239"/>
        <item x="1047"/>
        <item x="1025"/>
        <item x="511"/>
        <item x="1311"/>
        <item x="1206"/>
        <item x="601"/>
        <item x="1451"/>
        <item x="215"/>
        <item x="1010"/>
        <item x="692"/>
        <item x="1176"/>
        <item x="1495"/>
        <item x="809"/>
        <item x="920"/>
        <item x="94"/>
        <item x="852"/>
        <item x="766"/>
        <item x="350"/>
        <item x="989"/>
        <item x="709"/>
        <item x="374"/>
        <item x="497"/>
        <item x="1363"/>
        <item x="1352"/>
        <item x="584"/>
        <item x="608"/>
        <item x="1342"/>
        <item x="621"/>
        <item x="655"/>
        <item x="1450"/>
        <item x="1316"/>
        <item x="583"/>
        <item x="967"/>
        <item x="371"/>
        <item x="106"/>
        <item x="1438"/>
        <item x="380"/>
        <item x="602"/>
        <item x="903"/>
        <item x="1066"/>
        <item x="157"/>
        <item x="286"/>
        <item x="187"/>
        <item x="593"/>
        <item x="1135"/>
        <item x="939"/>
        <item x="144"/>
        <item x="1210"/>
        <item x="1433"/>
        <item x="1469"/>
        <item x="490"/>
        <item x="367"/>
        <item x="179"/>
        <item x="1417"/>
        <item x="464"/>
        <item x="747"/>
        <item x="326"/>
        <item x="1390"/>
        <item x="821"/>
        <item x="1020"/>
        <item x="443"/>
        <item x="163"/>
        <item x="1304"/>
        <item x="1492"/>
        <item x="1312"/>
        <item x="251"/>
        <item x="603"/>
        <item x="866"/>
        <item x="53"/>
        <item x="670"/>
        <item x="396"/>
        <item x="1134"/>
        <item x="1253"/>
        <item x="410"/>
        <item x="309"/>
        <item x="1362"/>
        <item x="1353"/>
        <item x="316"/>
        <item x="303"/>
        <item x="246"/>
        <item x="667"/>
        <item x="1092"/>
        <item x="1183"/>
        <item x="376"/>
        <item x="1005"/>
        <item x="1026"/>
        <item x="355"/>
        <item x="220"/>
        <item x="26"/>
        <item x="1185"/>
        <item x="1271"/>
        <item x="1488"/>
        <item x="651"/>
        <item x="265"/>
        <item x="43"/>
        <item x="886"/>
        <item x="925"/>
        <item x="1214"/>
        <item x="151"/>
        <item x="1029"/>
        <item x="1236"/>
        <item x="1051"/>
        <item x="45"/>
        <item x="211"/>
        <item x="680"/>
        <item x="190"/>
        <item x="1459"/>
        <item x="1418"/>
        <item x="153"/>
        <item x="1143"/>
        <item x="1373"/>
        <item x="1145"/>
        <item x="768"/>
        <item x="1480"/>
        <item x="267"/>
        <item x="33"/>
        <item x="128"/>
        <item x="1274"/>
        <item x="154"/>
        <item x="678"/>
        <item x="1154"/>
        <item x="784"/>
        <item x="307"/>
        <item x="362"/>
        <item x="234"/>
        <item x="198"/>
        <item x="1305"/>
        <item x="619"/>
        <item x="1130"/>
        <item x="1195"/>
        <item x="408"/>
        <item x="328"/>
        <item x="372"/>
        <item x="855"/>
        <item x="278"/>
        <item x="751"/>
        <item x="1411"/>
        <item x="1369"/>
        <item x="1295"/>
        <item x="518"/>
        <item x="1179"/>
        <item x="537"/>
        <item x="748"/>
        <item x="1460"/>
        <item x="172"/>
        <item x="347"/>
        <item x="996"/>
        <item x="579"/>
        <item x="881"/>
        <item x="561"/>
        <item x="444"/>
        <item x="364"/>
        <item x="812"/>
        <item x="346"/>
        <item x="808"/>
        <item x="420"/>
        <item x="1332"/>
        <item x="84"/>
        <item x="296"/>
        <item x="221"/>
        <item x="1260"/>
        <item x="1197"/>
        <item x="48"/>
        <item x="22"/>
        <item x="890"/>
        <item x="1365"/>
        <item x="488"/>
        <item x="1041"/>
        <item x="274"/>
        <item x="1094"/>
        <item x="1215"/>
        <item x="605"/>
        <item x="962"/>
        <item x="54"/>
        <item x="763"/>
        <item x="377"/>
        <item x="661"/>
        <item x="530"/>
        <item x="1339"/>
        <item x="118"/>
        <item x="501"/>
        <item x="1108"/>
        <item x="924"/>
        <item x="922"/>
        <item x="1151"/>
        <item x="859"/>
        <item x="100"/>
        <item x="1139"/>
        <item x="466"/>
        <item x="1464"/>
        <item x="1426"/>
        <item x="1449"/>
        <item x="223"/>
        <item x="769"/>
        <item x="1123"/>
        <item x="21"/>
        <item x="1257"/>
        <item x="56"/>
        <item x="669"/>
        <item x="1413"/>
        <item x="1333"/>
        <item x="652"/>
        <item x="914"/>
        <item x="60"/>
        <item x="135"/>
        <item x="994"/>
        <item x="79"/>
        <item x="516"/>
        <item x="524"/>
        <item x="140"/>
        <item x="68"/>
        <item x="69"/>
        <item x="618"/>
        <item x="581"/>
        <item x="1441"/>
        <item x="134"/>
        <item x="1375"/>
        <item x="1208"/>
        <item x="666"/>
        <item x="78"/>
        <item x="674"/>
        <item x="888"/>
        <item x="402"/>
        <item x="964"/>
        <item x="940"/>
        <item x="1158"/>
        <item x="982"/>
        <item x="851"/>
        <item x="1320"/>
        <item x="580"/>
        <item x="382"/>
        <item x="961"/>
        <item x="503"/>
        <item x="305"/>
        <item x="540"/>
        <item x="496"/>
        <item x="1297"/>
        <item x="1007"/>
        <item x="1219"/>
        <item x="1462"/>
        <item x="787"/>
        <item x="1173"/>
        <item x="50"/>
        <item x="129"/>
        <item x="1164"/>
        <item x="182"/>
        <item x="93"/>
        <item x="1325"/>
        <item x="1356"/>
        <item x="1404"/>
        <item x="59"/>
        <item x="802"/>
        <item x="632"/>
        <item x="1074"/>
        <item x="1457"/>
        <item x="711"/>
        <item x="824"/>
        <item x="57"/>
        <item x="643"/>
        <item x="366"/>
        <item x="449"/>
        <item x="757"/>
        <item x="30"/>
        <item x="523"/>
        <item x="180"/>
        <item x="1080"/>
        <item x="363"/>
        <item x="884"/>
        <item x="1329"/>
        <item x="1455"/>
        <item x="1299"/>
        <item x="650"/>
        <item x="378"/>
        <item x="12"/>
        <item x="895"/>
        <item x="1211"/>
        <item x="634"/>
        <item x="657"/>
        <item x="944"/>
        <item x="339"/>
        <item x="806"/>
        <item x="1235"/>
        <item x="1307"/>
        <item x="1207"/>
        <item x="638"/>
        <item x="292"/>
        <item x="1170"/>
        <item x="553"/>
        <item x="419"/>
        <item x="199"/>
        <item x="710"/>
        <item x="1277"/>
        <item x="969"/>
        <item x="116"/>
        <item x="405"/>
        <item x="194"/>
        <item x="653"/>
        <item x="441"/>
        <item x="796"/>
        <item x="1053"/>
        <item x="247"/>
        <item x="31"/>
        <item x="176"/>
        <item x="943"/>
        <item x="737"/>
        <item x="770"/>
        <item x="872"/>
        <item x="1018"/>
        <item x="560"/>
        <item x="343"/>
        <item x="1398"/>
        <item x="1106"/>
        <item x="1403"/>
        <item x="252"/>
        <item x="1042"/>
        <item x="823"/>
        <item x="868"/>
        <item x="641"/>
        <item x="932"/>
        <item x="249"/>
        <item x="1427"/>
        <item x="470"/>
        <item x="282"/>
        <item x="290"/>
        <item x="319"/>
        <item x="1241"/>
        <item x="590"/>
        <item x="534"/>
        <item x="877"/>
        <item x="1174"/>
        <item x="131"/>
        <item x="280"/>
        <item x="271"/>
        <item x="774"/>
        <item x="789"/>
        <item x="428"/>
        <item x="1444"/>
        <item x="545"/>
        <item x="40"/>
        <item x="975"/>
        <item x="178"/>
        <item x="767"/>
        <item x="1225"/>
        <item x="831"/>
        <item x="987"/>
        <item x="432"/>
        <item x="293"/>
        <item x="1012"/>
        <item x="1165"/>
        <item x="123"/>
        <item x="786"/>
        <item x="557"/>
        <item x="1494"/>
        <item x="7"/>
        <item x="243"/>
        <item x="656"/>
        <item x="729"/>
        <item x="1486"/>
        <item x="1467"/>
        <item x="335"/>
        <item x="891"/>
        <item x="1340"/>
        <item x="482"/>
        <item x="331"/>
        <item x="663"/>
        <item x="1223"/>
        <item x="82"/>
        <item x="440"/>
        <item x="960"/>
        <item x="863"/>
        <item x="609"/>
        <item x="876"/>
        <item x="1280"/>
        <item x="576"/>
        <item x="313"/>
        <item x="99"/>
        <item x="665"/>
        <item x="237"/>
        <item x="869"/>
        <item x="1247"/>
        <item x="1030"/>
        <item x="291"/>
        <item x="664"/>
        <item x="921"/>
        <item x="900"/>
        <item x="1359"/>
        <item x="794"/>
        <item x="132"/>
        <item x="1268"/>
        <item x="813"/>
        <item x="569"/>
        <item x="1395"/>
        <item x="981"/>
        <item x="49"/>
        <item x="281"/>
        <item x="1331"/>
        <item x="588"/>
        <item x="546"/>
        <item x="1341"/>
        <item x="447"/>
        <item x="906"/>
        <item x="301"/>
        <item x="885"/>
        <item x="1011"/>
        <item x="143"/>
        <item x="1040"/>
        <item x="923"/>
        <item x="356"/>
        <item x="1500"/>
        <item t="default"/>
      </items>
    </pivotField>
    <pivotField showAll="0"/>
    <pivotField axis="axisRow" showAll="0">
      <items count="13">
        <item x="5"/>
        <item x="2"/>
        <item x="10"/>
        <item x="4"/>
        <item x="9"/>
        <item x="0"/>
        <item x="6"/>
        <item x="7"/>
        <item x="1"/>
        <item x="8"/>
        <item x="3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Title" fld="1" subtotal="count" baseField="0" baseItem="0"/>
  </dataFields>
  <formats count="40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3" type="button" dataOnly="0" labelOnly="1" outline="0" axis="axisRow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8">
      <pivotArea field="3" type="button" dataOnly="0" labelOnly="1" outline="0" axis="axisRow" fieldPosition="0"/>
    </format>
    <format dxfId="47">
      <pivotArea dataOnly="0" labelOnly="1" outline="0" axis="axisValues" fieldPosition="0"/>
    </format>
    <format dxfId="45">
      <pivotArea dataOnly="0" grandRow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C42B6-23DA-4A3B-ACC4-CB1D6EB60596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:C16" firstHeaderRow="1" firstDataRow="1" firstDataCol="1"/>
  <pivotFields count="23">
    <pivotField showAll="0"/>
    <pivotField showAll="0"/>
    <pivotField showAll="0"/>
    <pivotField axis="axisRow" showAll="0">
      <items count="12">
        <item x="5"/>
        <item x="2"/>
        <item x="10"/>
        <item x="4"/>
        <item x="9"/>
        <item x="0"/>
        <item x="6"/>
        <item x="7"/>
        <item x="1"/>
        <item x="8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Views_Million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zoomScaleNormal="100" workbookViewId="0">
      <selection activeCell="D24" sqref="D24"/>
    </sheetView>
  </sheetViews>
  <sheetFormatPr defaultRowHeight="14.4" x14ac:dyDescent="0.3"/>
  <cols>
    <col min="1" max="1" width="11.6640625" bestFit="1" customWidth="1"/>
    <col min="2" max="2" width="18.6640625" bestFit="1" customWidth="1"/>
    <col min="3" max="3" width="8" bestFit="1" customWidth="1"/>
    <col min="4" max="4" width="12" bestFit="1" customWidth="1"/>
    <col min="5" max="5" width="13.44140625" bestFit="1" customWidth="1"/>
    <col min="6" max="6" width="10.88671875" bestFit="1" customWidth="1"/>
    <col min="7" max="7" width="12.6640625" bestFit="1" customWidth="1"/>
    <col min="8" max="8" width="14.21875" bestFit="1" customWidth="1"/>
    <col min="9" max="9" width="11.44140625" bestFit="1" customWidth="1"/>
    <col min="10" max="10" width="13.21875" bestFit="1" customWidth="1"/>
    <col min="11" max="11" width="15.21875" bestFit="1" customWidth="1"/>
    <col min="12" max="12" width="9.6640625" bestFit="1" customWidth="1"/>
    <col min="13" max="13" width="18.44140625" bestFit="1" customWidth="1"/>
    <col min="14" max="14" width="17.21875" bestFit="1" customWidth="1"/>
    <col min="15" max="15" width="8.44140625" bestFit="1" customWidth="1"/>
    <col min="16" max="16" width="20.44140625" bestFit="1" customWidth="1"/>
    <col min="17" max="17" width="22" bestFit="1" customWidth="1"/>
    <col min="18" max="18" width="18.33203125" style="7" bestFit="1" customWidth="1"/>
    <col min="19" max="19" width="12.6640625" bestFit="1" customWidth="1"/>
    <col min="20" max="20" width="18.109375" bestFit="1" customWidth="1"/>
    <col min="21" max="21" width="8.77734375" bestFit="1" customWidth="1"/>
    <col min="22" max="22" width="7.6640625" customWidth="1"/>
    <col min="23" max="23" width="12" bestFit="1" customWidth="1"/>
  </cols>
  <sheetData>
    <row r="1" spans="1:23" s="17" customFormat="1" ht="15.6" x14ac:dyDescent="0.3">
      <c r="A1" s="12" t="s">
        <v>4246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3" t="s">
        <v>4242</v>
      </c>
      <c r="S1" s="14" t="s">
        <v>4243</v>
      </c>
      <c r="T1" s="15" t="s">
        <v>4244</v>
      </c>
      <c r="U1" s="16" t="s">
        <v>4245</v>
      </c>
      <c r="V1" s="26" t="s">
        <v>4257</v>
      </c>
      <c r="W1" s="27" t="s">
        <v>4258</v>
      </c>
    </row>
    <row r="2" spans="1:23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2016</v>
      </c>
      <c r="F2" s="1" t="s">
        <v>20</v>
      </c>
      <c r="G2" s="1" t="s">
        <v>21</v>
      </c>
      <c r="H2" s="1">
        <v>172</v>
      </c>
      <c r="I2" s="1" t="s">
        <v>22</v>
      </c>
      <c r="J2" s="1">
        <v>9</v>
      </c>
      <c r="K2" s="1">
        <v>441.1</v>
      </c>
      <c r="L2" s="1" t="s">
        <v>23</v>
      </c>
      <c r="M2" s="1" t="s">
        <v>24</v>
      </c>
      <c r="N2" s="1" t="s">
        <v>25</v>
      </c>
      <c r="O2" s="1"/>
      <c r="P2" s="1">
        <v>31</v>
      </c>
      <c r="Q2" s="1">
        <v>195.2</v>
      </c>
      <c r="R2" s="8" t="str">
        <f>_xlfn.IFS(J2&gt;=8,"Hit",J2&gt;=6,"Average",J2&lt;6,"Flop")</f>
        <v>Hit</v>
      </c>
      <c r="S2" s="9" t="str">
        <f>_xlfn.IFS(K2&gt;=400,"Blockbuster",K2&gt;=200,"Popular",K2&lt;200,"Normal")</f>
        <v>Blockbuster</v>
      </c>
      <c r="T2" s="10" t="str">
        <f>IF(OR(I2="PG",I2="G"),"Yes","No")</f>
        <v>No</v>
      </c>
      <c r="U2" s="11" t="str">
        <f>IF(P2&gt;=100,"High","Low")</f>
        <v>Low</v>
      </c>
      <c r="V2" s="28">
        <f>Q2-P2</f>
        <v>164.2</v>
      </c>
      <c r="W2" s="29">
        <f>(Q2/P2)*100</f>
        <v>629.67741935483866</v>
      </c>
    </row>
    <row r="3" spans="1:23" x14ac:dyDescent="0.3">
      <c r="A3" s="1" t="s">
        <v>26</v>
      </c>
      <c r="B3" s="1" t="s">
        <v>27</v>
      </c>
      <c r="C3" s="1" t="s">
        <v>18</v>
      </c>
      <c r="D3" s="1" t="s">
        <v>28</v>
      </c>
      <c r="E3" s="1">
        <v>2005</v>
      </c>
      <c r="F3" s="1" t="s">
        <v>29</v>
      </c>
      <c r="G3" s="1" t="s">
        <v>30</v>
      </c>
      <c r="H3" s="1">
        <v>143</v>
      </c>
      <c r="I3" s="1" t="s">
        <v>31</v>
      </c>
      <c r="J3" s="1">
        <v>7.4</v>
      </c>
      <c r="K3" s="1">
        <v>304.3</v>
      </c>
      <c r="L3" s="1" t="s">
        <v>32</v>
      </c>
      <c r="M3" s="1" t="s">
        <v>33</v>
      </c>
      <c r="N3" s="1" t="s">
        <v>34</v>
      </c>
      <c r="O3" s="1"/>
      <c r="P3" s="1">
        <v>63</v>
      </c>
      <c r="Q3" s="1">
        <v>143.5</v>
      </c>
      <c r="R3" s="8" t="str">
        <f>_xlfn.IFS(J3&gt;=8,"Hit",J3&gt;=6,"Average",J3&lt;6,"Flop")</f>
        <v>Average</v>
      </c>
      <c r="S3" s="9" t="str">
        <f>_xlfn.IFS(K3&gt;=400,"Blockbuster",K3&gt;=200,"Popular",K3&lt;200,"Normal")</f>
        <v>Popular</v>
      </c>
      <c r="T3" s="10" t="str">
        <f>IF(OR(I3="PG",I3="G"),"Yes","No")</f>
        <v>No</v>
      </c>
      <c r="U3" s="11" t="str">
        <f>IF(P3&gt;=100,"High","Low")</f>
        <v>Low</v>
      </c>
      <c r="V3" s="28">
        <f t="shared" ref="V3:V66" si="0">Q3-P3</f>
        <v>80.5</v>
      </c>
      <c r="W3" s="29">
        <f t="shared" ref="W3:W66" si="1">(Q3/P3)*100</f>
        <v>227.77777777777777</v>
      </c>
    </row>
    <row r="4" spans="1:23" x14ac:dyDescent="0.3">
      <c r="A4" s="1" t="s">
        <v>35</v>
      </c>
      <c r="B4" s="1" t="s">
        <v>36</v>
      </c>
      <c r="C4" s="1" t="s">
        <v>18</v>
      </c>
      <c r="D4" s="1" t="s">
        <v>37</v>
      </c>
      <c r="E4" s="1">
        <v>2018</v>
      </c>
      <c r="F4" s="1" t="s">
        <v>38</v>
      </c>
      <c r="G4" s="1" t="s">
        <v>39</v>
      </c>
      <c r="H4" s="1">
        <v>86</v>
      </c>
      <c r="I4" s="1" t="s">
        <v>40</v>
      </c>
      <c r="J4" s="1">
        <v>7.9</v>
      </c>
      <c r="K4" s="1">
        <v>88.6</v>
      </c>
      <c r="L4" s="1" t="s">
        <v>41</v>
      </c>
      <c r="M4" s="1" t="s">
        <v>42</v>
      </c>
      <c r="N4" s="1" t="s">
        <v>43</v>
      </c>
      <c r="O4" s="1"/>
      <c r="P4" s="1">
        <v>107</v>
      </c>
      <c r="Q4" s="1">
        <v>379.1</v>
      </c>
      <c r="R4" s="8" t="str">
        <f>_xlfn.IFS(J4&gt;=8,"Hit",J4&gt;=6,"Average",J4&lt;6,"Flop")</f>
        <v>Average</v>
      </c>
      <c r="S4" s="9" t="str">
        <f>_xlfn.IFS(K4&gt;=400,"Blockbuster",K4&gt;=200,"Popular",K4&lt;200,"Normal")</f>
        <v>Normal</v>
      </c>
      <c r="T4" s="10" t="str">
        <f>IF(OR(I4="PG",I4="G"),"Yes","No")</f>
        <v>Yes</v>
      </c>
      <c r="U4" s="11" t="str">
        <f>IF(P4&gt;=100,"High","Low")</f>
        <v>High</v>
      </c>
      <c r="V4" s="28">
        <f t="shared" si="0"/>
        <v>272.10000000000002</v>
      </c>
      <c r="W4" s="29">
        <f t="shared" si="1"/>
        <v>354.29906542056074</v>
      </c>
    </row>
    <row r="5" spans="1:23" x14ac:dyDescent="0.3">
      <c r="A5" s="1" t="s">
        <v>44</v>
      </c>
      <c r="B5" s="1" t="s">
        <v>45</v>
      </c>
      <c r="C5" s="1" t="s">
        <v>46</v>
      </c>
      <c r="D5" s="1" t="s">
        <v>47</v>
      </c>
      <c r="E5" s="1">
        <v>2007</v>
      </c>
      <c r="F5" s="1" t="s">
        <v>48</v>
      </c>
      <c r="G5" s="1" t="s">
        <v>49</v>
      </c>
      <c r="H5" s="1">
        <v>49</v>
      </c>
      <c r="I5" s="1" t="s">
        <v>50</v>
      </c>
      <c r="J5" s="1">
        <v>5.9</v>
      </c>
      <c r="K5" s="1">
        <v>313.2</v>
      </c>
      <c r="L5" s="1" t="s">
        <v>23</v>
      </c>
      <c r="M5" s="1" t="s">
        <v>42</v>
      </c>
      <c r="N5" s="1" t="s">
        <v>25</v>
      </c>
      <c r="O5" s="1">
        <v>3</v>
      </c>
      <c r="P5" s="1">
        <v>128</v>
      </c>
      <c r="Q5" s="1">
        <v>564.79999999999995</v>
      </c>
      <c r="R5" s="8" t="str">
        <f>_xlfn.IFS(J5&gt;=8,"Hit",J5&gt;=6,"Average",J5&lt;6,"Flop")</f>
        <v>Flop</v>
      </c>
      <c r="S5" s="9" t="str">
        <f>_xlfn.IFS(K5&gt;=400,"Blockbuster",K5&gt;=200,"Popular",K5&lt;200,"Normal")</f>
        <v>Popular</v>
      </c>
      <c r="T5" s="10" t="str">
        <f>IF(OR(I5="PG",I5="G"),"Yes","No")</f>
        <v>Yes</v>
      </c>
      <c r="U5" s="11" t="str">
        <f>IF(P5&gt;=100,"High","Low")</f>
        <v>High</v>
      </c>
      <c r="V5" s="28">
        <f t="shared" si="0"/>
        <v>436.79999999999995</v>
      </c>
      <c r="W5" s="29">
        <f t="shared" si="1"/>
        <v>441.24999999999994</v>
      </c>
    </row>
    <row r="6" spans="1:23" x14ac:dyDescent="0.3">
      <c r="A6" s="1" t="s">
        <v>51</v>
      </c>
      <c r="B6" s="1" t="s">
        <v>52</v>
      </c>
      <c r="C6" s="1" t="s">
        <v>18</v>
      </c>
      <c r="D6" s="1" t="s">
        <v>19</v>
      </c>
      <c r="E6" s="1">
        <v>2007</v>
      </c>
      <c r="F6" s="1" t="s">
        <v>38</v>
      </c>
      <c r="G6" s="1" t="s">
        <v>53</v>
      </c>
      <c r="H6" s="1">
        <v>95</v>
      </c>
      <c r="I6" s="1" t="s">
        <v>31</v>
      </c>
      <c r="J6" s="1">
        <v>4.5999999999999996</v>
      </c>
      <c r="K6" s="1">
        <v>373.8</v>
      </c>
      <c r="L6" s="1" t="s">
        <v>41</v>
      </c>
      <c r="M6" s="1" t="s">
        <v>54</v>
      </c>
      <c r="N6" s="1" t="s">
        <v>55</v>
      </c>
      <c r="O6" s="1"/>
      <c r="P6" s="1">
        <v>86</v>
      </c>
      <c r="Q6" s="1">
        <v>168.7</v>
      </c>
      <c r="R6" s="8" t="str">
        <f>_xlfn.IFS(J6&gt;=8,"Hit",J6&gt;=6,"Average",J6&lt;6,"Flop")</f>
        <v>Flop</v>
      </c>
      <c r="S6" s="9" t="str">
        <f>_xlfn.IFS(K6&gt;=400,"Blockbuster",K6&gt;=200,"Popular",K6&lt;200,"Normal")</f>
        <v>Popular</v>
      </c>
      <c r="T6" s="10" t="str">
        <f>IF(OR(I6="PG",I6="G"),"Yes","No")</f>
        <v>No</v>
      </c>
      <c r="U6" s="11" t="str">
        <f>IF(P6&gt;=100,"High","Low")</f>
        <v>Low</v>
      </c>
      <c r="V6" s="28">
        <f t="shared" si="0"/>
        <v>82.699999999999989</v>
      </c>
      <c r="W6" s="29">
        <f t="shared" si="1"/>
        <v>196.16279069767441</v>
      </c>
    </row>
    <row r="7" spans="1:23" x14ac:dyDescent="0.3">
      <c r="A7" s="1" t="s">
        <v>56</v>
      </c>
      <c r="B7" s="1" t="s">
        <v>57</v>
      </c>
      <c r="C7" s="1" t="s">
        <v>46</v>
      </c>
      <c r="D7" s="1" t="s">
        <v>58</v>
      </c>
      <c r="E7" s="1">
        <v>2022</v>
      </c>
      <c r="F7" s="1" t="s">
        <v>38</v>
      </c>
      <c r="G7" s="1" t="s">
        <v>59</v>
      </c>
      <c r="H7" s="1">
        <v>55</v>
      </c>
      <c r="I7" s="1" t="s">
        <v>31</v>
      </c>
      <c r="J7" s="1">
        <v>8.1999999999999993</v>
      </c>
      <c r="K7" s="1">
        <v>134.9</v>
      </c>
      <c r="L7" s="1" t="s">
        <v>32</v>
      </c>
      <c r="M7" s="1" t="s">
        <v>54</v>
      </c>
      <c r="N7" s="1" t="s">
        <v>60</v>
      </c>
      <c r="O7" s="1">
        <v>5</v>
      </c>
      <c r="P7" s="1">
        <v>37</v>
      </c>
      <c r="Q7" s="1">
        <v>74.099999999999994</v>
      </c>
      <c r="R7" s="8" t="str">
        <f>_xlfn.IFS(J7&gt;=8,"Hit",J7&gt;=6,"Average",J7&lt;6,"Flop")</f>
        <v>Hit</v>
      </c>
      <c r="S7" s="9" t="str">
        <f>_xlfn.IFS(K7&gt;=400,"Blockbuster",K7&gt;=200,"Popular",K7&lt;200,"Normal")</f>
        <v>Normal</v>
      </c>
      <c r="T7" s="10" t="str">
        <f>IF(OR(I7="PG",I7="G"),"Yes","No")</f>
        <v>No</v>
      </c>
      <c r="U7" s="11" t="str">
        <f>IF(P7&gt;=100,"High","Low")</f>
        <v>Low</v>
      </c>
      <c r="V7" s="28">
        <f t="shared" si="0"/>
        <v>37.099999999999994</v>
      </c>
      <c r="W7" s="29">
        <f t="shared" si="1"/>
        <v>200.27027027027026</v>
      </c>
    </row>
    <row r="8" spans="1:23" x14ac:dyDescent="0.3">
      <c r="A8" s="1" t="s">
        <v>61</v>
      </c>
      <c r="B8" s="1" t="s">
        <v>62</v>
      </c>
      <c r="C8" s="1" t="s">
        <v>46</v>
      </c>
      <c r="D8" s="1" t="s">
        <v>63</v>
      </c>
      <c r="E8" s="1">
        <v>2006</v>
      </c>
      <c r="F8" s="1" t="s">
        <v>38</v>
      </c>
      <c r="G8" s="1" t="s">
        <v>64</v>
      </c>
      <c r="H8" s="1">
        <v>35</v>
      </c>
      <c r="I8" s="1" t="s">
        <v>50</v>
      </c>
      <c r="J8" s="1">
        <v>5</v>
      </c>
      <c r="K8" s="1">
        <v>446.5</v>
      </c>
      <c r="L8" s="1" t="s">
        <v>65</v>
      </c>
      <c r="M8" s="1" t="s">
        <v>66</v>
      </c>
      <c r="N8" s="1" t="s">
        <v>67</v>
      </c>
      <c r="O8" s="1">
        <v>1</v>
      </c>
      <c r="P8" s="1">
        <v>102</v>
      </c>
      <c r="Q8" s="1">
        <v>133.6</v>
      </c>
      <c r="R8" s="8" t="str">
        <f>_xlfn.IFS(J8&gt;=8,"Hit",J8&gt;=6,"Average",J8&lt;6,"Flop")</f>
        <v>Flop</v>
      </c>
      <c r="S8" s="9" t="str">
        <f>_xlfn.IFS(K8&gt;=400,"Blockbuster",K8&gt;=200,"Popular",K8&lt;200,"Normal")</f>
        <v>Blockbuster</v>
      </c>
      <c r="T8" s="10" t="str">
        <f>IF(OR(I8="PG",I8="G"),"Yes","No")</f>
        <v>Yes</v>
      </c>
      <c r="U8" s="11" t="str">
        <f>IF(P8&gt;=100,"High","Low")</f>
        <v>High</v>
      </c>
      <c r="V8" s="28">
        <f t="shared" si="0"/>
        <v>31.599999999999994</v>
      </c>
      <c r="W8" s="29">
        <f t="shared" si="1"/>
        <v>130.98039215686273</v>
      </c>
    </row>
    <row r="9" spans="1:23" x14ac:dyDescent="0.3">
      <c r="A9" s="1" t="s">
        <v>68</v>
      </c>
      <c r="B9" s="1" t="s">
        <v>69</v>
      </c>
      <c r="C9" s="1" t="s">
        <v>18</v>
      </c>
      <c r="D9" s="1" t="s">
        <v>19</v>
      </c>
      <c r="E9" s="1">
        <v>2021</v>
      </c>
      <c r="F9" s="1" t="s">
        <v>29</v>
      </c>
      <c r="G9" s="1" t="s">
        <v>70</v>
      </c>
      <c r="H9" s="1">
        <v>125</v>
      </c>
      <c r="I9" s="1" t="s">
        <v>50</v>
      </c>
      <c r="J9" s="1">
        <v>8.9</v>
      </c>
      <c r="K9" s="1">
        <v>497.1</v>
      </c>
      <c r="L9" s="1" t="s">
        <v>71</v>
      </c>
      <c r="M9" s="1" t="s">
        <v>72</v>
      </c>
      <c r="N9" s="1" t="s">
        <v>67</v>
      </c>
      <c r="O9" s="1"/>
      <c r="P9" s="1">
        <v>170</v>
      </c>
      <c r="Q9" s="1">
        <v>468.9</v>
      </c>
      <c r="R9" s="8" t="str">
        <f>_xlfn.IFS(J9&gt;=8,"Hit",J9&gt;=6,"Average",J9&lt;6,"Flop")</f>
        <v>Hit</v>
      </c>
      <c r="S9" s="9" t="str">
        <f>_xlfn.IFS(K9&gt;=400,"Blockbuster",K9&gt;=200,"Popular",K9&lt;200,"Normal")</f>
        <v>Blockbuster</v>
      </c>
      <c r="T9" s="10" t="str">
        <f>IF(OR(I9="PG",I9="G"),"Yes","No")</f>
        <v>Yes</v>
      </c>
      <c r="U9" s="11" t="str">
        <f>IF(P9&gt;=100,"High","Low")</f>
        <v>High</v>
      </c>
      <c r="V9" s="28">
        <f t="shared" si="0"/>
        <v>298.89999999999998</v>
      </c>
      <c r="W9" s="29">
        <f t="shared" si="1"/>
        <v>275.8235294117647</v>
      </c>
    </row>
    <row r="10" spans="1:23" x14ac:dyDescent="0.3">
      <c r="A10" s="1" t="s">
        <v>73</v>
      </c>
      <c r="B10" s="1" t="s">
        <v>74</v>
      </c>
      <c r="C10" s="1" t="s">
        <v>46</v>
      </c>
      <c r="D10" s="1" t="s">
        <v>75</v>
      </c>
      <c r="E10" s="1">
        <v>2005</v>
      </c>
      <c r="F10" s="1" t="s">
        <v>76</v>
      </c>
      <c r="G10" s="1" t="s">
        <v>77</v>
      </c>
      <c r="H10" s="1">
        <v>52</v>
      </c>
      <c r="I10" s="1" t="s">
        <v>50</v>
      </c>
      <c r="J10" s="1">
        <v>4.9000000000000004</v>
      </c>
      <c r="K10" s="1">
        <v>590.4</v>
      </c>
      <c r="L10" s="1" t="s">
        <v>23</v>
      </c>
      <c r="M10" s="1" t="s">
        <v>78</v>
      </c>
      <c r="N10" s="1" t="s">
        <v>79</v>
      </c>
      <c r="O10" s="1">
        <v>2</v>
      </c>
      <c r="P10" s="1">
        <v>38</v>
      </c>
      <c r="Q10" s="1">
        <v>141</v>
      </c>
      <c r="R10" s="8" t="str">
        <f>_xlfn.IFS(J10&gt;=8,"Hit",J10&gt;=6,"Average",J10&lt;6,"Flop")</f>
        <v>Flop</v>
      </c>
      <c r="S10" s="9" t="str">
        <f>_xlfn.IFS(K10&gt;=400,"Blockbuster",K10&gt;=200,"Popular",K10&lt;200,"Normal")</f>
        <v>Blockbuster</v>
      </c>
      <c r="T10" s="10" t="str">
        <f>IF(OR(I10="PG",I10="G"),"Yes","No")</f>
        <v>Yes</v>
      </c>
      <c r="U10" s="11" t="str">
        <f>IF(P10&gt;=100,"High","Low")</f>
        <v>Low</v>
      </c>
      <c r="V10" s="28">
        <f t="shared" si="0"/>
        <v>103</v>
      </c>
      <c r="W10" s="29">
        <f t="shared" si="1"/>
        <v>371.0526315789474</v>
      </c>
    </row>
    <row r="11" spans="1:23" x14ac:dyDescent="0.3">
      <c r="A11" s="1" t="s">
        <v>80</v>
      </c>
      <c r="B11" s="1" t="s">
        <v>81</v>
      </c>
      <c r="C11" s="1" t="s">
        <v>18</v>
      </c>
      <c r="D11" s="1" t="s">
        <v>82</v>
      </c>
      <c r="E11" s="1">
        <v>2014</v>
      </c>
      <c r="F11" s="1" t="s">
        <v>83</v>
      </c>
      <c r="G11" s="1" t="s">
        <v>84</v>
      </c>
      <c r="H11" s="1">
        <v>108</v>
      </c>
      <c r="I11" s="1" t="s">
        <v>22</v>
      </c>
      <c r="J11" s="1">
        <v>6</v>
      </c>
      <c r="K11" s="1">
        <v>229.3</v>
      </c>
      <c r="L11" s="1" t="s">
        <v>41</v>
      </c>
      <c r="M11" s="1" t="s">
        <v>85</v>
      </c>
      <c r="N11" s="1" t="s">
        <v>86</v>
      </c>
      <c r="O11" s="1"/>
      <c r="P11" s="1">
        <v>56</v>
      </c>
      <c r="Q11" s="1">
        <v>315.8</v>
      </c>
      <c r="R11" s="8" t="str">
        <f>_xlfn.IFS(J11&gt;=8,"Hit",J11&gt;=6,"Average",J11&lt;6,"Flop")</f>
        <v>Average</v>
      </c>
      <c r="S11" s="9" t="str">
        <f>_xlfn.IFS(K11&gt;=400,"Blockbuster",K11&gt;=200,"Popular",K11&lt;200,"Normal")</f>
        <v>Popular</v>
      </c>
      <c r="T11" s="10" t="str">
        <f>IF(OR(I11="PG",I11="G"),"Yes","No")</f>
        <v>No</v>
      </c>
      <c r="U11" s="11" t="str">
        <f>IF(P11&gt;=100,"High","Low")</f>
        <v>Low</v>
      </c>
      <c r="V11" s="28">
        <f t="shared" si="0"/>
        <v>259.8</v>
      </c>
      <c r="W11" s="29">
        <f t="shared" si="1"/>
        <v>563.92857142857144</v>
      </c>
    </row>
    <row r="12" spans="1:23" x14ac:dyDescent="0.3">
      <c r="A12" s="1" t="s">
        <v>87</v>
      </c>
      <c r="B12" s="1" t="s">
        <v>88</v>
      </c>
      <c r="C12" s="1" t="s">
        <v>46</v>
      </c>
      <c r="D12" s="1" t="s">
        <v>37</v>
      </c>
      <c r="E12" s="1">
        <v>2014</v>
      </c>
      <c r="F12" s="1" t="s">
        <v>38</v>
      </c>
      <c r="G12" s="1" t="s">
        <v>89</v>
      </c>
      <c r="H12" s="1">
        <v>34</v>
      </c>
      <c r="I12" s="1" t="s">
        <v>22</v>
      </c>
      <c r="J12" s="1">
        <v>5.6</v>
      </c>
      <c r="K12" s="1">
        <v>240.6</v>
      </c>
      <c r="L12" s="1" t="s">
        <v>90</v>
      </c>
      <c r="M12" s="1" t="s">
        <v>78</v>
      </c>
      <c r="N12" s="1" t="s">
        <v>91</v>
      </c>
      <c r="O12" s="1">
        <v>1</v>
      </c>
      <c r="P12" s="1">
        <v>13</v>
      </c>
      <c r="Q12" s="1">
        <v>32.200000000000003</v>
      </c>
      <c r="R12" s="8" t="str">
        <f>_xlfn.IFS(J12&gt;=8,"Hit",J12&gt;=6,"Average",J12&lt;6,"Flop")</f>
        <v>Flop</v>
      </c>
      <c r="S12" s="9" t="str">
        <f>_xlfn.IFS(K12&gt;=400,"Blockbuster",K12&gt;=200,"Popular",K12&lt;200,"Normal")</f>
        <v>Popular</v>
      </c>
      <c r="T12" s="10" t="str">
        <f>IF(OR(I12="PG",I12="G"),"Yes","No")</f>
        <v>No</v>
      </c>
      <c r="U12" s="11" t="str">
        <f>IF(P12&gt;=100,"High","Low")</f>
        <v>Low</v>
      </c>
      <c r="V12" s="28">
        <f t="shared" si="0"/>
        <v>19.200000000000003</v>
      </c>
      <c r="W12" s="29">
        <f t="shared" si="1"/>
        <v>247.69230769230771</v>
      </c>
    </row>
    <row r="13" spans="1:23" x14ac:dyDescent="0.3">
      <c r="A13" s="1" t="s">
        <v>92</v>
      </c>
      <c r="B13" s="1" t="s">
        <v>93</v>
      </c>
      <c r="C13" s="1" t="s">
        <v>18</v>
      </c>
      <c r="D13" s="1" t="s">
        <v>94</v>
      </c>
      <c r="E13" s="1">
        <v>2013</v>
      </c>
      <c r="F13" s="1" t="s">
        <v>95</v>
      </c>
      <c r="G13" s="1" t="s">
        <v>96</v>
      </c>
      <c r="H13" s="1">
        <v>159</v>
      </c>
      <c r="I13" s="1" t="s">
        <v>50</v>
      </c>
      <c r="J13" s="1">
        <v>4.8</v>
      </c>
      <c r="K13" s="1">
        <v>404.3</v>
      </c>
      <c r="L13" s="1" t="s">
        <v>41</v>
      </c>
      <c r="M13" s="1" t="s">
        <v>97</v>
      </c>
      <c r="N13" s="1" t="s">
        <v>67</v>
      </c>
      <c r="O13" s="1"/>
      <c r="P13" s="1">
        <v>40</v>
      </c>
      <c r="Q13" s="1">
        <v>129.1</v>
      </c>
      <c r="R13" s="8" t="str">
        <f>_xlfn.IFS(J13&gt;=8,"Hit",J13&gt;=6,"Average",J13&lt;6,"Flop")</f>
        <v>Flop</v>
      </c>
      <c r="S13" s="9" t="str">
        <f>_xlfn.IFS(K13&gt;=400,"Blockbuster",K13&gt;=200,"Popular",K13&lt;200,"Normal")</f>
        <v>Blockbuster</v>
      </c>
      <c r="T13" s="10" t="str">
        <f>IF(OR(I13="PG",I13="G"),"Yes","No")</f>
        <v>Yes</v>
      </c>
      <c r="U13" s="11" t="str">
        <f>IF(P13&gt;=100,"High","Low")</f>
        <v>Low</v>
      </c>
      <c r="V13" s="28">
        <f t="shared" si="0"/>
        <v>89.1</v>
      </c>
      <c r="W13" s="29">
        <f t="shared" si="1"/>
        <v>322.75</v>
      </c>
    </row>
    <row r="14" spans="1:23" x14ac:dyDescent="0.3">
      <c r="A14" s="1" t="s">
        <v>98</v>
      </c>
      <c r="B14" s="1" t="s">
        <v>99</v>
      </c>
      <c r="C14" s="1" t="s">
        <v>18</v>
      </c>
      <c r="D14" s="1" t="s">
        <v>94</v>
      </c>
      <c r="E14" s="1">
        <v>2001</v>
      </c>
      <c r="F14" s="1" t="s">
        <v>100</v>
      </c>
      <c r="G14" s="1" t="s">
        <v>101</v>
      </c>
      <c r="H14" s="1">
        <v>117</v>
      </c>
      <c r="I14" s="1" t="s">
        <v>40</v>
      </c>
      <c r="J14" s="1">
        <v>6</v>
      </c>
      <c r="K14" s="1">
        <v>3.2</v>
      </c>
      <c r="L14" s="1" t="s">
        <v>23</v>
      </c>
      <c r="M14" s="1" t="s">
        <v>54</v>
      </c>
      <c r="N14" s="1" t="s">
        <v>102</v>
      </c>
      <c r="O14" s="1"/>
      <c r="P14" s="1">
        <v>53</v>
      </c>
      <c r="Q14" s="1">
        <v>104.9</v>
      </c>
      <c r="R14" s="8" t="str">
        <f>_xlfn.IFS(J14&gt;=8,"Hit",J14&gt;=6,"Average",J14&lt;6,"Flop")</f>
        <v>Average</v>
      </c>
      <c r="S14" s="9" t="str">
        <f>_xlfn.IFS(K14&gt;=400,"Blockbuster",K14&gt;=200,"Popular",K14&lt;200,"Normal")</f>
        <v>Normal</v>
      </c>
      <c r="T14" s="10" t="str">
        <f>IF(OR(I14="PG",I14="G"),"Yes","No")</f>
        <v>Yes</v>
      </c>
      <c r="U14" s="11" t="str">
        <f>IF(P14&gt;=100,"High","Low")</f>
        <v>Low</v>
      </c>
      <c r="V14" s="28">
        <f t="shared" si="0"/>
        <v>51.900000000000006</v>
      </c>
      <c r="W14" s="29">
        <f t="shared" si="1"/>
        <v>197.9245283018868</v>
      </c>
    </row>
    <row r="15" spans="1:23" x14ac:dyDescent="0.3">
      <c r="A15" s="1" t="s">
        <v>103</v>
      </c>
      <c r="B15" s="1" t="s">
        <v>104</v>
      </c>
      <c r="C15" s="1" t="s">
        <v>46</v>
      </c>
      <c r="D15" s="1" t="s">
        <v>75</v>
      </c>
      <c r="E15" s="1">
        <v>2023</v>
      </c>
      <c r="F15" s="1" t="s">
        <v>29</v>
      </c>
      <c r="G15" s="1" t="s">
        <v>105</v>
      </c>
      <c r="H15" s="1">
        <v>44</v>
      </c>
      <c r="I15" s="1" t="s">
        <v>40</v>
      </c>
      <c r="J15" s="1">
        <v>4.9000000000000004</v>
      </c>
      <c r="K15" s="1">
        <v>599.29999999999995</v>
      </c>
      <c r="L15" s="1" t="s">
        <v>65</v>
      </c>
      <c r="M15" s="1" t="s">
        <v>106</v>
      </c>
      <c r="N15" s="1" t="s">
        <v>25</v>
      </c>
      <c r="O15" s="1">
        <v>3</v>
      </c>
      <c r="P15" s="1">
        <v>6</v>
      </c>
      <c r="Q15" s="1">
        <v>33</v>
      </c>
      <c r="R15" s="8" t="str">
        <f>_xlfn.IFS(J15&gt;=8,"Hit",J15&gt;=6,"Average",J15&lt;6,"Flop")</f>
        <v>Flop</v>
      </c>
      <c r="S15" s="9" t="str">
        <f>_xlfn.IFS(K15&gt;=400,"Blockbuster",K15&gt;=200,"Popular",K15&lt;200,"Normal")</f>
        <v>Blockbuster</v>
      </c>
      <c r="T15" s="10" t="str">
        <f>IF(OR(I15="PG",I15="G"),"Yes","No")</f>
        <v>Yes</v>
      </c>
      <c r="U15" s="11" t="str">
        <f>IF(P15&gt;=100,"High","Low")</f>
        <v>Low</v>
      </c>
      <c r="V15" s="28">
        <f t="shared" si="0"/>
        <v>27</v>
      </c>
      <c r="W15" s="29">
        <f t="shared" si="1"/>
        <v>550</v>
      </c>
    </row>
    <row r="16" spans="1:23" x14ac:dyDescent="0.3">
      <c r="A16" s="1" t="s">
        <v>107</v>
      </c>
      <c r="B16" s="1" t="s">
        <v>108</v>
      </c>
      <c r="C16" s="1" t="s">
        <v>18</v>
      </c>
      <c r="D16" s="1" t="s">
        <v>75</v>
      </c>
      <c r="E16" s="1">
        <v>2001</v>
      </c>
      <c r="F16" s="1" t="s">
        <v>48</v>
      </c>
      <c r="G16" s="1" t="s">
        <v>109</v>
      </c>
      <c r="H16" s="1">
        <v>111</v>
      </c>
      <c r="I16" s="1" t="s">
        <v>110</v>
      </c>
      <c r="J16" s="1">
        <v>9.1999999999999993</v>
      </c>
      <c r="K16" s="1">
        <v>506.4</v>
      </c>
      <c r="L16" s="1" t="s">
        <v>32</v>
      </c>
      <c r="M16" s="1" t="s">
        <v>111</v>
      </c>
      <c r="N16" s="1" t="s">
        <v>102</v>
      </c>
      <c r="O16" s="1"/>
      <c r="P16" s="1">
        <v>198</v>
      </c>
      <c r="Q16" s="1">
        <v>796.2</v>
      </c>
      <c r="R16" s="8" t="str">
        <f>_xlfn.IFS(J16&gt;=8,"Hit",J16&gt;=6,"Average",J16&lt;6,"Flop")</f>
        <v>Hit</v>
      </c>
      <c r="S16" s="9" t="str">
        <f>_xlfn.IFS(K16&gt;=400,"Blockbuster",K16&gt;=200,"Popular",K16&lt;200,"Normal")</f>
        <v>Blockbuster</v>
      </c>
      <c r="T16" s="10" t="str">
        <f>IF(OR(I16="PG",I16="G"),"Yes","No")</f>
        <v>No</v>
      </c>
      <c r="U16" s="11" t="str">
        <f>IF(P16&gt;=100,"High","Low")</f>
        <v>High</v>
      </c>
      <c r="V16" s="28">
        <f t="shared" si="0"/>
        <v>598.20000000000005</v>
      </c>
      <c r="W16" s="29">
        <f t="shared" si="1"/>
        <v>402.12121212121212</v>
      </c>
    </row>
    <row r="17" spans="1:23" x14ac:dyDescent="0.3">
      <c r="A17" s="1" t="s">
        <v>112</v>
      </c>
      <c r="B17" s="1" t="s">
        <v>113</v>
      </c>
      <c r="C17" s="1" t="s">
        <v>46</v>
      </c>
      <c r="D17" s="1" t="s">
        <v>28</v>
      </c>
      <c r="E17" s="1">
        <v>2023</v>
      </c>
      <c r="F17" s="1" t="s">
        <v>83</v>
      </c>
      <c r="G17" s="1" t="s">
        <v>114</v>
      </c>
      <c r="H17" s="1">
        <v>38</v>
      </c>
      <c r="I17" s="1" t="s">
        <v>110</v>
      </c>
      <c r="J17" s="1">
        <v>6.5</v>
      </c>
      <c r="K17" s="1">
        <v>289.3</v>
      </c>
      <c r="L17" s="1" t="s">
        <v>90</v>
      </c>
      <c r="M17" s="1" t="s">
        <v>72</v>
      </c>
      <c r="N17" s="1" t="s">
        <v>55</v>
      </c>
      <c r="O17" s="1">
        <v>6</v>
      </c>
      <c r="P17" s="1">
        <v>55</v>
      </c>
      <c r="Q17" s="1">
        <v>323.10000000000002</v>
      </c>
      <c r="R17" s="8" t="str">
        <f>_xlfn.IFS(J17&gt;=8,"Hit",J17&gt;=6,"Average",J17&lt;6,"Flop")</f>
        <v>Average</v>
      </c>
      <c r="S17" s="9" t="str">
        <f>_xlfn.IFS(K17&gt;=400,"Blockbuster",K17&gt;=200,"Popular",K17&lt;200,"Normal")</f>
        <v>Popular</v>
      </c>
      <c r="T17" s="10" t="str">
        <f>IF(OR(I17="PG",I17="G"),"Yes","No")</f>
        <v>No</v>
      </c>
      <c r="U17" s="11" t="str">
        <f>IF(P17&gt;=100,"High","Low")</f>
        <v>Low</v>
      </c>
      <c r="V17" s="28">
        <f t="shared" si="0"/>
        <v>268.10000000000002</v>
      </c>
      <c r="W17" s="29">
        <f t="shared" si="1"/>
        <v>587.4545454545455</v>
      </c>
    </row>
    <row r="18" spans="1:23" x14ac:dyDescent="0.3">
      <c r="A18" s="1" t="s">
        <v>115</v>
      </c>
      <c r="B18" s="1" t="s">
        <v>116</v>
      </c>
      <c r="C18" s="1" t="s">
        <v>18</v>
      </c>
      <c r="D18" s="1" t="s">
        <v>117</v>
      </c>
      <c r="E18" s="1">
        <v>2016</v>
      </c>
      <c r="F18" s="1" t="s">
        <v>83</v>
      </c>
      <c r="G18" s="1" t="s">
        <v>118</v>
      </c>
      <c r="H18" s="1">
        <v>158</v>
      </c>
      <c r="I18" s="1" t="s">
        <v>110</v>
      </c>
      <c r="J18" s="1">
        <v>6</v>
      </c>
      <c r="K18" s="1">
        <v>131.30000000000001</v>
      </c>
      <c r="L18" s="1" t="s">
        <v>90</v>
      </c>
      <c r="M18" s="1" t="s">
        <v>24</v>
      </c>
      <c r="N18" s="1" t="s">
        <v>119</v>
      </c>
      <c r="O18" s="1"/>
      <c r="P18" s="1">
        <v>83</v>
      </c>
      <c r="Q18" s="1">
        <v>176.8</v>
      </c>
      <c r="R18" s="8" t="str">
        <f>_xlfn.IFS(J18&gt;=8,"Hit",J18&gt;=6,"Average",J18&lt;6,"Flop")</f>
        <v>Average</v>
      </c>
      <c r="S18" s="9" t="str">
        <f>_xlfn.IFS(K18&gt;=400,"Blockbuster",K18&gt;=200,"Popular",K18&lt;200,"Normal")</f>
        <v>Normal</v>
      </c>
      <c r="T18" s="10" t="str">
        <f>IF(OR(I18="PG",I18="G"),"Yes","No")</f>
        <v>No</v>
      </c>
      <c r="U18" s="11" t="str">
        <f>IF(P18&gt;=100,"High","Low")</f>
        <v>Low</v>
      </c>
      <c r="V18" s="28">
        <f t="shared" si="0"/>
        <v>93.800000000000011</v>
      </c>
      <c r="W18" s="29">
        <f t="shared" si="1"/>
        <v>213.01204819277109</v>
      </c>
    </row>
    <row r="19" spans="1:23" x14ac:dyDescent="0.3">
      <c r="A19" s="1" t="s">
        <v>120</v>
      </c>
      <c r="B19" s="1" t="s">
        <v>121</v>
      </c>
      <c r="C19" s="1" t="s">
        <v>18</v>
      </c>
      <c r="D19" s="1" t="s">
        <v>47</v>
      </c>
      <c r="E19" s="1">
        <v>2017</v>
      </c>
      <c r="F19" s="1" t="s">
        <v>122</v>
      </c>
      <c r="G19" s="1" t="s">
        <v>123</v>
      </c>
      <c r="H19" s="1">
        <v>115</v>
      </c>
      <c r="I19" s="1" t="s">
        <v>110</v>
      </c>
      <c r="J19" s="1">
        <v>5.6</v>
      </c>
      <c r="K19" s="1">
        <v>332.9</v>
      </c>
      <c r="L19" s="1" t="s">
        <v>71</v>
      </c>
      <c r="M19" s="1" t="s">
        <v>124</v>
      </c>
      <c r="N19" s="1" t="s">
        <v>43</v>
      </c>
      <c r="O19" s="1"/>
      <c r="P19" s="1">
        <v>171</v>
      </c>
      <c r="Q19" s="1">
        <v>809.6</v>
      </c>
      <c r="R19" s="8" t="str">
        <f>_xlfn.IFS(J19&gt;=8,"Hit",J19&gt;=6,"Average",J19&lt;6,"Flop")</f>
        <v>Flop</v>
      </c>
      <c r="S19" s="9" t="str">
        <f>_xlfn.IFS(K19&gt;=400,"Blockbuster",K19&gt;=200,"Popular",K19&lt;200,"Normal")</f>
        <v>Popular</v>
      </c>
      <c r="T19" s="10" t="str">
        <f>IF(OR(I19="PG",I19="G"),"Yes","No")</f>
        <v>No</v>
      </c>
      <c r="U19" s="11" t="str">
        <f>IF(P19&gt;=100,"High","Low")</f>
        <v>High</v>
      </c>
      <c r="V19" s="28">
        <f t="shared" si="0"/>
        <v>638.6</v>
      </c>
      <c r="W19" s="29">
        <f t="shared" si="1"/>
        <v>473.4502923976608</v>
      </c>
    </row>
    <row r="20" spans="1:23" x14ac:dyDescent="0.3">
      <c r="A20" s="1" t="s">
        <v>125</v>
      </c>
      <c r="B20" s="1" t="s">
        <v>126</v>
      </c>
      <c r="C20" s="1" t="s">
        <v>18</v>
      </c>
      <c r="D20" s="1" t="s">
        <v>94</v>
      </c>
      <c r="E20" s="1">
        <v>2011</v>
      </c>
      <c r="F20" s="1" t="s">
        <v>95</v>
      </c>
      <c r="G20" s="1" t="s">
        <v>127</v>
      </c>
      <c r="H20" s="1">
        <v>113</v>
      </c>
      <c r="I20" s="1" t="s">
        <v>31</v>
      </c>
      <c r="J20" s="1">
        <v>7.5</v>
      </c>
      <c r="K20" s="1">
        <v>242.6</v>
      </c>
      <c r="L20" s="1" t="s">
        <v>41</v>
      </c>
      <c r="M20" s="1" t="s">
        <v>85</v>
      </c>
      <c r="N20" s="1" t="s">
        <v>128</v>
      </c>
      <c r="O20" s="1"/>
      <c r="P20" s="1">
        <v>58</v>
      </c>
      <c r="Q20" s="1">
        <v>155</v>
      </c>
      <c r="R20" s="8" t="str">
        <f>_xlfn.IFS(J20&gt;=8,"Hit",J20&gt;=6,"Average",J20&lt;6,"Flop")</f>
        <v>Average</v>
      </c>
      <c r="S20" s="9" t="str">
        <f>_xlfn.IFS(K20&gt;=400,"Blockbuster",K20&gt;=200,"Popular",K20&lt;200,"Normal")</f>
        <v>Popular</v>
      </c>
      <c r="T20" s="10" t="str">
        <f>IF(OR(I20="PG",I20="G"),"Yes","No")</f>
        <v>No</v>
      </c>
      <c r="U20" s="11" t="str">
        <f>IF(P20&gt;=100,"High","Low")</f>
        <v>Low</v>
      </c>
      <c r="V20" s="28">
        <f t="shared" si="0"/>
        <v>97</v>
      </c>
      <c r="W20" s="29">
        <f t="shared" si="1"/>
        <v>267.24137931034483</v>
      </c>
    </row>
    <row r="21" spans="1:23" x14ac:dyDescent="0.3">
      <c r="A21" s="1" t="s">
        <v>129</v>
      </c>
      <c r="B21" s="1" t="s">
        <v>130</v>
      </c>
      <c r="C21" s="1" t="s">
        <v>18</v>
      </c>
      <c r="D21" s="1" t="s">
        <v>37</v>
      </c>
      <c r="E21" s="1">
        <v>2015</v>
      </c>
      <c r="F21" s="1" t="s">
        <v>38</v>
      </c>
      <c r="G21" s="1" t="s">
        <v>131</v>
      </c>
      <c r="H21" s="1">
        <v>154</v>
      </c>
      <c r="I21" s="1" t="s">
        <v>40</v>
      </c>
      <c r="J21" s="1">
        <v>6.9</v>
      </c>
      <c r="K21" s="1">
        <v>83.4</v>
      </c>
      <c r="L21" s="1" t="s">
        <v>23</v>
      </c>
      <c r="M21" s="1" t="s">
        <v>132</v>
      </c>
      <c r="N21" s="1" t="s">
        <v>25</v>
      </c>
      <c r="O21" s="1"/>
      <c r="P21" s="1">
        <v>175</v>
      </c>
      <c r="Q21" s="1">
        <v>428.2</v>
      </c>
      <c r="R21" s="8" t="str">
        <f>_xlfn.IFS(J21&gt;=8,"Hit",J21&gt;=6,"Average",J21&lt;6,"Flop")</f>
        <v>Average</v>
      </c>
      <c r="S21" s="9" t="str">
        <f>_xlfn.IFS(K21&gt;=400,"Blockbuster",K21&gt;=200,"Popular",K21&lt;200,"Normal")</f>
        <v>Normal</v>
      </c>
      <c r="T21" s="10" t="str">
        <f>IF(OR(I21="PG",I21="G"),"Yes","No")</f>
        <v>Yes</v>
      </c>
      <c r="U21" s="11" t="str">
        <f>IF(P21&gt;=100,"High","Low")</f>
        <v>High</v>
      </c>
      <c r="V21" s="28">
        <f t="shared" si="0"/>
        <v>253.2</v>
      </c>
      <c r="W21" s="29">
        <f t="shared" si="1"/>
        <v>244.68571428571425</v>
      </c>
    </row>
    <row r="22" spans="1:23" x14ac:dyDescent="0.3">
      <c r="A22" s="1" t="s">
        <v>133</v>
      </c>
      <c r="B22" s="1" t="s">
        <v>134</v>
      </c>
      <c r="C22" s="1" t="s">
        <v>46</v>
      </c>
      <c r="D22" s="1" t="s">
        <v>28</v>
      </c>
      <c r="E22" s="1">
        <v>2009</v>
      </c>
      <c r="F22" s="1" t="s">
        <v>83</v>
      </c>
      <c r="G22" s="1" t="s">
        <v>135</v>
      </c>
      <c r="H22" s="1">
        <v>35</v>
      </c>
      <c r="I22" s="1" t="s">
        <v>40</v>
      </c>
      <c r="J22" s="1">
        <v>9.3000000000000007</v>
      </c>
      <c r="K22" s="1">
        <v>587.79999999999995</v>
      </c>
      <c r="L22" s="1" t="s">
        <v>71</v>
      </c>
      <c r="M22" s="1" t="s">
        <v>85</v>
      </c>
      <c r="N22" s="1" t="s">
        <v>79</v>
      </c>
      <c r="O22" s="1">
        <v>5</v>
      </c>
      <c r="P22" s="1">
        <v>47</v>
      </c>
      <c r="Q22" s="1">
        <v>76.8</v>
      </c>
      <c r="R22" s="8" t="str">
        <f>_xlfn.IFS(J22&gt;=8,"Hit",J22&gt;=6,"Average",J22&lt;6,"Flop")</f>
        <v>Hit</v>
      </c>
      <c r="S22" s="9" t="str">
        <f>_xlfn.IFS(K22&gt;=400,"Blockbuster",K22&gt;=200,"Popular",K22&lt;200,"Normal")</f>
        <v>Blockbuster</v>
      </c>
      <c r="T22" s="10" t="str">
        <f>IF(OR(I22="PG",I22="G"),"Yes","No")</f>
        <v>Yes</v>
      </c>
      <c r="U22" s="11" t="str">
        <f>IF(P22&gt;=100,"High","Low")</f>
        <v>Low</v>
      </c>
      <c r="V22" s="28">
        <f t="shared" si="0"/>
        <v>29.799999999999997</v>
      </c>
      <c r="W22" s="29">
        <f t="shared" si="1"/>
        <v>163.40425531914892</v>
      </c>
    </row>
    <row r="23" spans="1:23" x14ac:dyDescent="0.3">
      <c r="A23" s="1" t="s">
        <v>136</v>
      </c>
      <c r="B23" s="1" t="s">
        <v>137</v>
      </c>
      <c r="C23" s="1" t="s">
        <v>18</v>
      </c>
      <c r="D23" s="1" t="s">
        <v>47</v>
      </c>
      <c r="E23" s="1">
        <v>2010</v>
      </c>
      <c r="F23" s="1" t="s">
        <v>20</v>
      </c>
      <c r="G23" s="1" t="s">
        <v>138</v>
      </c>
      <c r="H23" s="1">
        <v>125</v>
      </c>
      <c r="I23" s="1" t="s">
        <v>50</v>
      </c>
      <c r="J23" s="1">
        <v>5.6</v>
      </c>
      <c r="K23" s="1">
        <v>271</v>
      </c>
      <c r="L23" s="1" t="s">
        <v>23</v>
      </c>
      <c r="M23" s="1" t="s">
        <v>132</v>
      </c>
      <c r="N23" s="1" t="s">
        <v>86</v>
      </c>
      <c r="O23" s="1"/>
      <c r="P23" s="1">
        <v>104</v>
      </c>
      <c r="Q23" s="1">
        <v>318.60000000000002</v>
      </c>
      <c r="R23" s="8" t="str">
        <f>_xlfn.IFS(J23&gt;=8,"Hit",J23&gt;=6,"Average",J23&lt;6,"Flop")</f>
        <v>Flop</v>
      </c>
      <c r="S23" s="9" t="str">
        <f>_xlfn.IFS(K23&gt;=400,"Blockbuster",K23&gt;=200,"Popular",K23&lt;200,"Normal")</f>
        <v>Popular</v>
      </c>
      <c r="T23" s="10" t="str">
        <f>IF(OR(I23="PG",I23="G"),"Yes","No")</f>
        <v>Yes</v>
      </c>
      <c r="U23" s="11" t="str">
        <f>IF(P23&gt;=100,"High","Low")</f>
        <v>High</v>
      </c>
      <c r="V23" s="28">
        <f t="shared" si="0"/>
        <v>214.60000000000002</v>
      </c>
      <c r="W23" s="29">
        <f t="shared" si="1"/>
        <v>306.34615384615387</v>
      </c>
    </row>
    <row r="24" spans="1:23" x14ac:dyDescent="0.3">
      <c r="A24" s="1" t="s">
        <v>139</v>
      </c>
      <c r="B24" s="1" t="s">
        <v>140</v>
      </c>
      <c r="C24" s="1" t="s">
        <v>18</v>
      </c>
      <c r="D24" s="1" t="s">
        <v>141</v>
      </c>
      <c r="E24" s="1">
        <v>2009</v>
      </c>
      <c r="F24" s="1" t="s">
        <v>20</v>
      </c>
      <c r="G24" s="1" t="s">
        <v>142</v>
      </c>
      <c r="H24" s="1">
        <v>119</v>
      </c>
      <c r="I24" s="1" t="s">
        <v>22</v>
      </c>
      <c r="J24" s="1">
        <v>4.8</v>
      </c>
      <c r="K24" s="1">
        <v>511.1</v>
      </c>
      <c r="L24" s="1" t="s">
        <v>65</v>
      </c>
      <c r="M24" s="1" t="s">
        <v>66</v>
      </c>
      <c r="N24" s="1" t="s">
        <v>86</v>
      </c>
      <c r="O24" s="1"/>
      <c r="P24" s="1">
        <v>64</v>
      </c>
      <c r="Q24" s="1">
        <v>97.1</v>
      </c>
      <c r="R24" s="8" t="str">
        <f>_xlfn.IFS(J24&gt;=8,"Hit",J24&gt;=6,"Average",J24&lt;6,"Flop")</f>
        <v>Flop</v>
      </c>
      <c r="S24" s="9" t="str">
        <f>_xlfn.IFS(K24&gt;=400,"Blockbuster",K24&gt;=200,"Popular",K24&lt;200,"Normal")</f>
        <v>Blockbuster</v>
      </c>
      <c r="T24" s="10" t="str">
        <f>IF(OR(I24="PG",I24="G"),"Yes","No")</f>
        <v>No</v>
      </c>
      <c r="U24" s="11" t="str">
        <f>IF(P24&gt;=100,"High","Low")</f>
        <v>Low</v>
      </c>
      <c r="V24" s="28">
        <f t="shared" si="0"/>
        <v>33.099999999999994</v>
      </c>
      <c r="W24" s="29">
        <f t="shared" si="1"/>
        <v>151.71875</v>
      </c>
    </row>
    <row r="25" spans="1:23" x14ac:dyDescent="0.3">
      <c r="A25" s="1" t="s">
        <v>143</v>
      </c>
      <c r="B25" s="1" t="s">
        <v>144</v>
      </c>
      <c r="C25" s="1" t="s">
        <v>18</v>
      </c>
      <c r="D25" s="1" t="s">
        <v>28</v>
      </c>
      <c r="E25" s="1">
        <v>2007</v>
      </c>
      <c r="F25" s="1" t="s">
        <v>95</v>
      </c>
      <c r="G25" s="1" t="s">
        <v>145</v>
      </c>
      <c r="H25" s="1">
        <v>135</v>
      </c>
      <c r="I25" s="1" t="s">
        <v>40</v>
      </c>
      <c r="J25" s="1">
        <v>6.1</v>
      </c>
      <c r="K25" s="1">
        <v>555.70000000000005</v>
      </c>
      <c r="L25" s="1" t="s">
        <v>41</v>
      </c>
      <c r="M25" s="1" t="s">
        <v>146</v>
      </c>
      <c r="N25" s="1" t="s">
        <v>91</v>
      </c>
      <c r="O25" s="1"/>
      <c r="P25" s="1">
        <v>122</v>
      </c>
      <c r="Q25" s="1">
        <v>615.70000000000005</v>
      </c>
      <c r="R25" s="8" t="str">
        <f>_xlfn.IFS(J25&gt;=8,"Hit",J25&gt;=6,"Average",J25&lt;6,"Flop")</f>
        <v>Average</v>
      </c>
      <c r="S25" s="9" t="str">
        <f>_xlfn.IFS(K25&gt;=400,"Blockbuster",K25&gt;=200,"Popular",K25&lt;200,"Normal")</f>
        <v>Blockbuster</v>
      </c>
      <c r="T25" s="10" t="str">
        <f>IF(OR(I25="PG",I25="G"),"Yes","No")</f>
        <v>Yes</v>
      </c>
      <c r="U25" s="11" t="str">
        <f>IF(P25&gt;=100,"High","Low")</f>
        <v>High</v>
      </c>
      <c r="V25" s="28">
        <f t="shared" si="0"/>
        <v>493.70000000000005</v>
      </c>
      <c r="W25" s="29">
        <f t="shared" si="1"/>
        <v>504.67213114754105</v>
      </c>
    </row>
    <row r="26" spans="1:23" x14ac:dyDescent="0.3">
      <c r="A26" s="1" t="s">
        <v>147</v>
      </c>
      <c r="B26" s="1" t="s">
        <v>148</v>
      </c>
      <c r="C26" s="1" t="s">
        <v>18</v>
      </c>
      <c r="D26" s="1" t="s">
        <v>58</v>
      </c>
      <c r="E26" s="1">
        <v>2013</v>
      </c>
      <c r="F26" s="1" t="s">
        <v>95</v>
      </c>
      <c r="G26" s="1" t="s">
        <v>149</v>
      </c>
      <c r="H26" s="1">
        <v>101</v>
      </c>
      <c r="I26" s="1" t="s">
        <v>22</v>
      </c>
      <c r="J26" s="1">
        <v>7.5</v>
      </c>
      <c r="K26" s="1">
        <v>475.5</v>
      </c>
      <c r="L26" s="1" t="s">
        <v>65</v>
      </c>
      <c r="M26" s="1" t="s">
        <v>132</v>
      </c>
      <c r="N26" s="1" t="s">
        <v>34</v>
      </c>
      <c r="O26" s="1"/>
      <c r="P26" s="1">
        <v>39</v>
      </c>
      <c r="Q26" s="1">
        <v>175.3</v>
      </c>
      <c r="R26" s="8" t="str">
        <f>_xlfn.IFS(J26&gt;=8,"Hit",J26&gt;=6,"Average",J26&lt;6,"Flop")</f>
        <v>Average</v>
      </c>
      <c r="S26" s="9" t="str">
        <f>_xlfn.IFS(K26&gt;=400,"Blockbuster",K26&gt;=200,"Popular",K26&lt;200,"Normal")</f>
        <v>Blockbuster</v>
      </c>
      <c r="T26" s="10" t="str">
        <f>IF(OR(I26="PG",I26="G"),"Yes","No")</f>
        <v>No</v>
      </c>
      <c r="U26" s="11" t="str">
        <f>IF(P26&gt;=100,"High","Low")</f>
        <v>Low</v>
      </c>
      <c r="V26" s="28">
        <f t="shared" si="0"/>
        <v>136.30000000000001</v>
      </c>
      <c r="W26" s="29">
        <f t="shared" si="1"/>
        <v>449.4871794871795</v>
      </c>
    </row>
    <row r="27" spans="1:23" x14ac:dyDescent="0.3">
      <c r="A27" s="1" t="s">
        <v>150</v>
      </c>
      <c r="B27" s="1" t="s">
        <v>151</v>
      </c>
      <c r="C27" s="1" t="s">
        <v>46</v>
      </c>
      <c r="D27" s="1" t="s">
        <v>58</v>
      </c>
      <c r="E27" s="1">
        <v>2010</v>
      </c>
      <c r="F27" s="1" t="s">
        <v>29</v>
      </c>
      <c r="G27" s="1" t="s">
        <v>152</v>
      </c>
      <c r="H27" s="1">
        <v>53</v>
      </c>
      <c r="I27" s="1" t="s">
        <v>40</v>
      </c>
      <c r="J27" s="1">
        <v>9.1</v>
      </c>
      <c r="K27" s="1">
        <v>165</v>
      </c>
      <c r="L27" s="1" t="s">
        <v>41</v>
      </c>
      <c r="M27" s="1" t="s">
        <v>72</v>
      </c>
      <c r="N27" s="1" t="s">
        <v>153</v>
      </c>
      <c r="O27" s="1">
        <v>8</v>
      </c>
      <c r="P27" s="1">
        <v>169</v>
      </c>
      <c r="Q27" s="1">
        <v>1000.7</v>
      </c>
      <c r="R27" s="8" t="str">
        <f>_xlfn.IFS(J27&gt;=8,"Hit",J27&gt;=6,"Average",J27&lt;6,"Flop")</f>
        <v>Hit</v>
      </c>
      <c r="S27" s="9" t="str">
        <f>_xlfn.IFS(K27&gt;=400,"Blockbuster",K27&gt;=200,"Popular",K27&lt;200,"Normal")</f>
        <v>Normal</v>
      </c>
      <c r="T27" s="10" t="str">
        <f>IF(OR(I27="PG",I27="G"),"Yes","No")</f>
        <v>Yes</v>
      </c>
      <c r="U27" s="11" t="str">
        <f>IF(P27&gt;=100,"High","Low")</f>
        <v>High</v>
      </c>
      <c r="V27" s="28">
        <f t="shared" si="0"/>
        <v>831.7</v>
      </c>
      <c r="W27" s="29">
        <f t="shared" si="1"/>
        <v>592.13017751479299</v>
      </c>
    </row>
    <row r="28" spans="1:23" x14ac:dyDescent="0.3">
      <c r="A28" s="1" t="s">
        <v>154</v>
      </c>
      <c r="B28" s="1" t="s">
        <v>155</v>
      </c>
      <c r="C28" s="1" t="s">
        <v>18</v>
      </c>
      <c r="D28" s="1" t="s">
        <v>117</v>
      </c>
      <c r="E28" s="1">
        <v>2024</v>
      </c>
      <c r="F28" s="1" t="s">
        <v>122</v>
      </c>
      <c r="G28" s="1" t="s">
        <v>156</v>
      </c>
      <c r="H28" s="1">
        <v>115</v>
      </c>
      <c r="I28" s="1" t="s">
        <v>22</v>
      </c>
      <c r="J28" s="1">
        <v>8.4</v>
      </c>
      <c r="K28" s="1">
        <v>196.7</v>
      </c>
      <c r="L28" s="1" t="s">
        <v>32</v>
      </c>
      <c r="M28" s="1" t="s">
        <v>157</v>
      </c>
      <c r="N28" s="1" t="s">
        <v>158</v>
      </c>
      <c r="O28" s="1"/>
      <c r="P28" s="1">
        <v>137</v>
      </c>
      <c r="Q28" s="1">
        <v>496.6</v>
      </c>
      <c r="R28" s="8" t="str">
        <f>_xlfn.IFS(J28&gt;=8,"Hit",J28&gt;=6,"Average",J28&lt;6,"Flop")</f>
        <v>Hit</v>
      </c>
      <c r="S28" s="9" t="str">
        <f>_xlfn.IFS(K28&gt;=400,"Blockbuster",K28&gt;=200,"Popular",K28&lt;200,"Normal")</f>
        <v>Normal</v>
      </c>
      <c r="T28" s="10" t="str">
        <f>IF(OR(I28="PG",I28="G"),"Yes","No")</f>
        <v>No</v>
      </c>
      <c r="U28" s="11" t="str">
        <f>IF(P28&gt;=100,"High","Low")</f>
        <v>High</v>
      </c>
      <c r="V28" s="28">
        <f t="shared" si="0"/>
        <v>359.6</v>
      </c>
      <c r="W28" s="29">
        <f t="shared" si="1"/>
        <v>362.48175182481754</v>
      </c>
    </row>
    <row r="29" spans="1:23" x14ac:dyDescent="0.3">
      <c r="A29" s="1" t="s">
        <v>159</v>
      </c>
      <c r="B29" s="1" t="s">
        <v>160</v>
      </c>
      <c r="C29" s="1" t="s">
        <v>18</v>
      </c>
      <c r="D29" s="1" t="s">
        <v>82</v>
      </c>
      <c r="E29" s="1">
        <v>2019</v>
      </c>
      <c r="F29" s="1" t="s">
        <v>48</v>
      </c>
      <c r="G29" s="1" t="s">
        <v>161</v>
      </c>
      <c r="H29" s="1">
        <v>158</v>
      </c>
      <c r="I29" s="1" t="s">
        <v>31</v>
      </c>
      <c r="J29" s="1">
        <v>9.3000000000000007</v>
      </c>
      <c r="K29" s="1">
        <v>86.5</v>
      </c>
      <c r="L29" s="1" t="s">
        <v>41</v>
      </c>
      <c r="M29" s="1" t="s">
        <v>54</v>
      </c>
      <c r="N29" s="1" t="s">
        <v>60</v>
      </c>
      <c r="O29" s="1"/>
      <c r="P29" s="1">
        <v>89</v>
      </c>
      <c r="Q29" s="1">
        <v>255</v>
      </c>
      <c r="R29" s="8" t="str">
        <f>_xlfn.IFS(J29&gt;=8,"Hit",J29&gt;=6,"Average",J29&lt;6,"Flop")</f>
        <v>Hit</v>
      </c>
      <c r="S29" s="9" t="str">
        <f>_xlfn.IFS(K29&gt;=400,"Blockbuster",K29&gt;=200,"Popular",K29&lt;200,"Normal")</f>
        <v>Normal</v>
      </c>
      <c r="T29" s="10" t="str">
        <f>IF(OR(I29="PG",I29="G"),"Yes","No")</f>
        <v>No</v>
      </c>
      <c r="U29" s="11" t="str">
        <f>IF(P29&gt;=100,"High","Low")</f>
        <v>Low</v>
      </c>
      <c r="V29" s="28">
        <f t="shared" si="0"/>
        <v>166</v>
      </c>
      <c r="W29" s="29">
        <f t="shared" si="1"/>
        <v>286.5168539325843</v>
      </c>
    </row>
    <row r="30" spans="1:23" x14ac:dyDescent="0.3">
      <c r="A30" s="1" t="s">
        <v>162</v>
      </c>
      <c r="B30" s="1" t="s">
        <v>163</v>
      </c>
      <c r="C30" s="1" t="s">
        <v>18</v>
      </c>
      <c r="D30" s="1" t="s">
        <v>63</v>
      </c>
      <c r="E30" s="1">
        <v>2022</v>
      </c>
      <c r="F30" s="1" t="s">
        <v>122</v>
      </c>
      <c r="G30" s="1" t="s">
        <v>164</v>
      </c>
      <c r="H30" s="1">
        <v>164</v>
      </c>
      <c r="I30" s="1" t="s">
        <v>50</v>
      </c>
      <c r="J30" s="1">
        <v>9.6</v>
      </c>
      <c r="K30" s="1">
        <v>368.6</v>
      </c>
      <c r="L30" s="1" t="s">
        <v>65</v>
      </c>
      <c r="M30" s="1" t="s">
        <v>111</v>
      </c>
      <c r="N30" s="1" t="s">
        <v>60</v>
      </c>
      <c r="O30" s="1"/>
      <c r="P30" s="1">
        <v>48</v>
      </c>
      <c r="Q30" s="1">
        <v>88.3</v>
      </c>
      <c r="R30" s="8" t="str">
        <f>_xlfn.IFS(J30&gt;=8,"Hit",J30&gt;=6,"Average",J30&lt;6,"Flop")</f>
        <v>Hit</v>
      </c>
      <c r="S30" s="9" t="str">
        <f>_xlfn.IFS(K30&gt;=400,"Blockbuster",K30&gt;=200,"Popular",K30&lt;200,"Normal")</f>
        <v>Popular</v>
      </c>
      <c r="T30" s="10" t="str">
        <f>IF(OR(I30="PG",I30="G"),"Yes","No")</f>
        <v>Yes</v>
      </c>
      <c r="U30" s="11" t="str">
        <f>IF(P30&gt;=100,"High","Low")</f>
        <v>Low</v>
      </c>
      <c r="V30" s="28">
        <f t="shared" si="0"/>
        <v>40.299999999999997</v>
      </c>
      <c r="W30" s="29">
        <f t="shared" si="1"/>
        <v>183.95833333333334</v>
      </c>
    </row>
    <row r="31" spans="1:23" x14ac:dyDescent="0.3">
      <c r="A31" s="1" t="s">
        <v>165</v>
      </c>
      <c r="B31" s="1" t="s">
        <v>166</v>
      </c>
      <c r="C31" s="1" t="s">
        <v>18</v>
      </c>
      <c r="D31" s="1" t="s">
        <v>117</v>
      </c>
      <c r="E31" s="1">
        <v>2021</v>
      </c>
      <c r="F31" s="1" t="s">
        <v>20</v>
      </c>
      <c r="G31" s="1" t="s">
        <v>167</v>
      </c>
      <c r="H31" s="1">
        <v>84</v>
      </c>
      <c r="I31" s="1" t="s">
        <v>40</v>
      </c>
      <c r="J31" s="1">
        <v>9</v>
      </c>
      <c r="K31" s="1">
        <v>234.7</v>
      </c>
      <c r="L31" s="1" t="s">
        <v>90</v>
      </c>
      <c r="M31" s="1" t="s">
        <v>132</v>
      </c>
      <c r="N31" s="1" t="s">
        <v>79</v>
      </c>
      <c r="O31" s="1"/>
      <c r="P31" s="1">
        <v>83</v>
      </c>
      <c r="Q31" s="1">
        <v>369.5</v>
      </c>
      <c r="R31" s="8" t="str">
        <f>_xlfn.IFS(J31&gt;=8,"Hit",J31&gt;=6,"Average",J31&lt;6,"Flop")</f>
        <v>Hit</v>
      </c>
      <c r="S31" s="9" t="str">
        <f>_xlfn.IFS(K31&gt;=400,"Blockbuster",K31&gt;=200,"Popular",K31&lt;200,"Normal")</f>
        <v>Popular</v>
      </c>
      <c r="T31" s="10" t="str">
        <f>IF(OR(I31="PG",I31="G"),"Yes","No")</f>
        <v>Yes</v>
      </c>
      <c r="U31" s="11" t="str">
        <f>IF(P31&gt;=100,"High","Low")</f>
        <v>Low</v>
      </c>
      <c r="V31" s="28">
        <f t="shared" si="0"/>
        <v>286.5</v>
      </c>
      <c r="W31" s="29">
        <f t="shared" si="1"/>
        <v>445.18072289156629</v>
      </c>
    </row>
    <row r="32" spans="1:23" x14ac:dyDescent="0.3">
      <c r="A32" s="1" t="s">
        <v>168</v>
      </c>
      <c r="B32" s="1" t="s">
        <v>169</v>
      </c>
      <c r="C32" s="1" t="s">
        <v>46</v>
      </c>
      <c r="D32" s="1" t="s">
        <v>63</v>
      </c>
      <c r="E32" s="1">
        <v>2006</v>
      </c>
      <c r="F32" s="1" t="s">
        <v>122</v>
      </c>
      <c r="G32" s="1" t="s">
        <v>170</v>
      </c>
      <c r="H32" s="1">
        <v>41</v>
      </c>
      <c r="I32" s="1" t="s">
        <v>50</v>
      </c>
      <c r="J32" s="1">
        <v>8.4</v>
      </c>
      <c r="K32" s="1">
        <v>210.1</v>
      </c>
      <c r="L32" s="1" t="s">
        <v>171</v>
      </c>
      <c r="M32" s="1" t="s">
        <v>132</v>
      </c>
      <c r="N32" s="1" t="s">
        <v>119</v>
      </c>
      <c r="O32" s="1">
        <v>2</v>
      </c>
      <c r="P32" s="1">
        <v>194</v>
      </c>
      <c r="Q32" s="1">
        <v>658.4</v>
      </c>
      <c r="R32" s="8" t="str">
        <f>_xlfn.IFS(J32&gt;=8,"Hit",J32&gt;=6,"Average",J32&lt;6,"Flop")</f>
        <v>Hit</v>
      </c>
      <c r="S32" s="9" t="str">
        <f>_xlfn.IFS(K32&gt;=400,"Blockbuster",K32&gt;=200,"Popular",K32&lt;200,"Normal")</f>
        <v>Popular</v>
      </c>
      <c r="T32" s="10" t="str">
        <f>IF(OR(I32="PG",I32="G"),"Yes","No")</f>
        <v>Yes</v>
      </c>
      <c r="U32" s="11" t="str">
        <f>IF(P32&gt;=100,"High","Low")</f>
        <v>High</v>
      </c>
      <c r="V32" s="28">
        <f t="shared" si="0"/>
        <v>464.4</v>
      </c>
      <c r="W32" s="29">
        <f t="shared" si="1"/>
        <v>339.38144329896909</v>
      </c>
    </row>
    <row r="33" spans="1:23" x14ac:dyDescent="0.3">
      <c r="A33" s="1" t="s">
        <v>172</v>
      </c>
      <c r="B33" s="1" t="s">
        <v>173</v>
      </c>
      <c r="C33" s="1" t="s">
        <v>18</v>
      </c>
      <c r="D33" s="1" t="s">
        <v>63</v>
      </c>
      <c r="E33" s="1">
        <v>2017</v>
      </c>
      <c r="F33" s="1" t="s">
        <v>20</v>
      </c>
      <c r="G33" s="1" t="s">
        <v>174</v>
      </c>
      <c r="H33" s="1">
        <v>152</v>
      </c>
      <c r="I33" s="1" t="s">
        <v>31</v>
      </c>
      <c r="J33" s="1">
        <v>8.6</v>
      </c>
      <c r="K33" s="1">
        <v>584.79999999999995</v>
      </c>
      <c r="L33" s="1" t="s">
        <v>32</v>
      </c>
      <c r="M33" s="1" t="s">
        <v>97</v>
      </c>
      <c r="N33" s="1" t="s">
        <v>34</v>
      </c>
      <c r="O33" s="1"/>
      <c r="P33" s="1">
        <v>134</v>
      </c>
      <c r="Q33" s="1">
        <v>583.20000000000005</v>
      </c>
      <c r="R33" s="8" t="str">
        <f>_xlfn.IFS(J33&gt;=8,"Hit",J33&gt;=6,"Average",J33&lt;6,"Flop")</f>
        <v>Hit</v>
      </c>
      <c r="S33" s="9" t="str">
        <f>_xlfn.IFS(K33&gt;=400,"Blockbuster",K33&gt;=200,"Popular",K33&lt;200,"Normal")</f>
        <v>Blockbuster</v>
      </c>
      <c r="T33" s="10" t="str">
        <f>IF(OR(I33="PG",I33="G"),"Yes","No")</f>
        <v>No</v>
      </c>
      <c r="U33" s="11" t="str">
        <f>IF(P33&gt;=100,"High","Low")</f>
        <v>High</v>
      </c>
      <c r="V33" s="28">
        <f t="shared" si="0"/>
        <v>449.20000000000005</v>
      </c>
      <c r="W33" s="29">
        <f t="shared" si="1"/>
        <v>435.22388059701501</v>
      </c>
    </row>
    <row r="34" spans="1:23" x14ac:dyDescent="0.3">
      <c r="A34" s="1" t="s">
        <v>175</v>
      </c>
      <c r="B34" s="1" t="s">
        <v>176</v>
      </c>
      <c r="C34" s="1" t="s">
        <v>18</v>
      </c>
      <c r="D34" s="1" t="s">
        <v>141</v>
      </c>
      <c r="E34" s="1">
        <v>2011</v>
      </c>
      <c r="F34" s="1" t="s">
        <v>48</v>
      </c>
      <c r="G34" s="1" t="s">
        <v>177</v>
      </c>
      <c r="H34" s="1">
        <v>145</v>
      </c>
      <c r="I34" s="1" t="s">
        <v>40</v>
      </c>
      <c r="J34" s="1">
        <v>6.5</v>
      </c>
      <c r="K34" s="1">
        <v>539.79999999999995</v>
      </c>
      <c r="L34" s="1" t="s">
        <v>32</v>
      </c>
      <c r="M34" s="1" t="s">
        <v>124</v>
      </c>
      <c r="N34" s="1" t="s">
        <v>178</v>
      </c>
      <c r="O34" s="1"/>
      <c r="P34" s="1">
        <v>48</v>
      </c>
      <c r="Q34" s="1">
        <v>106.8</v>
      </c>
      <c r="R34" s="8" t="str">
        <f>_xlfn.IFS(J34&gt;=8,"Hit",J34&gt;=6,"Average",J34&lt;6,"Flop")</f>
        <v>Average</v>
      </c>
      <c r="S34" s="9" t="str">
        <f>_xlfn.IFS(K34&gt;=400,"Blockbuster",K34&gt;=200,"Popular",K34&lt;200,"Normal")</f>
        <v>Blockbuster</v>
      </c>
      <c r="T34" s="10" t="str">
        <f>IF(OR(I34="PG",I34="G"),"Yes","No")</f>
        <v>Yes</v>
      </c>
      <c r="U34" s="11" t="str">
        <f>IF(P34&gt;=100,"High","Low")</f>
        <v>Low</v>
      </c>
      <c r="V34" s="28">
        <f t="shared" si="0"/>
        <v>58.8</v>
      </c>
      <c r="W34" s="29">
        <f t="shared" si="1"/>
        <v>222.5</v>
      </c>
    </row>
    <row r="35" spans="1:23" x14ac:dyDescent="0.3">
      <c r="A35" s="1" t="s">
        <v>179</v>
      </c>
      <c r="B35" s="1" t="s">
        <v>180</v>
      </c>
      <c r="C35" s="1" t="s">
        <v>46</v>
      </c>
      <c r="D35" s="1" t="s">
        <v>75</v>
      </c>
      <c r="E35" s="1">
        <v>2017</v>
      </c>
      <c r="F35" s="1" t="s">
        <v>181</v>
      </c>
      <c r="G35" s="1" t="s">
        <v>182</v>
      </c>
      <c r="H35" s="1">
        <v>51</v>
      </c>
      <c r="I35" s="1" t="s">
        <v>50</v>
      </c>
      <c r="J35" s="1">
        <v>6.7</v>
      </c>
      <c r="K35" s="1">
        <v>354.9</v>
      </c>
      <c r="L35" s="1" t="s">
        <v>90</v>
      </c>
      <c r="M35" s="1" t="s">
        <v>106</v>
      </c>
      <c r="N35" s="1" t="s">
        <v>67</v>
      </c>
      <c r="O35" s="1">
        <v>7</v>
      </c>
      <c r="P35" s="1">
        <v>51</v>
      </c>
      <c r="Q35" s="1">
        <v>306.10000000000002</v>
      </c>
      <c r="R35" s="8" t="str">
        <f>_xlfn.IFS(J35&gt;=8,"Hit",J35&gt;=6,"Average",J35&lt;6,"Flop")</f>
        <v>Average</v>
      </c>
      <c r="S35" s="9" t="str">
        <f>_xlfn.IFS(K35&gt;=400,"Blockbuster",K35&gt;=200,"Popular",K35&lt;200,"Normal")</f>
        <v>Popular</v>
      </c>
      <c r="T35" s="10" t="str">
        <f>IF(OR(I35="PG",I35="G"),"Yes","No")</f>
        <v>Yes</v>
      </c>
      <c r="U35" s="11" t="str">
        <f>IF(P35&gt;=100,"High","Low")</f>
        <v>Low</v>
      </c>
      <c r="V35" s="28">
        <f t="shared" si="0"/>
        <v>255.10000000000002</v>
      </c>
      <c r="W35" s="29">
        <f t="shared" si="1"/>
        <v>600.1960784313726</v>
      </c>
    </row>
    <row r="36" spans="1:23" x14ac:dyDescent="0.3">
      <c r="A36" s="1" t="s">
        <v>183</v>
      </c>
      <c r="B36" s="1" t="s">
        <v>184</v>
      </c>
      <c r="C36" s="1" t="s">
        <v>46</v>
      </c>
      <c r="D36" s="1" t="s">
        <v>75</v>
      </c>
      <c r="E36" s="1">
        <v>2001</v>
      </c>
      <c r="F36" s="1" t="s">
        <v>29</v>
      </c>
      <c r="G36" s="1" t="s">
        <v>185</v>
      </c>
      <c r="H36" s="1">
        <v>60</v>
      </c>
      <c r="I36" s="1" t="s">
        <v>110</v>
      </c>
      <c r="J36" s="1">
        <v>5.4</v>
      </c>
      <c r="K36" s="1">
        <v>334.2</v>
      </c>
      <c r="L36" s="1" t="s">
        <v>71</v>
      </c>
      <c r="M36" s="1" t="s">
        <v>97</v>
      </c>
      <c r="N36" s="1" t="s">
        <v>34</v>
      </c>
      <c r="O36" s="1">
        <v>7</v>
      </c>
      <c r="P36" s="1">
        <v>22</v>
      </c>
      <c r="Q36" s="1">
        <v>126.2</v>
      </c>
      <c r="R36" s="8" t="str">
        <f>_xlfn.IFS(J36&gt;=8,"Hit",J36&gt;=6,"Average",J36&lt;6,"Flop")</f>
        <v>Flop</v>
      </c>
      <c r="S36" s="9" t="str">
        <f>_xlfn.IFS(K36&gt;=400,"Blockbuster",K36&gt;=200,"Popular",K36&lt;200,"Normal")</f>
        <v>Popular</v>
      </c>
      <c r="T36" s="10" t="str">
        <f>IF(OR(I36="PG",I36="G"),"Yes","No")</f>
        <v>No</v>
      </c>
      <c r="U36" s="11" t="str">
        <f>IF(P36&gt;=100,"High","Low")</f>
        <v>Low</v>
      </c>
      <c r="V36" s="28">
        <f t="shared" si="0"/>
        <v>104.2</v>
      </c>
      <c r="W36" s="29">
        <f t="shared" si="1"/>
        <v>573.63636363636363</v>
      </c>
    </row>
    <row r="37" spans="1:23" x14ac:dyDescent="0.3">
      <c r="A37" s="1" t="s">
        <v>186</v>
      </c>
      <c r="B37" s="1" t="s">
        <v>187</v>
      </c>
      <c r="C37" s="1" t="s">
        <v>46</v>
      </c>
      <c r="D37" s="1" t="s">
        <v>28</v>
      </c>
      <c r="E37" s="1">
        <v>2009</v>
      </c>
      <c r="F37" s="1" t="s">
        <v>122</v>
      </c>
      <c r="G37" s="1" t="s">
        <v>188</v>
      </c>
      <c r="H37" s="1">
        <v>36</v>
      </c>
      <c r="I37" s="1" t="s">
        <v>110</v>
      </c>
      <c r="J37" s="1">
        <v>7.2</v>
      </c>
      <c r="K37" s="1">
        <v>496.9</v>
      </c>
      <c r="L37" s="1" t="s">
        <v>90</v>
      </c>
      <c r="M37" s="1" t="s">
        <v>54</v>
      </c>
      <c r="N37" s="1" t="s">
        <v>43</v>
      </c>
      <c r="O37" s="1">
        <v>4</v>
      </c>
      <c r="P37" s="1">
        <v>37</v>
      </c>
      <c r="Q37" s="1">
        <v>143</v>
      </c>
      <c r="R37" s="8" t="str">
        <f>_xlfn.IFS(J37&gt;=8,"Hit",J37&gt;=6,"Average",J37&lt;6,"Flop")</f>
        <v>Average</v>
      </c>
      <c r="S37" s="9" t="str">
        <f>_xlfn.IFS(K37&gt;=400,"Blockbuster",K37&gt;=200,"Popular",K37&lt;200,"Normal")</f>
        <v>Blockbuster</v>
      </c>
      <c r="T37" s="10" t="str">
        <f>IF(OR(I37="PG",I37="G"),"Yes","No")</f>
        <v>No</v>
      </c>
      <c r="U37" s="11" t="str">
        <f>IF(P37&gt;=100,"High","Low")</f>
        <v>Low</v>
      </c>
      <c r="V37" s="28">
        <f t="shared" si="0"/>
        <v>106</v>
      </c>
      <c r="W37" s="29">
        <f t="shared" si="1"/>
        <v>386.48648648648651</v>
      </c>
    </row>
    <row r="38" spans="1:23" x14ac:dyDescent="0.3">
      <c r="A38" s="1" t="s">
        <v>189</v>
      </c>
      <c r="B38" s="1" t="s">
        <v>190</v>
      </c>
      <c r="C38" s="1" t="s">
        <v>18</v>
      </c>
      <c r="D38" s="1" t="s">
        <v>37</v>
      </c>
      <c r="E38" s="1">
        <v>2025</v>
      </c>
      <c r="F38" s="1" t="s">
        <v>181</v>
      </c>
      <c r="G38" s="1" t="s">
        <v>191</v>
      </c>
      <c r="H38" s="1">
        <v>134</v>
      </c>
      <c r="I38" s="1" t="s">
        <v>22</v>
      </c>
      <c r="J38" s="1">
        <v>6</v>
      </c>
      <c r="K38" s="1">
        <v>130</v>
      </c>
      <c r="L38" s="1" t="s">
        <v>90</v>
      </c>
      <c r="M38" s="1" t="s">
        <v>97</v>
      </c>
      <c r="N38" s="1" t="s">
        <v>86</v>
      </c>
      <c r="O38" s="1"/>
      <c r="P38" s="1">
        <v>169</v>
      </c>
      <c r="Q38" s="1">
        <v>844.6</v>
      </c>
      <c r="R38" s="8" t="str">
        <f>_xlfn.IFS(J38&gt;=8,"Hit",J38&gt;=6,"Average",J38&lt;6,"Flop")</f>
        <v>Average</v>
      </c>
      <c r="S38" s="9" t="str">
        <f>_xlfn.IFS(K38&gt;=400,"Blockbuster",K38&gt;=200,"Popular",K38&lt;200,"Normal")</f>
        <v>Normal</v>
      </c>
      <c r="T38" s="10" t="str">
        <f>IF(OR(I38="PG",I38="G"),"Yes","No")</f>
        <v>No</v>
      </c>
      <c r="U38" s="11" t="str">
        <f>IF(P38&gt;=100,"High","Low")</f>
        <v>High</v>
      </c>
      <c r="V38" s="28">
        <f t="shared" si="0"/>
        <v>675.6</v>
      </c>
      <c r="W38" s="29">
        <f t="shared" si="1"/>
        <v>499.76331360946745</v>
      </c>
    </row>
    <row r="39" spans="1:23" x14ac:dyDescent="0.3">
      <c r="A39" s="1" t="s">
        <v>192</v>
      </c>
      <c r="B39" s="1" t="s">
        <v>193</v>
      </c>
      <c r="C39" s="1" t="s">
        <v>18</v>
      </c>
      <c r="D39" s="1" t="s">
        <v>19</v>
      </c>
      <c r="E39" s="1">
        <v>2006</v>
      </c>
      <c r="F39" s="1" t="s">
        <v>122</v>
      </c>
      <c r="G39" s="1" t="s">
        <v>194</v>
      </c>
      <c r="H39" s="1">
        <v>113</v>
      </c>
      <c r="I39" s="1" t="s">
        <v>110</v>
      </c>
      <c r="J39" s="1">
        <v>5.4</v>
      </c>
      <c r="K39" s="1">
        <v>53.1</v>
      </c>
      <c r="L39" s="1" t="s">
        <v>90</v>
      </c>
      <c r="M39" s="1" t="s">
        <v>157</v>
      </c>
      <c r="N39" s="1" t="s">
        <v>43</v>
      </c>
      <c r="O39" s="1"/>
      <c r="P39" s="1">
        <v>29</v>
      </c>
      <c r="Q39" s="1">
        <v>103.3</v>
      </c>
      <c r="R39" s="8" t="str">
        <f>_xlfn.IFS(J39&gt;=8,"Hit",J39&gt;=6,"Average",J39&lt;6,"Flop")</f>
        <v>Flop</v>
      </c>
      <c r="S39" s="9" t="str">
        <f>_xlfn.IFS(K39&gt;=400,"Blockbuster",K39&gt;=200,"Popular",K39&lt;200,"Normal")</f>
        <v>Normal</v>
      </c>
      <c r="T39" s="10" t="str">
        <f>IF(OR(I39="PG",I39="G"),"Yes","No")</f>
        <v>No</v>
      </c>
      <c r="U39" s="11" t="str">
        <f>IF(P39&gt;=100,"High","Low")</f>
        <v>Low</v>
      </c>
      <c r="V39" s="28">
        <f t="shared" si="0"/>
        <v>74.3</v>
      </c>
      <c r="W39" s="29">
        <f t="shared" si="1"/>
        <v>356.20689655172413</v>
      </c>
    </row>
    <row r="40" spans="1:23" x14ac:dyDescent="0.3">
      <c r="A40" s="1" t="s">
        <v>195</v>
      </c>
      <c r="B40" s="1" t="s">
        <v>196</v>
      </c>
      <c r="C40" s="1" t="s">
        <v>46</v>
      </c>
      <c r="D40" s="1" t="s">
        <v>47</v>
      </c>
      <c r="E40" s="1">
        <v>2015</v>
      </c>
      <c r="F40" s="1" t="s">
        <v>38</v>
      </c>
      <c r="G40" s="1" t="s">
        <v>197</v>
      </c>
      <c r="H40" s="1">
        <v>41</v>
      </c>
      <c r="I40" s="1" t="s">
        <v>40</v>
      </c>
      <c r="J40" s="1">
        <v>8.1999999999999993</v>
      </c>
      <c r="K40" s="1">
        <v>309.89999999999998</v>
      </c>
      <c r="L40" s="1" t="s">
        <v>41</v>
      </c>
      <c r="M40" s="1" t="s">
        <v>124</v>
      </c>
      <c r="N40" s="1" t="s">
        <v>91</v>
      </c>
      <c r="O40" s="1">
        <v>4</v>
      </c>
      <c r="P40" s="1">
        <v>20</v>
      </c>
      <c r="Q40" s="1">
        <v>55.1</v>
      </c>
      <c r="R40" s="8" t="str">
        <f>_xlfn.IFS(J40&gt;=8,"Hit",J40&gt;=6,"Average",J40&lt;6,"Flop")</f>
        <v>Hit</v>
      </c>
      <c r="S40" s="9" t="str">
        <f>_xlfn.IFS(K40&gt;=400,"Blockbuster",K40&gt;=200,"Popular",K40&lt;200,"Normal")</f>
        <v>Popular</v>
      </c>
      <c r="T40" s="10" t="str">
        <f>IF(OR(I40="PG",I40="G"),"Yes","No")</f>
        <v>Yes</v>
      </c>
      <c r="U40" s="11" t="str">
        <f>IF(P40&gt;=100,"High","Low")</f>
        <v>Low</v>
      </c>
      <c r="V40" s="28">
        <f t="shared" si="0"/>
        <v>35.1</v>
      </c>
      <c r="W40" s="29">
        <f t="shared" si="1"/>
        <v>275.5</v>
      </c>
    </row>
    <row r="41" spans="1:23" x14ac:dyDescent="0.3">
      <c r="A41" s="1" t="s">
        <v>198</v>
      </c>
      <c r="B41" s="1" t="s">
        <v>199</v>
      </c>
      <c r="C41" s="1" t="s">
        <v>46</v>
      </c>
      <c r="D41" s="1" t="s">
        <v>94</v>
      </c>
      <c r="E41" s="1">
        <v>2021</v>
      </c>
      <c r="F41" s="1" t="s">
        <v>83</v>
      </c>
      <c r="G41" s="1" t="s">
        <v>200</v>
      </c>
      <c r="H41" s="1">
        <v>60</v>
      </c>
      <c r="I41" s="1" t="s">
        <v>50</v>
      </c>
      <c r="J41" s="1">
        <v>6.2</v>
      </c>
      <c r="K41" s="1">
        <v>150.6</v>
      </c>
      <c r="L41" s="1" t="s">
        <v>32</v>
      </c>
      <c r="M41" s="1" t="s">
        <v>54</v>
      </c>
      <c r="N41" s="1" t="s">
        <v>153</v>
      </c>
      <c r="O41" s="1">
        <v>8</v>
      </c>
      <c r="P41" s="1">
        <v>103</v>
      </c>
      <c r="Q41" s="1">
        <v>144.4</v>
      </c>
      <c r="R41" s="8" t="str">
        <f>_xlfn.IFS(J41&gt;=8,"Hit",J41&gt;=6,"Average",J41&lt;6,"Flop")</f>
        <v>Average</v>
      </c>
      <c r="S41" s="9" t="str">
        <f>_xlfn.IFS(K41&gt;=400,"Blockbuster",K41&gt;=200,"Popular",K41&lt;200,"Normal")</f>
        <v>Normal</v>
      </c>
      <c r="T41" s="10" t="str">
        <f>IF(OR(I41="PG",I41="G"),"Yes","No")</f>
        <v>Yes</v>
      </c>
      <c r="U41" s="11" t="str">
        <f>IF(P41&gt;=100,"High","Low")</f>
        <v>High</v>
      </c>
      <c r="V41" s="28">
        <f t="shared" si="0"/>
        <v>41.400000000000006</v>
      </c>
      <c r="W41" s="29">
        <f t="shared" si="1"/>
        <v>140.19417475728156</v>
      </c>
    </row>
    <row r="42" spans="1:23" x14ac:dyDescent="0.3">
      <c r="A42" s="1" t="s">
        <v>201</v>
      </c>
      <c r="B42" s="1" t="s">
        <v>202</v>
      </c>
      <c r="C42" s="1" t="s">
        <v>18</v>
      </c>
      <c r="D42" s="1" t="s">
        <v>82</v>
      </c>
      <c r="E42" s="1">
        <v>2012</v>
      </c>
      <c r="F42" s="1" t="s">
        <v>100</v>
      </c>
      <c r="G42" s="1" t="s">
        <v>203</v>
      </c>
      <c r="H42" s="1">
        <v>174</v>
      </c>
      <c r="I42" s="1" t="s">
        <v>40</v>
      </c>
      <c r="J42" s="1">
        <v>8.1999999999999993</v>
      </c>
      <c r="K42" s="1">
        <v>578.70000000000005</v>
      </c>
      <c r="L42" s="1" t="s">
        <v>171</v>
      </c>
      <c r="M42" s="1" t="s">
        <v>106</v>
      </c>
      <c r="N42" s="1" t="s">
        <v>55</v>
      </c>
      <c r="O42" s="1"/>
      <c r="P42" s="1">
        <v>94</v>
      </c>
      <c r="Q42" s="1">
        <v>483.2</v>
      </c>
      <c r="R42" s="8" t="str">
        <f>_xlfn.IFS(J42&gt;=8,"Hit",J42&gt;=6,"Average",J42&lt;6,"Flop")</f>
        <v>Hit</v>
      </c>
      <c r="S42" s="9" t="str">
        <f>_xlfn.IFS(K42&gt;=400,"Blockbuster",K42&gt;=200,"Popular",K42&lt;200,"Normal")</f>
        <v>Blockbuster</v>
      </c>
      <c r="T42" s="10" t="str">
        <f>IF(OR(I42="PG",I42="G"),"Yes","No")</f>
        <v>Yes</v>
      </c>
      <c r="U42" s="11" t="str">
        <f>IF(P42&gt;=100,"High","Low")</f>
        <v>Low</v>
      </c>
      <c r="V42" s="28">
        <f t="shared" si="0"/>
        <v>389.2</v>
      </c>
      <c r="W42" s="29">
        <f t="shared" si="1"/>
        <v>514.04255319148945</v>
      </c>
    </row>
    <row r="43" spans="1:23" x14ac:dyDescent="0.3">
      <c r="A43" s="1" t="s">
        <v>204</v>
      </c>
      <c r="B43" s="1" t="s">
        <v>205</v>
      </c>
      <c r="C43" s="1" t="s">
        <v>46</v>
      </c>
      <c r="D43" s="1" t="s">
        <v>19</v>
      </c>
      <c r="E43" s="1">
        <v>2003</v>
      </c>
      <c r="F43" s="1" t="s">
        <v>83</v>
      </c>
      <c r="G43" s="1" t="s">
        <v>206</v>
      </c>
      <c r="H43" s="1">
        <v>49</v>
      </c>
      <c r="I43" s="1" t="s">
        <v>110</v>
      </c>
      <c r="J43" s="1">
        <v>8.5</v>
      </c>
      <c r="K43" s="1">
        <v>153</v>
      </c>
      <c r="L43" s="1" t="s">
        <v>23</v>
      </c>
      <c r="M43" s="1" t="s">
        <v>111</v>
      </c>
      <c r="N43" s="1" t="s">
        <v>55</v>
      </c>
      <c r="O43" s="1">
        <v>6</v>
      </c>
      <c r="P43" s="1">
        <v>47</v>
      </c>
      <c r="Q43" s="1">
        <v>148.69999999999999</v>
      </c>
      <c r="R43" s="8" t="str">
        <f>_xlfn.IFS(J43&gt;=8,"Hit",J43&gt;=6,"Average",J43&lt;6,"Flop")</f>
        <v>Hit</v>
      </c>
      <c r="S43" s="9" t="str">
        <f>_xlfn.IFS(K43&gt;=400,"Blockbuster",K43&gt;=200,"Popular",K43&lt;200,"Normal")</f>
        <v>Normal</v>
      </c>
      <c r="T43" s="10" t="str">
        <f>IF(OR(I43="PG",I43="G"),"Yes","No")</f>
        <v>No</v>
      </c>
      <c r="U43" s="11" t="str">
        <f>IF(P43&gt;=100,"High","Low")</f>
        <v>Low</v>
      </c>
      <c r="V43" s="28">
        <f t="shared" si="0"/>
        <v>101.69999999999999</v>
      </c>
      <c r="W43" s="29">
        <f t="shared" si="1"/>
        <v>316.38297872340422</v>
      </c>
    </row>
    <row r="44" spans="1:23" x14ac:dyDescent="0.3">
      <c r="A44" s="1" t="s">
        <v>207</v>
      </c>
      <c r="B44" s="1" t="s">
        <v>208</v>
      </c>
      <c r="C44" s="1" t="s">
        <v>18</v>
      </c>
      <c r="D44" s="1" t="s">
        <v>28</v>
      </c>
      <c r="E44" s="1">
        <v>2016</v>
      </c>
      <c r="F44" s="1" t="s">
        <v>181</v>
      </c>
      <c r="G44" s="1" t="s">
        <v>209</v>
      </c>
      <c r="H44" s="1">
        <v>102</v>
      </c>
      <c r="I44" s="1" t="s">
        <v>31</v>
      </c>
      <c r="J44" s="1">
        <v>8.9</v>
      </c>
      <c r="K44" s="1">
        <v>8.4</v>
      </c>
      <c r="L44" s="1" t="s">
        <v>23</v>
      </c>
      <c r="M44" s="1" t="s">
        <v>132</v>
      </c>
      <c r="N44" s="1" t="s">
        <v>158</v>
      </c>
      <c r="O44" s="1"/>
      <c r="P44" s="1">
        <v>109</v>
      </c>
      <c r="Q44" s="1">
        <v>406.4</v>
      </c>
      <c r="R44" s="8" t="str">
        <f>_xlfn.IFS(J44&gt;=8,"Hit",J44&gt;=6,"Average",J44&lt;6,"Flop")</f>
        <v>Hit</v>
      </c>
      <c r="S44" s="9" t="str">
        <f>_xlfn.IFS(K44&gt;=400,"Blockbuster",K44&gt;=200,"Popular",K44&lt;200,"Normal")</f>
        <v>Normal</v>
      </c>
      <c r="T44" s="10" t="str">
        <f>IF(OR(I44="PG",I44="G"),"Yes","No")</f>
        <v>No</v>
      </c>
      <c r="U44" s="11" t="str">
        <f>IF(P44&gt;=100,"High","Low")</f>
        <v>High</v>
      </c>
      <c r="V44" s="28">
        <f t="shared" si="0"/>
        <v>297.39999999999998</v>
      </c>
      <c r="W44" s="29">
        <f t="shared" si="1"/>
        <v>372.8440366972477</v>
      </c>
    </row>
    <row r="45" spans="1:23" x14ac:dyDescent="0.3">
      <c r="A45" s="1" t="s">
        <v>210</v>
      </c>
      <c r="B45" s="1" t="s">
        <v>211</v>
      </c>
      <c r="C45" s="1" t="s">
        <v>18</v>
      </c>
      <c r="D45" s="1" t="s">
        <v>141</v>
      </c>
      <c r="E45" s="1">
        <v>2022</v>
      </c>
      <c r="F45" s="1" t="s">
        <v>48</v>
      </c>
      <c r="G45" s="1" t="s">
        <v>212</v>
      </c>
      <c r="H45" s="1">
        <v>104</v>
      </c>
      <c r="I45" s="1" t="s">
        <v>110</v>
      </c>
      <c r="J45" s="1">
        <v>8.3000000000000007</v>
      </c>
      <c r="K45" s="1">
        <v>27</v>
      </c>
      <c r="L45" s="1" t="s">
        <v>23</v>
      </c>
      <c r="M45" s="1" t="s">
        <v>106</v>
      </c>
      <c r="N45" s="1" t="s">
        <v>102</v>
      </c>
      <c r="O45" s="1"/>
      <c r="P45" s="1">
        <v>96</v>
      </c>
      <c r="Q45" s="1">
        <v>615.6</v>
      </c>
      <c r="R45" s="8" t="str">
        <f>_xlfn.IFS(J45&gt;=8,"Hit",J45&gt;=6,"Average",J45&lt;6,"Flop")</f>
        <v>Hit</v>
      </c>
      <c r="S45" s="9" t="str">
        <f>_xlfn.IFS(K45&gt;=400,"Blockbuster",K45&gt;=200,"Popular",K45&lt;200,"Normal")</f>
        <v>Normal</v>
      </c>
      <c r="T45" s="10" t="str">
        <f>IF(OR(I45="PG",I45="G"),"Yes","No")</f>
        <v>No</v>
      </c>
      <c r="U45" s="11" t="str">
        <f>IF(P45&gt;=100,"High","Low")</f>
        <v>Low</v>
      </c>
      <c r="V45" s="28">
        <f t="shared" si="0"/>
        <v>519.6</v>
      </c>
      <c r="W45" s="29">
        <f t="shared" si="1"/>
        <v>641.25</v>
      </c>
    </row>
    <row r="46" spans="1:23" x14ac:dyDescent="0.3">
      <c r="A46" s="1" t="s">
        <v>213</v>
      </c>
      <c r="B46" s="1" t="s">
        <v>214</v>
      </c>
      <c r="C46" s="1" t="s">
        <v>18</v>
      </c>
      <c r="D46" s="1" t="s">
        <v>82</v>
      </c>
      <c r="E46" s="1">
        <v>2019</v>
      </c>
      <c r="F46" s="1" t="s">
        <v>181</v>
      </c>
      <c r="G46" s="1" t="s">
        <v>215</v>
      </c>
      <c r="H46" s="1">
        <v>114</v>
      </c>
      <c r="I46" s="1" t="s">
        <v>40</v>
      </c>
      <c r="J46" s="1">
        <v>4.9000000000000004</v>
      </c>
      <c r="K46" s="1">
        <v>121.2</v>
      </c>
      <c r="L46" s="1" t="s">
        <v>90</v>
      </c>
      <c r="M46" s="1" t="s">
        <v>54</v>
      </c>
      <c r="N46" s="1" t="s">
        <v>79</v>
      </c>
      <c r="O46" s="1"/>
      <c r="P46" s="1">
        <v>80</v>
      </c>
      <c r="Q46" s="1">
        <v>261.10000000000002</v>
      </c>
      <c r="R46" s="8" t="str">
        <f>_xlfn.IFS(J46&gt;=8,"Hit",J46&gt;=6,"Average",J46&lt;6,"Flop")</f>
        <v>Flop</v>
      </c>
      <c r="S46" s="9" t="str">
        <f>_xlfn.IFS(K46&gt;=400,"Blockbuster",K46&gt;=200,"Popular",K46&lt;200,"Normal")</f>
        <v>Normal</v>
      </c>
      <c r="T46" s="10" t="str">
        <f>IF(OR(I46="PG",I46="G"),"Yes","No")</f>
        <v>Yes</v>
      </c>
      <c r="U46" s="11" t="str">
        <f>IF(P46&gt;=100,"High","Low")</f>
        <v>Low</v>
      </c>
      <c r="V46" s="28">
        <f t="shared" si="0"/>
        <v>181.10000000000002</v>
      </c>
      <c r="W46" s="29">
        <f t="shared" si="1"/>
        <v>326.37500000000006</v>
      </c>
    </row>
    <row r="47" spans="1:23" x14ac:dyDescent="0.3">
      <c r="A47" s="1" t="s">
        <v>216</v>
      </c>
      <c r="B47" s="1" t="s">
        <v>217</v>
      </c>
      <c r="C47" s="1" t="s">
        <v>18</v>
      </c>
      <c r="D47" s="1" t="s">
        <v>82</v>
      </c>
      <c r="E47" s="1">
        <v>2019</v>
      </c>
      <c r="F47" s="1" t="s">
        <v>76</v>
      </c>
      <c r="G47" s="1" t="s">
        <v>218</v>
      </c>
      <c r="H47" s="1">
        <v>157</v>
      </c>
      <c r="I47" s="1" t="s">
        <v>31</v>
      </c>
      <c r="J47" s="1">
        <v>6.4</v>
      </c>
      <c r="K47" s="1">
        <v>345.5</v>
      </c>
      <c r="L47" s="1" t="s">
        <v>171</v>
      </c>
      <c r="M47" s="1" t="s">
        <v>78</v>
      </c>
      <c r="N47" s="1" t="s">
        <v>178</v>
      </c>
      <c r="O47" s="1"/>
      <c r="P47" s="1">
        <v>139</v>
      </c>
      <c r="Q47" s="1">
        <v>280.60000000000002</v>
      </c>
      <c r="R47" s="8" t="str">
        <f>_xlfn.IFS(J47&gt;=8,"Hit",J47&gt;=6,"Average",J47&lt;6,"Flop")</f>
        <v>Average</v>
      </c>
      <c r="S47" s="9" t="str">
        <f>_xlfn.IFS(K47&gt;=400,"Blockbuster",K47&gt;=200,"Popular",K47&lt;200,"Normal")</f>
        <v>Popular</v>
      </c>
      <c r="T47" s="10" t="str">
        <f>IF(OR(I47="PG",I47="G"),"Yes","No")</f>
        <v>No</v>
      </c>
      <c r="U47" s="11" t="str">
        <f>IF(P47&gt;=100,"High","Low")</f>
        <v>High</v>
      </c>
      <c r="V47" s="28">
        <f t="shared" si="0"/>
        <v>141.60000000000002</v>
      </c>
      <c r="W47" s="29">
        <f t="shared" si="1"/>
        <v>201.87050359712231</v>
      </c>
    </row>
    <row r="48" spans="1:23" x14ac:dyDescent="0.3">
      <c r="A48" s="1" t="s">
        <v>219</v>
      </c>
      <c r="B48" s="1" t="s">
        <v>220</v>
      </c>
      <c r="C48" s="1" t="s">
        <v>46</v>
      </c>
      <c r="D48" s="1" t="s">
        <v>47</v>
      </c>
      <c r="E48" s="1">
        <v>2018</v>
      </c>
      <c r="F48" s="1" t="s">
        <v>76</v>
      </c>
      <c r="G48" s="1" t="s">
        <v>221</v>
      </c>
      <c r="H48" s="1">
        <v>43</v>
      </c>
      <c r="I48" s="1" t="s">
        <v>50</v>
      </c>
      <c r="J48" s="1">
        <v>5.0999999999999996</v>
      </c>
      <c r="K48" s="1">
        <v>180.5</v>
      </c>
      <c r="L48" s="1" t="s">
        <v>71</v>
      </c>
      <c r="M48" s="1" t="s">
        <v>85</v>
      </c>
      <c r="N48" s="1" t="s">
        <v>67</v>
      </c>
      <c r="O48" s="1">
        <v>5</v>
      </c>
      <c r="P48" s="1">
        <v>157</v>
      </c>
      <c r="Q48" s="1">
        <v>200.3</v>
      </c>
      <c r="R48" s="8" t="str">
        <f>_xlfn.IFS(J48&gt;=8,"Hit",J48&gt;=6,"Average",J48&lt;6,"Flop")</f>
        <v>Flop</v>
      </c>
      <c r="S48" s="9" t="str">
        <f>_xlfn.IFS(K48&gt;=400,"Blockbuster",K48&gt;=200,"Popular",K48&lt;200,"Normal")</f>
        <v>Normal</v>
      </c>
      <c r="T48" s="10" t="str">
        <f>IF(OR(I48="PG",I48="G"),"Yes","No")</f>
        <v>Yes</v>
      </c>
      <c r="U48" s="11" t="str">
        <f>IF(P48&gt;=100,"High","Low")</f>
        <v>High</v>
      </c>
      <c r="V48" s="28">
        <f t="shared" si="0"/>
        <v>43.300000000000011</v>
      </c>
      <c r="W48" s="29">
        <f t="shared" si="1"/>
        <v>127.57961783439491</v>
      </c>
    </row>
    <row r="49" spans="1:23" x14ac:dyDescent="0.3">
      <c r="A49" s="1" t="s">
        <v>222</v>
      </c>
      <c r="B49" s="1" t="s">
        <v>223</v>
      </c>
      <c r="C49" s="1" t="s">
        <v>18</v>
      </c>
      <c r="D49" s="1" t="s">
        <v>82</v>
      </c>
      <c r="E49" s="1">
        <v>2011</v>
      </c>
      <c r="F49" s="1" t="s">
        <v>76</v>
      </c>
      <c r="G49" s="1" t="s">
        <v>224</v>
      </c>
      <c r="H49" s="1">
        <v>87</v>
      </c>
      <c r="I49" s="1" t="s">
        <v>31</v>
      </c>
      <c r="J49" s="1">
        <v>8.8000000000000007</v>
      </c>
      <c r="K49" s="1">
        <v>392.9</v>
      </c>
      <c r="L49" s="1" t="s">
        <v>90</v>
      </c>
      <c r="M49" s="1" t="s">
        <v>132</v>
      </c>
      <c r="N49" s="1" t="s">
        <v>43</v>
      </c>
      <c r="O49" s="1"/>
      <c r="P49" s="1">
        <v>11</v>
      </c>
      <c r="Q49" s="1">
        <v>40.700000000000003</v>
      </c>
      <c r="R49" s="8" t="str">
        <f>_xlfn.IFS(J49&gt;=8,"Hit",J49&gt;=6,"Average",J49&lt;6,"Flop")</f>
        <v>Hit</v>
      </c>
      <c r="S49" s="9" t="str">
        <f>_xlfn.IFS(K49&gt;=400,"Blockbuster",K49&gt;=200,"Popular",K49&lt;200,"Normal")</f>
        <v>Popular</v>
      </c>
      <c r="T49" s="10" t="str">
        <f>IF(OR(I49="PG",I49="G"),"Yes","No")</f>
        <v>No</v>
      </c>
      <c r="U49" s="11" t="str">
        <f>IF(P49&gt;=100,"High","Low")</f>
        <v>Low</v>
      </c>
      <c r="V49" s="28">
        <f t="shared" si="0"/>
        <v>29.700000000000003</v>
      </c>
      <c r="W49" s="29">
        <f t="shared" si="1"/>
        <v>370</v>
      </c>
    </row>
    <row r="50" spans="1:23" x14ac:dyDescent="0.3">
      <c r="A50" s="1" t="s">
        <v>225</v>
      </c>
      <c r="B50" s="1" t="s">
        <v>226</v>
      </c>
      <c r="C50" s="1" t="s">
        <v>46</v>
      </c>
      <c r="D50" s="1" t="s">
        <v>58</v>
      </c>
      <c r="E50" s="1">
        <v>2018</v>
      </c>
      <c r="F50" s="1" t="s">
        <v>20</v>
      </c>
      <c r="G50" s="1" t="s">
        <v>227</v>
      </c>
      <c r="H50" s="1">
        <v>51</v>
      </c>
      <c r="I50" s="1" t="s">
        <v>31</v>
      </c>
      <c r="J50" s="1">
        <v>9.3000000000000007</v>
      </c>
      <c r="K50" s="1">
        <v>536.20000000000005</v>
      </c>
      <c r="L50" s="1" t="s">
        <v>23</v>
      </c>
      <c r="M50" s="1" t="s">
        <v>157</v>
      </c>
      <c r="N50" s="1" t="s">
        <v>153</v>
      </c>
      <c r="O50" s="1">
        <v>1</v>
      </c>
      <c r="P50" s="1">
        <v>134</v>
      </c>
      <c r="Q50" s="1">
        <v>644.79999999999995</v>
      </c>
      <c r="R50" s="8" t="str">
        <f>_xlfn.IFS(J50&gt;=8,"Hit",J50&gt;=6,"Average",J50&lt;6,"Flop")</f>
        <v>Hit</v>
      </c>
      <c r="S50" s="9" t="str">
        <f>_xlfn.IFS(K50&gt;=400,"Blockbuster",K50&gt;=200,"Popular",K50&lt;200,"Normal")</f>
        <v>Blockbuster</v>
      </c>
      <c r="T50" s="10" t="str">
        <f>IF(OR(I50="PG",I50="G"),"Yes","No")</f>
        <v>No</v>
      </c>
      <c r="U50" s="11" t="str">
        <f>IF(P50&gt;=100,"High","Low")</f>
        <v>High</v>
      </c>
      <c r="V50" s="28">
        <f t="shared" si="0"/>
        <v>510.79999999999995</v>
      </c>
      <c r="W50" s="29">
        <f t="shared" si="1"/>
        <v>481.19402985074623</v>
      </c>
    </row>
    <row r="51" spans="1:23" x14ac:dyDescent="0.3">
      <c r="A51" s="1" t="s">
        <v>228</v>
      </c>
      <c r="B51" s="1" t="s">
        <v>229</v>
      </c>
      <c r="C51" s="1" t="s">
        <v>18</v>
      </c>
      <c r="D51" s="1" t="s">
        <v>82</v>
      </c>
      <c r="E51" s="1">
        <v>2024</v>
      </c>
      <c r="F51" s="1" t="s">
        <v>122</v>
      </c>
      <c r="G51" s="1" t="s">
        <v>230</v>
      </c>
      <c r="H51" s="1">
        <v>155</v>
      </c>
      <c r="I51" s="1" t="s">
        <v>110</v>
      </c>
      <c r="J51" s="1">
        <v>7.6</v>
      </c>
      <c r="K51" s="1">
        <v>477</v>
      </c>
      <c r="L51" s="1" t="s">
        <v>41</v>
      </c>
      <c r="M51" s="1" t="s">
        <v>78</v>
      </c>
      <c r="N51" s="1" t="s">
        <v>60</v>
      </c>
      <c r="O51" s="1"/>
      <c r="P51" s="1">
        <v>85</v>
      </c>
      <c r="Q51" s="1">
        <v>544.20000000000005</v>
      </c>
      <c r="R51" s="8" t="str">
        <f>_xlfn.IFS(J51&gt;=8,"Hit",J51&gt;=6,"Average",J51&lt;6,"Flop")</f>
        <v>Average</v>
      </c>
      <c r="S51" s="9" t="str">
        <f>_xlfn.IFS(K51&gt;=400,"Blockbuster",K51&gt;=200,"Popular",K51&lt;200,"Normal")</f>
        <v>Blockbuster</v>
      </c>
      <c r="T51" s="10" t="str">
        <f>IF(OR(I51="PG",I51="G"),"Yes","No")</f>
        <v>No</v>
      </c>
      <c r="U51" s="11" t="str">
        <f>IF(P51&gt;=100,"High","Low")</f>
        <v>Low</v>
      </c>
      <c r="V51" s="28">
        <f t="shared" si="0"/>
        <v>459.20000000000005</v>
      </c>
      <c r="W51" s="29">
        <f t="shared" si="1"/>
        <v>640.23529411764719</v>
      </c>
    </row>
    <row r="52" spans="1:23" x14ac:dyDescent="0.3">
      <c r="A52" s="1" t="s">
        <v>231</v>
      </c>
      <c r="B52" s="1" t="s">
        <v>232</v>
      </c>
      <c r="C52" s="1" t="s">
        <v>18</v>
      </c>
      <c r="D52" s="1" t="s">
        <v>117</v>
      </c>
      <c r="E52" s="1">
        <v>2021</v>
      </c>
      <c r="F52" s="1" t="s">
        <v>76</v>
      </c>
      <c r="G52" s="1" t="s">
        <v>233</v>
      </c>
      <c r="H52" s="1">
        <v>149</v>
      </c>
      <c r="I52" s="1" t="s">
        <v>110</v>
      </c>
      <c r="J52" s="1">
        <v>5.7</v>
      </c>
      <c r="K52" s="1">
        <v>585.5</v>
      </c>
      <c r="L52" s="1" t="s">
        <v>41</v>
      </c>
      <c r="M52" s="1" t="s">
        <v>78</v>
      </c>
      <c r="N52" s="1" t="s">
        <v>153</v>
      </c>
      <c r="O52" s="1"/>
      <c r="P52" s="1">
        <v>20</v>
      </c>
      <c r="Q52" s="1">
        <v>114.5</v>
      </c>
      <c r="R52" s="8" t="str">
        <f>_xlfn.IFS(J52&gt;=8,"Hit",J52&gt;=6,"Average",J52&lt;6,"Flop")</f>
        <v>Flop</v>
      </c>
      <c r="S52" s="9" t="str">
        <f>_xlfn.IFS(K52&gt;=400,"Blockbuster",K52&gt;=200,"Popular",K52&lt;200,"Normal")</f>
        <v>Blockbuster</v>
      </c>
      <c r="T52" s="10" t="str">
        <f>IF(OR(I52="PG",I52="G"),"Yes","No")</f>
        <v>No</v>
      </c>
      <c r="U52" s="11" t="str">
        <f>IF(P52&gt;=100,"High","Low")</f>
        <v>Low</v>
      </c>
      <c r="V52" s="28">
        <f t="shared" si="0"/>
        <v>94.5</v>
      </c>
      <c r="W52" s="29">
        <f t="shared" si="1"/>
        <v>572.5</v>
      </c>
    </row>
    <row r="53" spans="1:23" x14ac:dyDescent="0.3">
      <c r="A53" s="1" t="s">
        <v>234</v>
      </c>
      <c r="B53" s="1" t="s">
        <v>235</v>
      </c>
      <c r="C53" s="1" t="s">
        <v>46</v>
      </c>
      <c r="D53" s="1" t="s">
        <v>141</v>
      </c>
      <c r="E53" s="1">
        <v>2005</v>
      </c>
      <c r="F53" s="1" t="s">
        <v>122</v>
      </c>
      <c r="G53" s="1" t="s">
        <v>236</v>
      </c>
      <c r="H53" s="1">
        <v>40</v>
      </c>
      <c r="I53" s="1" t="s">
        <v>31</v>
      </c>
      <c r="J53" s="1">
        <v>5.3</v>
      </c>
      <c r="K53" s="1">
        <v>397.5</v>
      </c>
      <c r="L53" s="1" t="s">
        <v>71</v>
      </c>
      <c r="M53" s="1" t="s">
        <v>66</v>
      </c>
      <c r="N53" s="1" t="s">
        <v>178</v>
      </c>
      <c r="O53" s="1">
        <v>3</v>
      </c>
      <c r="P53" s="1">
        <v>145</v>
      </c>
      <c r="Q53" s="1">
        <v>178.7</v>
      </c>
      <c r="R53" s="8" t="str">
        <f>_xlfn.IFS(J53&gt;=8,"Hit",J53&gt;=6,"Average",J53&lt;6,"Flop")</f>
        <v>Flop</v>
      </c>
      <c r="S53" s="9" t="str">
        <f>_xlfn.IFS(K53&gt;=400,"Blockbuster",K53&gt;=200,"Popular",K53&lt;200,"Normal")</f>
        <v>Popular</v>
      </c>
      <c r="T53" s="10" t="str">
        <f>IF(OR(I53="PG",I53="G"),"Yes","No")</f>
        <v>No</v>
      </c>
      <c r="U53" s="11" t="str">
        <f>IF(P53&gt;=100,"High","Low")</f>
        <v>High</v>
      </c>
      <c r="V53" s="28">
        <f t="shared" si="0"/>
        <v>33.699999999999989</v>
      </c>
      <c r="W53" s="29">
        <f t="shared" si="1"/>
        <v>123.24137931034483</v>
      </c>
    </row>
    <row r="54" spans="1:23" x14ac:dyDescent="0.3">
      <c r="A54" s="1" t="s">
        <v>237</v>
      </c>
      <c r="B54" s="1" t="s">
        <v>238</v>
      </c>
      <c r="C54" s="1" t="s">
        <v>46</v>
      </c>
      <c r="D54" s="1" t="s">
        <v>58</v>
      </c>
      <c r="E54" s="1">
        <v>2010</v>
      </c>
      <c r="F54" s="1" t="s">
        <v>181</v>
      </c>
      <c r="G54" s="1" t="s">
        <v>239</v>
      </c>
      <c r="H54" s="1">
        <v>37</v>
      </c>
      <c r="I54" s="1" t="s">
        <v>31</v>
      </c>
      <c r="J54" s="1">
        <v>8</v>
      </c>
      <c r="K54" s="1">
        <v>42.7</v>
      </c>
      <c r="L54" s="1" t="s">
        <v>90</v>
      </c>
      <c r="M54" s="1" t="s">
        <v>111</v>
      </c>
      <c r="N54" s="1" t="s">
        <v>60</v>
      </c>
      <c r="O54" s="1">
        <v>5</v>
      </c>
      <c r="P54" s="1">
        <v>140</v>
      </c>
      <c r="Q54" s="1">
        <v>838.8</v>
      </c>
      <c r="R54" s="8" t="str">
        <f>_xlfn.IFS(J54&gt;=8,"Hit",J54&gt;=6,"Average",J54&lt;6,"Flop")</f>
        <v>Hit</v>
      </c>
      <c r="S54" s="9" t="str">
        <f>_xlfn.IFS(K54&gt;=400,"Blockbuster",K54&gt;=200,"Popular",K54&lt;200,"Normal")</f>
        <v>Normal</v>
      </c>
      <c r="T54" s="10" t="str">
        <f>IF(OR(I54="PG",I54="G"),"Yes","No")</f>
        <v>No</v>
      </c>
      <c r="U54" s="11" t="str">
        <f>IF(P54&gt;=100,"High","Low")</f>
        <v>High</v>
      </c>
      <c r="V54" s="28">
        <f t="shared" si="0"/>
        <v>698.8</v>
      </c>
      <c r="W54" s="29">
        <f t="shared" si="1"/>
        <v>599.14285714285711</v>
      </c>
    </row>
    <row r="55" spans="1:23" x14ac:dyDescent="0.3">
      <c r="A55" s="1" t="s">
        <v>240</v>
      </c>
      <c r="B55" s="1" t="s">
        <v>241</v>
      </c>
      <c r="C55" s="1" t="s">
        <v>46</v>
      </c>
      <c r="D55" s="1" t="s">
        <v>117</v>
      </c>
      <c r="E55" s="1">
        <v>2020</v>
      </c>
      <c r="F55" s="1" t="s">
        <v>83</v>
      </c>
      <c r="G55" s="1" t="s">
        <v>242</v>
      </c>
      <c r="H55" s="1">
        <v>39</v>
      </c>
      <c r="I55" s="1" t="s">
        <v>31</v>
      </c>
      <c r="J55" s="1">
        <v>6</v>
      </c>
      <c r="K55" s="1">
        <v>352</v>
      </c>
      <c r="L55" s="1" t="s">
        <v>171</v>
      </c>
      <c r="M55" s="1" t="s">
        <v>54</v>
      </c>
      <c r="N55" s="1" t="s">
        <v>25</v>
      </c>
      <c r="O55" s="1">
        <v>3</v>
      </c>
      <c r="P55" s="1">
        <v>126</v>
      </c>
      <c r="Q55" s="1">
        <v>623.70000000000005</v>
      </c>
      <c r="R55" s="8" t="str">
        <f>_xlfn.IFS(J55&gt;=8,"Hit",J55&gt;=6,"Average",J55&lt;6,"Flop")</f>
        <v>Average</v>
      </c>
      <c r="S55" s="9" t="str">
        <f>_xlfn.IFS(K55&gt;=400,"Blockbuster",K55&gt;=200,"Popular",K55&lt;200,"Normal")</f>
        <v>Popular</v>
      </c>
      <c r="T55" s="10" t="str">
        <f>IF(OR(I55="PG",I55="G"),"Yes","No")</f>
        <v>No</v>
      </c>
      <c r="U55" s="11" t="str">
        <f>IF(P55&gt;=100,"High","Low")</f>
        <v>High</v>
      </c>
      <c r="V55" s="28">
        <f t="shared" si="0"/>
        <v>497.70000000000005</v>
      </c>
      <c r="W55" s="29">
        <f t="shared" si="1"/>
        <v>495</v>
      </c>
    </row>
    <row r="56" spans="1:23" x14ac:dyDescent="0.3">
      <c r="A56" s="1" t="s">
        <v>243</v>
      </c>
      <c r="B56" s="1" t="s">
        <v>244</v>
      </c>
      <c r="C56" s="1" t="s">
        <v>18</v>
      </c>
      <c r="D56" s="1" t="s">
        <v>58</v>
      </c>
      <c r="E56" s="1">
        <v>2017</v>
      </c>
      <c r="F56" s="1" t="s">
        <v>122</v>
      </c>
      <c r="G56" s="1" t="s">
        <v>245</v>
      </c>
      <c r="H56" s="1">
        <v>116</v>
      </c>
      <c r="I56" s="1" t="s">
        <v>50</v>
      </c>
      <c r="J56" s="1">
        <v>8.3000000000000007</v>
      </c>
      <c r="K56" s="1">
        <v>210.7</v>
      </c>
      <c r="L56" s="1" t="s">
        <v>41</v>
      </c>
      <c r="M56" s="1" t="s">
        <v>72</v>
      </c>
      <c r="N56" s="1" t="s">
        <v>55</v>
      </c>
      <c r="O56" s="1"/>
      <c r="P56" s="1">
        <v>104</v>
      </c>
      <c r="Q56" s="1">
        <v>458.8</v>
      </c>
      <c r="R56" s="8" t="str">
        <f>_xlfn.IFS(J56&gt;=8,"Hit",J56&gt;=6,"Average",J56&lt;6,"Flop")</f>
        <v>Hit</v>
      </c>
      <c r="S56" s="9" t="str">
        <f>_xlfn.IFS(K56&gt;=400,"Blockbuster",K56&gt;=200,"Popular",K56&lt;200,"Normal")</f>
        <v>Popular</v>
      </c>
      <c r="T56" s="10" t="str">
        <f>IF(OR(I56="PG",I56="G"),"Yes","No")</f>
        <v>Yes</v>
      </c>
      <c r="U56" s="11" t="str">
        <f>IF(P56&gt;=100,"High","Low")</f>
        <v>High</v>
      </c>
      <c r="V56" s="28">
        <f t="shared" si="0"/>
        <v>354.8</v>
      </c>
      <c r="W56" s="29">
        <f t="shared" si="1"/>
        <v>441.15384615384619</v>
      </c>
    </row>
    <row r="57" spans="1:23" x14ac:dyDescent="0.3">
      <c r="A57" s="1" t="s">
        <v>246</v>
      </c>
      <c r="B57" s="1" t="s">
        <v>247</v>
      </c>
      <c r="C57" s="1" t="s">
        <v>18</v>
      </c>
      <c r="D57" s="1" t="s">
        <v>28</v>
      </c>
      <c r="E57" s="1">
        <v>2012</v>
      </c>
      <c r="F57" s="1" t="s">
        <v>38</v>
      </c>
      <c r="G57" s="1" t="s">
        <v>248</v>
      </c>
      <c r="H57" s="1">
        <v>174</v>
      </c>
      <c r="I57" s="1" t="s">
        <v>50</v>
      </c>
      <c r="J57" s="1">
        <v>5.4</v>
      </c>
      <c r="K57" s="1">
        <v>345.7</v>
      </c>
      <c r="L57" s="1" t="s">
        <v>32</v>
      </c>
      <c r="M57" s="1" t="s">
        <v>111</v>
      </c>
      <c r="N57" s="1" t="s">
        <v>119</v>
      </c>
      <c r="O57" s="1"/>
      <c r="P57" s="1">
        <v>107</v>
      </c>
      <c r="Q57" s="1">
        <v>418.6</v>
      </c>
      <c r="R57" s="8" t="str">
        <f>_xlfn.IFS(J57&gt;=8,"Hit",J57&gt;=6,"Average",J57&lt;6,"Flop")</f>
        <v>Flop</v>
      </c>
      <c r="S57" s="9" t="str">
        <f>_xlfn.IFS(K57&gt;=400,"Blockbuster",K57&gt;=200,"Popular",K57&lt;200,"Normal")</f>
        <v>Popular</v>
      </c>
      <c r="T57" s="10" t="str">
        <f>IF(OR(I57="PG",I57="G"),"Yes","No")</f>
        <v>Yes</v>
      </c>
      <c r="U57" s="11" t="str">
        <f>IF(P57&gt;=100,"High","Low")</f>
        <v>High</v>
      </c>
      <c r="V57" s="28">
        <f t="shared" si="0"/>
        <v>311.60000000000002</v>
      </c>
      <c r="W57" s="29">
        <f t="shared" si="1"/>
        <v>391.21495327102809</v>
      </c>
    </row>
    <row r="58" spans="1:23" x14ac:dyDescent="0.3">
      <c r="A58" s="1" t="s">
        <v>249</v>
      </c>
      <c r="B58" s="1" t="s">
        <v>250</v>
      </c>
      <c r="C58" s="1" t="s">
        <v>18</v>
      </c>
      <c r="D58" s="1" t="s">
        <v>63</v>
      </c>
      <c r="E58" s="1">
        <v>2006</v>
      </c>
      <c r="F58" s="1" t="s">
        <v>76</v>
      </c>
      <c r="G58" s="1" t="s">
        <v>251</v>
      </c>
      <c r="H58" s="1">
        <v>130</v>
      </c>
      <c r="I58" s="1" t="s">
        <v>31</v>
      </c>
      <c r="J58" s="1">
        <v>9</v>
      </c>
      <c r="K58" s="1">
        <v>152.80000000000001</v>
      </c>
      <c r="L58" s="1" t="s">
        <v>90</v>
      </c>
      <c r="M58" s="1" t="s">
        <v>111</v>
      </c>
      <c r="N58" s="1" t="s">
        <v>55</v>
      </c>
      <c r="O58" s="1"/>
      <c r="P58" s="1">
        <v>161</v>
      </c>
      <c r="Q58" s="1">
        <v>250.5</v>
      </c>
      <c r="R58" s="8" t="str">
        <f>_xlfn.IFS(J58&gt;=8,"Hit",J58&gt;=6,"Average",J58&lt;6,"Flop")</f>
        <v>Hit</v>
      </c>
      <c r="S58" s="9" t="str">
        <f>_xlfn.IFS(K58&gt;=400,"Blockbuster",K58&gt;=200,"Popular",K58&lt;200,"Normal")</f>
        <v>Normal</v>
      </c>
      <c r="T58" s="10" t="str">
        <f>IF(OR(I58="PG",I58="G"),"Yes","No")</f>
        <v>No</v>
      </c>
      <c r="U58" s="11" t="str">
        <f>IF(P58&gt;=100,"High","Low")</f>
        <v>High</v>
      </c>
      <c r="V58" s="28">
        <f t="shared" si="0"/>
        <v>89.5</v>
      </c>
      <c r="W58" s="29">
        <f t="shared" si="1"/>
        <v>155.59006211180125</v>
      </c>
    </row>
    <row r="59" spans="1:23" x14ac:dyDescent="0.3">
      <c r="A59" s="1" t="s">
        <v>252</v>
      </c>
      <c r="B59" s="1" t="s">
        <v>253</v>
      </c>
      <c r="C59" s="1" t="s">
        <v>46</v>
      </c>
      <c r="D59" s="1" t="s">
        <v>63</v>
      </c>
      <c r="E59" s="1">
        <v>2019</v>
      </c>
      <c r="F59" s="1" t="s">
        <v>181</v>
      </c>
      <c r="G59" s="1" t="s">
        <v>254</v>
      </c>
      <c r="H59" s="1">
        <v>60</v>
      </c>
      <c r="I59" s="1" t="s">
        <v>22</v>
      </c>
      <c r="J59" s="1">
        <v>8.3000000000000007</v>
      </c>
      <c r="K59" s="1">
        <v>343.5</v>
      </c>
      <c r="L59" s="1" t="s">
        <v>71</v>
      </c>
      <c r="M59" s="1" t="s">
        <v>157</v>
      </c>
      <c r="N59" s="1" t="s">
        <v>79</v>
      </c>
      <c r="O59" s="1">
        <v>5</v>
      </c>
      <c r="P59" s="1">
        <v>131</v>
      </c>
      <c r="Q59" s="1">
        <v>365.7</v>
      </c>
      <c r="R59" s="8" t="str">
        <f>_xlfn.IFS(J59&gt;=8,"Hit",J59&gt;=6,"Average",J59&lt;6,"Flop")</f>
        <v>Hit</v>
      </c>
      <c r="S59" s="9" t="str">
        <f>_xlfn.IFS(K59&gt;=400,"Blockbuster",K59&gt;=200,"Popular",K59&lt;200,"Normal")</f>
        <v>Popular</v>
      </c>
      <c r="T59" s="10" t="str">
        <f>IF(OR(I59="PG",I59="G"),"Yes","No")</f>
        <v>No</v>
      </c>
      <c r="U59" s="11" t="str">
        <f>IF(P59&gt;=100,"High","Low")</f>
        <v>High</v>
      </c>
      <c r="V59" s="28">
        <f t="shared" si="0"/>
        <v>234.7</v>
      </c>
      <c r="W59" s="29">
        <f t="shared" si="1"/>
        <v>279.16030534351142</v>
      </c>
    </row>
    <row r="60" spans="1:23" x14ac:dyDescent="0.3">
      <c r="A60" s="1" t="s">
        <v>255</v>
      </c>
      <c r="B60" s="1" t="s">
        <v>256</v>
      </c>
      <c r="C60" s="1" t="s">
        <v>18</v>
      </c>
      <c r="D60" s="1" t="s">
        <v>28</v>
      </c>
      <c r="E60" s="1">
        <v>2010</v>
      </c>
      <c r="F60" s="1" t="s">
        <v>76</v>
      </c>
      <c r="G60" s="1" t="s">
        <v>257</v>
      </c>
      <c r="H60" s="1">
        <v>160</v>
      </c>
      <c r="I60" s="1" t="s">
        <v>31</v>
      </c>
      <c r="J60" s="1">
        <v>5.8</v>
      </c>
      <c r="K60" s="1">
        <v>72.099999999999994</v>
      </c>
      <c r="L60" s="1" t="s">
        <v>65</v>
      </c>
      <c r="M60" s="1" t="s">
        <v>33</v>
      </c>
      <c r="N60" s="1" t="s">
        <v>128</v>
      </c>
      <c r="O60" s="1"/>
      <c r="P60" s="1">
        <v>151</v>
      </c>
      <c r="Q60" s="1">
        <v>638.4</v>
      </c>
      <c r="R60" s="8" t="str">
        <f>_xlfn.IFS(J60&gt;=8,"Hit",J60&gt;=6,"Average",J60&lt;6,"Flop")</f>
        <v>Flop</v>
      </c>
      <c r="S60" s="9" t="str">
        <f>_xlfn.IFS(K60&gt;=400,"Blockbuster",K60&gt;=200,"Popular",K60&lt;200,"Normal")</f>
        <v>Normal</v>
      </c>
      <c r="T60" s="10" t="str">
        <f>IF(OR(I60="PG",I60="G"),"Yes","No")</f>
        <v>No</v>
      </c>
      <c r="U60" s="11" t="str">
        <f>IF(P60&gt;=100,"High","Low")</f>
        <v>High</v>
      </c>
      <c r="V60" s="28">
        <f t="shared" si="0"/>
        <v>487.4</v>
      </c>
      <c r="W60" s="29">
        <f t="shared" si="1"/>
        <v>422.78145695364236</v>
      </c>
    </row>
    <row r="61" spans="1:23" x14ac:dyDescent="0.3">
      <c r="A61" s="1" t="s">
        <v>258</v>
      </c>
      <c r="B61" s="1" t="s">
        <v>259</v>
      </c>
      <c r="C61" s="1" t="s">
        <v>46</v>
      </c>
      <c r="D61" s="1" t="s">
        <v>141</v>
      </c>
      <c r="E61" s="1">
        <v>2020</v>
      </c>
      <c r="F61" s="1" t="s">
        <v>29</v>
      </c>
      <c r="G61" s="1" t="s">
        <v>260</v>
      </c>
      <c r="H61" s="1">
        <v>54</v>
      </c>
      <c r="I61" s="1" t="s">
        <v>22</v>
      </c>
      <c r="J61" s="1">
        <v>4.8</v>
      </c>
      <c r="K61" s="1">
        <v>225</v>
      </c>
      <c r="L61" s="1" t="s">
        <v>171</v>
      </c>
      <c r="M61" s="1" t="s">
        <v>33</v>
      </c>
      <c r="N61" s="1" t="s">
        <v>102</v>
      </c>
      <c r="O61" s="1">
        <v>7</v>
      </c>
      <c r="P61" s="1">
        <v>140</v>
      </c>
      <c r="Q61" s="1">
        <v>308.10000000000002</v>
      </c>
      <c r="R61" s="8" t="str">
        <f>_xlfn.IFS(J61&gt;=8,"Hit",J61&gt;=6,"Average",J61&lt;6,"Flop")</f>
        <v>Flop</v>
      </c>
      <c r="S61" s="9" t="str">
        <f>_xlfn.IFS(K61&gt;=400,"Blockbuster",K61&gt;=200,"Popular",K61&lt;200,"Normal")</f>
        <v>Popular</v>
      </c>
      <c r="T61" s="10" t="str">
        <f>IF(OR(I61="PG",I61="G"),"Yes","No")</f>
        <v>No</v>
      </c>
      <c r="U61" s="11" t="str">
        <f>IF(P61&gt;=100,"High","Low")</f>
        <v>High</v>
      </c>
      <c r="V61" s="28">
        <f t="shared" si="0"/>
        <v>168.10000000000002</v>
      </c>
      <c r="W61" s="29">
        <f t="shared" si="1"/>
        <v>220.07142857142861</v>
      </c>
    </row>
    <row r="62" spans="1:23" x14ac:dyDescent="0.3">
      <c r="A62" s="1" t="s">
        <v>261</v>
      </c>
      <c r="B62" s="1" t="s">
        <v>262</v>
      </c>
      <c r="C62" s="1" t="s">
        <v>18</v>
      </c>
      <c r="D62" s="1" t="s">
        <v>19</v>
      </c>
      <c r="E62" s="1">
        <v>2006</v>
      </c>
      <c r="F62" s="1" t="s">
        <v>122</v>
      </c>
      <c r="G62" s="1" t="s">
        <v>263</v>
      </c>
      <c r="H62" s="1">
        <v>166</v>
      </c>
      <c r="I62" s="1" t="s">
        <v>50</v>
      </c>
      <c r="J62" s="1">
        <v>6.5</v>
      </c>
      <c r="K62" s="1">
        <v>446.1</v>
      </c>
      <c r="L62" s="1" t="s">
        <v>90</v>
      </c>
      <c r="M62" s="1" t="s">
        <v>66</v>
      </c>
      <c r="N62" s="1" t="s">
        <v>153</v>
      </c>
      <c r="O62" s="1"/>
      <c r="P62" s="1">
        <v>6</v>
      </c>
      <c r="Q62" s="1">
        <v>9.9</v>
      </c>
      <c r="R62" s="8" t="str">
        <f>_xlfn.IFS(J62&gt;=8,"Hit",J62&gt;=6,"Average",J62&lt;6,"Flop")</f>
        <v>Average</v>
      </c>
      <c r="S62" s="9" t="str">
        <f>_xlfn.IFS(K62&gt;=400,"Blockbuster",K62&gt;=200,"Popular",K62&lt;200,"Normal")</f>
        <v>Blockbuster</v>
      </c>
      <c r="T62" s="10" t="str">
        <f>IF(OR(I62="PG",I62="G"),"Yes","No")</f>
        <v>Yes</v>
      </c>
      <c r="U62" s="11" t="str">
        <f>IF(P62&gt;=100,"High","Low")</f>
        <v>Low</v>
      </c>
      <c r="V62" s="28">
        <f t="shared" si="0"/>
        <v>3.9000000000000004</v>
      </c>
      <c r="W62" s="29">
        <f t="shared" si="1"/>
        <v>165</v>
      </c>
    </row>
    <row r="63" spans="1:23" x14ac:dyDescent="0.3">
      <c r="A63" s="1" t="s">
        <v>264</v>
      </c>
      <c r="B63" s="1" t="s">
        <v>265</v>
      </c>
      <c r="C63" s="1" t="s">
        <v>18</v>
      </c>
      <c r="D63" s="1" t="s">
        <v>117</v>
      </c>
      <c r="E63" s="1">
        <v>2021</v>
      </c>
      <c r="F63" s="1" t="s">
        <v>181</v>
      </c>
      <c r="G63" s="1" t="s">
        <v>266</v>
      </c>
      <c r="H63" s="1">
        <v>157</v>
      </c>
      <c r="I63" s="1" t="s">
        <v>40</v>
      </c>
      <c r="J63" s="1">
        <v>5.5</v>
      </c>
      <c r="K63" s="1">
        <v>70.5</v>
      </c>
      <c r="L63" s="1" t="s">
        <v>41</v>
      </c>
      <c r="M63" s="1" t="s">
        <v>111</v>
      </c>
      <c r="N63" s="1" t="s">
        <v>43</v>
      </c>
      <c r="O63" s="1"/>
      <c r="P63" s="1">
        <v>87</v>
      </c>
      <c r="Q63" s="1">
        <v>389.8</v>
      </c>
      <c r="R63" s="8" t="str">
        <f>_xlfn.IFS(J63&gt;=8,"Hit",J63&gt;=6,"Average",J63&lt;6,"Flop")</f>
        <v>Flop</v>
      </c>
      <c r="S63" s="9" t="str">
        <f>_xlfn.IFS(K63&gt;=400,"Blockbuster",K63&gt;=200,"Popular",K63&lt;200,"Normal")</f>
        <v>Normal</v>
      </c>
      <c r="T63" s="10" t="str">
        <f>IF(OR(I63="PG",I63="G"),"Yes","No")</f>
        <v>Yes</v>
      </c>
      <c r="U63" s="11" t="str">
        <f>IF(P63&gt;=100,"High","Low")</f>
        <v>Low</v>
      </c>
      <c r="V63" s="28">
        <f t="shared" si="0"/>
        <v>302.8</v>
      </c>
      <c r="W63" s="29">
        <f t="shared" si="1"/>
        <v>448.04597701149424</v>
      </c>
    </row>
    <row r="64" spans="1:23" x14ac:dyDescent="0.3">
      <c r="A64" s="1" t="s">
        <v>267</v>
      </c>
      <c r="B64" s="1" t="s">
        <v>268</v>
      </c>
      <c r="C64" s="1" t="s">
        <v>18</v>
      </c>
      <c r="D64" s="1" t="s">
        <v>94</v>
      </c>
      <c r="E64" s="1">
        <v>2011</v>
      </c>
      <c r="F64" s="1" t="s">
        <v>20</v>
      </c>
      <c r="G64" s="1" t="s">
        <v>269</v>
      </c>
      <c r="H64" s="1">
        <v>131</v>
      </c>
      <c r="I64" s="1" t="s">
        <v>40</v>
      </c>
      <c r="J64" s="1">
        <v>6.4</v>
      </c>
      <c r="K64" s="1">
        <v>369.8</v>
      </c>
      <c r="L64" s="1" t="s">
        <v>41</v>
      </c>
      <c r="M64" s="1" t="s">
        <v>111</v>
      </c>
      <c r="N64" s="1" t="s">
        <v>91</v>
      </c>
      <c r="O64" s="1"/>
      <c r="P64" s="1">
        <v>156</v>
      </c>
      <c r="Q64" s="1">
        <v>336.2</v>
      </c>
      <c r="R64" s="8" t="str">
        <f>_xlfn.IFS(J64&gt;=8,"Hit",J64&gt;=6,"Average",J64&lt;6,"Flop")</f>
        <v>Average</v>
      </c>
      <c r="S64" s="9" t="str">
        <f>_xlfn.IFS(K64&gt;=400,"Blockbuster",K64&gt;=200,"Popular",K64&lt;200,"Normal")</f>
        <v>Popular</v>
      </c>
      <c r="T64" s="10" t="str">
        <f>IF(OR(I64="PG",I64="G"),"Yes","No")</f>
        <v>Yes</v>
      </c>
      <c r="U64" s="11" t="str">
        <f>IF(P64&gt;=100,"High","Low")</f>
        <v>High</v>
      </c>
      <c r="V64" s="28">
        <f t="shared" si="0"/>
        <v>180.2</v>
      </c>
      <c r="W64" s="29">
        <f t="shared" si="1"/>
        <v>215.5128205128205</v>
      </c>
    </row>
    <row r="65" spans="1:23" x14ac:dyDescent="0.3">
      <c r="A65" s="1" t="s">
        <v>270</v>
      </c>
      <c r="B65" s="1" t="s">
        <v>271</v>
      </c>
      <c r="C65" s="1" t="s">
        <v>46</v>
      </c>
      <c r="D65" s="1" t="s">
        <v>37</v>
      </c>
      <c r="E65" s="1">
        <v>2011</v>
      </c>
      <c r="F65" s="1" t="s">
        <v>48</v>
      </c>
      <c r="G65" s="1" t="s">
        <v>272</v>
      </c>
      <c r="H65" s="1">
        <v>48</v>
      </c>
      <c r="I65" s="1" t="s">
        <v>50</v>
      </c>
      <c r="J65" s="1">
        <v>8.5</v>
      </c>
      <c r="K65" s="1">
        <v>135.9</v>
      </c>
      <c r="L65" s="1" t="s">
        <v>71</v>
      </c>
      <c r="M65" s="1" t="s">
        <v>85</v>
      </c>
      <c r="N65" s="1" t="s">
        <v>25</v>
      </c>
      <c r="O65" s="1">
        <v>8</v>
      </c>
      <c r="P65" s="1">
        <v>46</v>
      </c>
      <c r="Q65" s="1">
        <v>236.1</v>
      </c>
      <c r="R65" s="8" t="str">
        <f>_xlfn.IFS(J65&gt;=8,"Hit",J65&gt;=6,"Average",J65&lt;6,"Flop")</f>
        <v>Hit</v>
      </c>
      <c r="S65" s="9" t="str">
        <f>_xlfn.IFS(K65&gt;=400,"Blockbuster",K65&gt;=200,"Popular",K65&lt;200,"Normal")</f>
        <v>Normal</v>
      </c>
      <c r="T65" s="10" t="str">
        <f>IF(OR(I65="PG",I65="G"),"Yes","No")</f>
        <v>Yes</v>
      </c>
      <c r="U65" s="11" t="str">
        <f>IF(P65&gt;=100,"High","Low")</f>
        <v>Low</v>
      </c>
      <c r="V65" s="28">
        <f t="shared" si="0"/>
        <v>190.1</v>
      </c>
      <c r="W65" s="29">
        <f t="shared" si="1"/>
        <v>513.26086956521738</v>
      </c>
    </row>
    <row r="66" spans="1:23" x14ac:dyDescent="0.3">
      <c r="A66" s="1" t="s">
        <v>273</v>
      </c>
      <c r="B66" s="1" t="s">
        <v>274</v>
      </c>
      <c r="C66" s="1" t="s">
        <v>46</v>
      </c>
      <c r="D66" s="1" t="s">
        <v>82</v>
      </c>
      <c r="E66" s="1">
        <v>2009</v>
      </c>
      <c r="F66" s="1" t="s">
        <v>29</v>
      </c>
      <c r="G66" s="1" t="s">
        <v>275</v>
      </c>
      <c r="H66" s="1">
        <v>50</v>
      </c>
      <c r="I66" s="1" t="s">
        <v>110</v>
      </c>
      <c r="J66" s="1">
        <v>7.7</v>
      </c>
      <c r="K66" s="1">
        <v>409.4</v>
      </c>
      <c r="L66" s="1" t="s">
        <v>90</v>
      </c>
      <c r="M66" s="1" t="s">
        <v>111</v>
      </c>
      <c r="N66" s="1" t="s">
        <v>128</v>
      </c>
      <c r="O66" s="1">
        <v>7</v>
      </c>
      <c r="P66" s="1">
        <v>72</v>
      </c>
      <c r="Q66" s="1">
        <v>401.6</v>
      </c>
      <c r="R66" s="8" t="str">
        <f>_xlfn.IFS(J66&gt;=8,"Hit",J66&gt;=6,"Average",J66&lt;6,"Flop")</f>
        <v>Average</v>
      </c>
      <c r="S66" s="9" t="str">
        <f>_xlfn.IFS(K66&gt;=400,"Blockbuster",K66&gt;=200,"Popular",K66&lt;200,"Normal")</f>
        <v>Blockbuster</v>
      </c>
      <c r="T66" s="10" t="str">
        <f>IF(OR(I66="PG",I66="G"),"Yes","No")</f>
        <v>No</v>
      </c>
      <c r="U66" s="11" t="str">
        <f>IF(P66&gt;=100,"High","Low")</f>
        <v>Low</v>
      </c>
      <c r="V66" s="28">
        <f t="shared" si="0"/>
        <v>329.6</v>
      </c>
      <c r="W66" s="29">
        <f t="shared" si="1"/>
        <v>557.77777777777783</v>
      </c>
    </row>
    <row r="67" spans="1:23" x14ac:dyDescent="0.3">
      <c r="A67" s="1" t="s">
        <v>276</v>
      </c>
      <c r="B67" s="1" t="s">
        <v>277</v>
      </c>
      <c r="C67" s="1" t="s">
        <v>46</v>
      </c>
      <c r="D67" s="1" t="s">
        <v>58</v>
      </c>
      <c r="E67" s="1">
        <v>2000</v>
      </c>
      <c r="F67" s="1" t="s">
        <v>76</v>
      </c>
      <c r="G67" s="1" t="s">
        <v>278</v>
      </c>
      <c r="H67" s="1">
        <v>47</v>
      </c>
      <c r="I67" s="1" t="s">
        <v>110</v>
      </c>
      <c r="J67" s="1">
        <v>5.0999999999999996</v>
      </c>
      <c r="K67" s="1">
        <v>255.5</v>
      </c>
      <c r="L67" s="1" t="s">
        <v>23</v>
      </c>
      <c r="M67" s="1" t="s">
        <v>85</v>
      </c>
      <c r="N67" s="1" t="s">
        <v>60</v>
      </c>
      <c r="O67" s="1">
        <v>6</v>
      </c>
      <c r="P67" s="1">
        <v>36</v>
      </c>
      <c r="Q67" s="1">
        <v>200.4</v>
      </c>
      <c r="R67" s="8" t="str">
        <f>_xlfn.IFS(J67&gt;=8,"Hit",J67&gt;=6,"Average",J67&lt;6,"Flop")</f>
        <v>Flop</v>
      </c>
      <c r="S67" s="9" t="str">
        <f>_xlfn.IFS(K67&gt;=400,"Blockbuster",K67&gt;=200,"Popular",K67&lt;200,"Normal")</f>
        <v>Popular</v>
      </c>
      <c r="T67" s="10" t="str">
        <f>IF(OR(I67="PG",I67="G"),"Yes","No")</f>
        <v>No</v>
      </c>
      <c r="U67" s="11" t="str">
        <f>IF(P67&gt;=100,"High","Low")</f>
        <v>Low</v>
      </c>
      <c r="V67" s="28">
        <f t="shared" ref="V67:V130" si="2">Q67-P67</f>
        <v>164.4</v>
      </c>
      <c r="W67" s="29">
        <f t="shared" ref="W67:W130" si="3">(Q67/P67)*100</f>
        <v>556.66666666666663</v>
      </c>
    </row>
    <row r="68" spans="1:23" x14ac:dyDescent="0.3">
      <c r="A68" s="1" t="s">
        <v>279</v>
      </c>
      <c r="B68" s="1" t="s">
        <v>280</v>
      </c>
      <c r="C68" s="1" t="s">
        <v>46</v>
      </c>
      <c r="D68" s="1" t="s">
        <v>19</v>
      </c>
      <c r="E68" s="1">
        <v>2025</v>
      </c>
      <c r="F68" s="1" t="s">
        <v>76</v>
      </c>
      <c r="G68" s="1" t="s">
        <v>281</v>
      </c>
      <c r="H68" s="1">
        <v>57</v>
      </c>
      <c r="I68" s="1" t="s">
        <v>110</v>
      </c>
      <c r="J68" s="1">
        <v>7.5</v>
      </c>
      <c r="K68" s="1">
        <v>218.8</v>
      </c>
      <c r="L68" s="1" t="s">
        <v>65</v>
      </c>
      <c r="M68" s="1" t="s">
        <v>132</v>
      </c>
      <c r="N68" s="1" t="s">
        <v>128</v>
      </c>
      <c r="O68" s="1">
        <v>3</v>
      </c>
      <c r="P68" s="1">
        <v>146</v>
      </c>
      <c r="Q68" s="1">
        <v>855.5</v>
      </c>
      <c r="R68" s="8" t="str">
        <f>_xlfn.IFS(J68&gt;=8,"Hit",J68&gt;=6,"Average",J68&lt;6,"Flop")</f>
        <v>Average</v>
      </c>
      <c r="S68" s="9" t="str">
        <f>_xlfn.IFS(K68&gt;=400,"Blockbuster",K68&gt;=200,"Popular",K68&lt;200,"Normal")</f>
        <v>Popular</v>
      </c>
      <c r="T68" s="10" t="str">
        <f>IF(OR(I68="PG",I68="G"),"Yes","No")</f>
        <v>No</v>
      </c>
      <c r="U68" s="11" t="str">
        <f>IF(P68&gt;=100,"High","Low")</f>
        <v>High</v>
      </c>
      <c r="V68" s="28">
        <f t="shared" si="2"/>
        <v>709.5</v>
      </c>
      <c r="W68" s="29">
        <f t="shared" si="3"/>
        <v>585.95890410958907</v>
      </c>
    </row>
    <row r="69" spans="1:23" x14ac:dyDescent="0.3">
      <c r="A69" s="1" t="s">
        <v>282</v>
      </c>
      <c r="B69" s="1" t="s">
        <v>283</v>
      </c>
      <c r="C69" s="1" t="s">
        <v>18</v>
      </c>
      <c r="D69" s="1" t="s">
        <v>82</v>
      </c>
      <c r="E69" s="1">
        <v>2018</v>
      </c>
      <c r="F69" s="1" t="s">
        <v>95</v>
      </c>
      <c r="G69" s="1" t="s">
        <v>284</v>
      </c>
      <c r="H69" s="1">
        <v>144</v>
      </c>
      <c r="I69" s="1" t="s">
        <v>31</v>
      </c>
      <c r="J69" s="1">
        <v>6.6</v>
      </c>
      <c r="K69" s="1">
        <v>163.4</v>
      </c>
      <c r="L69" s="1" t="s">
        <v>41</v>
      </c>
      <c r="M69" s="1" t="s">
        <v>42</v>
      </c>
      <c r="N69" s="1" t="s">
        <v>43</v>
      </c>
      <c r="O69" s="1"/>
      <c r="P69" s="1">
        <v>169</v>
      </c>
      <c r="Q69" s="1">
        <v>894.3</v>
      </c>
      <c r="R69" s="8" t="str">
        <f>_xlfn.IFS(J69&gt;=8,"Hit",J69&gt;=6,"Average",J69&lt;6,"Flop")</f>
        <v>Average</v>
      </c>
      <c r="S69" s="9" t="str">
        <f>_xlfn.IFS(K69&gt;=400,"Blockbuster",K69&gt;=200,"Popular",K69&lt;200,"Normal")</f>
        <v>Normal</v>
      </c>
      <c r="T69" s="10" t="str">
        <f>IF(OR(I69="PG",I69="G"),"Yes","No")</f>
        <v>No</v>
      </c>
      <c r="U69" s="11" t="str">
        <f>IF(P69&gt;=100,"High","Low")</f>
        <v>High</v>
      </c>
      <c r="V69" s="28">
        <f t="shared" si="2"/>
        <v>725.3</v>
      </c>
      <c r="W69" s="29">
        <f t="shared" si="3"/>
        <v>529.17159763313612</v>
      </c>
    </row>
    <row r="70" spans="1:23" x14ac:dyDescent="0.3">
      <c r="A70" s="1" t="s">
        <v>285</v>
      </c>
      <c r="B70" s="1" t="s">
        <v>286</v>
      </c>
      <c r="C70" s="1" t="s">
        <v>18</v>
      </c>
      <c r="D70" s="1" t="s">
        <v>82</v>
      </c>
      <c r="E70" s="1">
        <v>2003</v>
      </c>
      <c r="F70" s="1" t="s">
        <v>38</v>
      </c>
      <c r="G70" s="1" t="s">
        <v>142</v>
      </c>
      <c r="H70" s="1">
        <v>84</v>
      </c>
      <c r="I70" s="1" t="s">
        <v>22</v>
      </c>
      <c r="J70" s="1">
        <v>5.7</v>
      </c>
      <c r="K70" s="1">
        <v>484.3</v>
      </c>
      <c r="L70" s="1" t="s">
        <v>90</v>
      </c>
      <c r="M70" s="1" t="s">
        <v>146</v>
      </c>
      <c r="N70" s="1" t="s">
        <v>86</v>
      </c>
      <c r="O70" s="1"/>
      <c r="P70" s="1">
        <v>27</v>
      </c>
      <c r="Q70" s="1">
        <v>97</v>
      </c>
      <c r="R70" s="8" t="str">
        <f>_xlfn.IFS(J70&gt;=8,"Hit",J70&gt;=6,"Average",J70&lt;6,"Flop")</f>
        <v>Flop</v>
      </c>
      <c r="S70" s="9" t="str">
        <f>_xlfn.IFS(K70&gt;=400,"Blockbuster",K70&gt;=200,"Popular",K70&lt;200,"Normal")</f>
        <v>Blockbuster</v>
      </c>
      <c r="T70" s="10" t="str">
        <f>IF(OR(I70="PG",I70="G"),"Yes","No")</f>
        <v>No</v>
      </c>
      <c r="U70" s="11" t="str">
        <f>IF(P70&gt;=100,"High","Low")</f>
        <v>Low</v>
      </c>
      <c r="V70" s="28">
        <f t="shared" si="2"/>
        <v>70</v>
      </c>
      <c r="W70" s="29">
        <f t="shared" si="3"/>
        <v>359.25925925925924</v>
      </c>
    </row>
    <row r="71" spans="1:23" x14ac:dyDescent="0.3">
      <c r="A71" s="1" t="s">
        <v>287</v>
      </c>
      <c r="B71" s="1" t="s">
        <v>288</v>
      </c>
      <c r="C71" s="1" t="s">
        <v>46</v>
      </c>
      <c r="D71" s="1" t="s">
        <v>82</v>
      </c>
      <c r="E71" s="1">
        <v>2002</v>
      </c>
      <c r="F71" s="1" t="s">
        <v>83</v>
      </c>
      <c r="G71" s="1" t="s">
        <v>289</v>
      </c>
      <c r="H71" s="1">
        <v>37</v>
      </c>
      <c r="I71" s="1" t="s">
        <v>40</v>
      </c>
      <c r="J71" s="1">
        <v>9.4</v>
      </c>
      <c r="K71" s="1">
        <v>73.7</v>
      </c>
      <c r="L71" s="1" t="s">
        <v>65</v>
      </c>
      <c r="M71" s="1" t="s">
        <v>111</v>
      </c>
      <c r="N71" s="1" t="s">
        <v>67</v>
      </c>
      <c r="O71" s="1">
        <v>5</v>
      </c>
      <c r="P71" s="1">
        <v>118</v>
      </c>
      <c r="Q71" s="1">
        <v>705.8</v>
      </c>
      <c r="R71" s="8" t="str">
        <f>_xlfn.IFS(J71&gt;=8,"Hit",J71&gt;=6,"Average",J71&lt;6,"Flop")</f>
        <v>Hit</v>
      </c>
      <c r="S71" s="9" t="str">
        <f>_xlfn.IFS(K71&gt;=400,"Blockbuster",K71&gt;=200,"Popular",K71&lt;200,"Normal")</f>
        <v>Normal</v>
      </c>
      <c r="T71" s="10" t="str">
        <f>IF(OR(I71="PG",I71="G"),"Yes","No")</f>
        <v>Yes</v>
      </c>
      <c r="U71" s="11" t="str">
        <f>IF(P71&gt;=100,"High","Low")</f>
        <v>High</v>
      </c>
      <c r="V71" s="28">
        <f t="shared" si="2"/>
        <v>587.79999999999995</v>
      </c>
      <c r="W71" s="29">
        <f t="shared" si="3"/>
        <v>598.13559322033893</v>
      </c>
    </row>
    <row r="72" spans="1:23" x14ac:dyDescent="0.3">
      <c r="A72" s="1" t="s">
        <v>290</v>
      </c>
      <c r="B72" s="1" t="s">
        <v>291</v>
      </c>
      <c r="C72" s="1" t="s">
        <v>18</v>
      </c>
      <c r="D72" s="1" t="s">
        <v>47</v>
      </c>
      <c r="E72" s="1">
        <v>2021</v>
      </c>
      <c r="F72" s="1" t="s">
        <v>100</v>
      </c>
      <c r="G72" s="1" t="s">
        <v>292</v>
      </c>
      <c r="H72" s="1">
        <v>168</v>
      </c>
      <c r="I72" s="1" t="s">
        <v>40</v>
      </c>
      <c r="J72" s="1">
        <v>5.2</v>
      </c>
      <c r="K72" s="1">
        <v>232.1</v>
      </c>
      <c r="L72" s="1" t="s">
        <v>71</v>
      </c>
      <c r="M72" s="1" t="s">
        <v>111</v>
      </c>
      <c r="N72" s="1" t="s">
        <v>91</v>
      </c>
      <c r="O72" s="1"/>
      <c r="P72" s="1">
        <v>171</v>
      </c>
      <c r="Q72" s="1">
        <v>974.2</v>
      </c>
      <c r="R72" s="8" t="str">
        <f>_xlfn.IFS(J72&gt;=8,"Hit",J72&gt;=6,"Average",J72&lt;6,"Flop")</f>
        <v>Flop</v>
      </c>
      <c r="S72" s="9" t="str">
        <f>_xlfn.IFS(K72&gt;=400,"Blockbuster",K72&gt;=200,"Popular",K72&lt;200,"Normal")</f>
        <v>Popular</v>
      </c>
      <c r="T72" s="10" t="str">
        <f>IF(OR(I72="PG",I72="G"),"Yes","No")</f>
        <v>Yes</v>
      </c>
      <c r="U72" s="11" t="str">
        <f>IF(P72&gt;=100,"High","Low")</f>
        <v>High</v>
      </c>
      <c r="V72" s="28">
        <f t="shared" si="2"/>
        <v>803.2</v>
      </c>
      <c r="W72" s="29">
        <f t="shared" si="3"/>
        <v>569.70760233918134</v>
      </c>
    </row>
    <row r="73" spans="1:23" x14ac:dyDescent="0.3">
      <c r="A73" s="1" t="s">
        <v>293</v>
      </c>
      <c r="B73" s="1" t="s">
        <v>294</v>
      </c>
      <c r="C73" s="1" t="s">
        <v>46</v>
      </c>
      <c r="D73" s="1" t="s">
        <v>141</v>
      </c>
      <c r="E73" s="1">
        <v>2014</v>
      </c>
      <c r="F73" s="1" t="s">
        <v>48</v>
      </c>
      <c r="G73" s="1" t="s">
        <v>295</v>
      </c>
      <c r="H73" s="1">
        <v>32</v>
      </c>
      <c r="I73" s="1" t="s">
        <v>110</v>
      </c>
      <c r="J73" s="1">
        <v>4.8</v>
      </c>
      <c r="K73" s="1">
        <v>88.6</v>
      </c>
      <c r="L73" s="1" t="s">
        <v>171</v>
      </c>
      <c r="M73" s="1" t="s">
        <v>157</v>
      </c>
      <c r="N73" s="1" t="s">
        <v>158</v>
      </c>
      <c r="O73" s="1">
        <v>6</v>
      </c>
      <c r="P73" s="1">
        <v>71</v>
      </c>
      <c r="Q73" s="1">
        <v>419.7</v>
      </c>
      <c r="R73" s="8" t="str">
        <f>_xlfn.IFS(J73&gt;=8,"Hit",J73&gt;=6,"Average",J73&lt;6,"Flop")</f>
        <v>Flop</v>
      </c>
      <c r="S73" s="9" t="str">
        <f>_xlfn.IFS(K73&gt;=400,"Blockbuster",K73&gt;=200,"Popular",K73&lt;200,"Normal")</f>
        <v>Normal</v>
      </c>
      <c r="T73" s="10" t="str">
        <f>IF(OR(I73="PG",I73="G"),"Yes","No")</f>
        <v>No</v>
      </c>
      <c r="U73" s="11" t="str">
        <f>IF(P73&gt;=100,"High","Low")</f>
        <v>Low</v>
      </c>
      <c r="V73" s="28">
        <f t="shared" si="2"/>
        <v>348.7</v>
      </c>
      <c r="W73" s="29">
        <f t="shared" si="3"/>
        <v>591.12676056338023</v>
      </c>
    </row>
    <row r="74" spans="1:23" x14ac:dyDescent="0.3">
      <c r="A74" s="1" t="s">
        <v>296</v>
      </c>
      <c r="B74" s="1" t="s">
        <v>297</v>
      </c>
      <c r="C74" s="1" t="s">
        <v>18</v>
      </c>
      <c r="D74" s="1" t="s">
        <v>141</v>
      </c>
      <c r="E74" s="1">
        <v>2014</v>
      </c>
      <c r="F74" s="1" t="s">
        <v>95</v>
      </c>
      <c r="G74" s="1" t="s">
        <v>298</v>
      </c>
      <c r="H74" s="1">
        <v>142</v>
      </c>
      <c r="I74" s="1" t="s">
        <v>110</v>
      </c>
      <c r="J74" s="1">
        <v>5.5</v>
      </c>
      <c r="K74" s="1">
        <v>574.6</v>
      </c>
      <c r="L74" s="1" t="s">
        <v>90</v>
      </c>
      <c r="M74" s="1" t="s">
        <v>78</v>
      </c>
      <c r="N74" s="1" t="s">
        <v>25</v>
      </c>
      <c r="O74" s="1"/>
      <c r="P74" s="1">
        <v>61</v>
      </c>
      <c r="Q74" s="1">
        <v>237.8</v>
      </c>
      <c r="R74" s="8" t="str">
        <f>_xlfn.IFS(J74&gt;=8,"Hit",J74&gt;=6,"Average",J74&lt;6,"Flop")</f>
        <v>Flop</v>
      </c>
      <c r="S74" s="9" t="str">
        <f>_xlfn.IFS(K74&gt;=400,"Blockbuster",K74&gt;=200,"Popular",K74&lt;200,"Normal")</f>
        <v>Blockbuster</v>
      </c>
      <c r="T74" s="10" t="str">
        <f>IF(OR(I74="PG",I74="G"),"Yes","No")</f>
        <v>No</v>
      </c>
      <c r="U74" s="11" t="str">
        <f>IF(P74&gt;=100,"High","Low")</f>
        <v>Low</v>
      </c>
      <c r="V74" s="28">
        <f t="shared" si="2"/>
        <v>176.8</v>
      </c>
      <c r="W74" s="29">
        <f t="shared" si="3"/>
        <v>389.83606557377055</v>
      </c>
    </row>
    <row r="75" spans="1:23" x14ac:dyDescent="0.3">
      <c r="A75" s="1" t="s">
        <v>299</v>
      </c>
      <c r="B75" s="1" t="s">
        <v>300</v>
      </c>
      <c r="C75" s="1" t="s">
        <v>46</v>
      </c>
      <c r="D75" s="1" t="s">
        <v>75</v>
      </c>
      <c r="E75" s="1">
        <v>2007</v>
      </c>
      <c r="F75" s="1" t="s">
        <v>100</v>
      </c>
      <c r="G75" s="1" t="s">
        <v>301</v>
      </c>
      <c r="H75" s="1">
        <v>57</v>
      </c>
      <c r="I75" s="1" t="s">
        <v>50</v>
      </c>
      <c r="J75" s="1">
        <v>8.4</v>
      </c>
      <c r="K75" s="1">
        <v>448.4</v>
      </c>
      <c r="L75" s="1" t="s">
        <v>41</v>
      </c>
      <c r="M75" s="1" t="s">
        <v>132</v>
      </c>
      <c r="N75" s="1" t="s">
        <v>60</v>
      </c>
      <c r="O75" s="1">
        <v>2</v>
      </c>
      <c r="P75" s="1">
        <v>169</v>
      </c>
      <c r="Q75" s="1">
        <v>213.7</v>
      </c>
      <c r="R75" s="8" t="str">
        <f>_xlfn.IFS(J75&gt;=8,"Hit",J75&gt;=6,"Average",J75&lt;6,"Flop")</f>
        <v>Hit</v>
      </c>
      <c r="S75" s="9" t="str">
        <f>_xlfn.IFS(K75&gt;=400,"Blockbuster",K75&gt;=200,"Popular",K75&lt;200,"Normal")</f>
        <v>Blockbuster</v>
      </c>
      <c r="T75" s="10" t="str">
        <f>IF(OR(I75="PG",I75="G"),"Yes","No")</f>
        <v>Yes</v>
      </c>
      <c r="U75" s="11" t="str">
        <f>IF(P75&gt;=100,"High","Low")</f>
        <v>High</v>
      </c>
      <c r="V75" s="28">
        <f t="shared" si="2"/>
        <v>44.699999999999989</v>
      </c>
      <c r="W75" s="29">
        <f t="shared" si="3"/>
        <v>126.44970414201183</v>
      </c>
    </row>
    <row r="76" spans="1:23" x14ac:dyDescent="0.3">
      <c r="A76" s="1" t="s">
        <v>302</v>
      </c>
      <c r="B76" s="1" t="s">
        <v>303</v>
      </c>
      <c r="C76" s="1" t="s">
        <v>46</v>
      </c>
      <c r="D76" s="1" t="s">
        <v>75</v>
      </c>
      <c r="E76" s="1">
        <v>2024</v>
      </c>
      <c r="F76" s="1" t="s">
        <v>20</v>
      </c>
      <c r="G76" s="1" t="s">
        <v>304</v>
      </c>
      <c r="H76" s="1">
        <v>57</v>
      </c>
      <c r="I76" s="1" t="s">
        <v>22</v>
      </c>
      <c r="J76" s="1">
        <v>7.6</v>
      </c>
      <c r="K76" s="1">
        <v>216.9</v>
      </c>
      <c r="L76" s="1" t="s">
        <v>32</v>
      </c>
      <c r="M76" s="1" t="s">
        <v>33</v>
      </c>
      <c r="N76" s="1" t="s">
        <v>91</v>
      </c>
      <c r="O76" s="1">
        <v>3</v>
      </c>
      <c r="P76" s="1">
        <v>67</v>
      </c>
      <c r="Q76" s="1">
        <v>431.7</v>
      </c>
      <c r="R76" s="8" t="str">
        <f>_xlfn.IFS(J76&gt;=8,"Hit",J76&gt;=6,"Average",J76&lt;6,"Flop")</f>
        <v>Average</v>
      </c>
      <c r="S76" s="9" t="str">
        <f>_xlfn.IFS(K76&gt;=400,"Blockbuster",K76&gt;=200,"Popular",K76&lt;200,"Normal")</f>
        <v>Popular</v>
      </c>
      <c r="T76" s="10" t="str">
        <f>IF(OR(I76="PG",I76="G"),"Yes","No")</f>
        <v>No</v>
      </c>
      <c r="U76" s="11" t="str">
        <f>IF(P76&gt;=100,"High","Low")</f>
        <v>Low</v>
      </c>
      <c r="V76" s="28">
        <f t="shared" si="2"/>
        <v>364.7</v>
      </c>
      <c r="W76" s="29">
        <f t="shared" si="3"/>
        <v>644.32835820895514</v>
      </c>
    </row>
    <row r="77" spans="1:23" x14ac:dyDescent="0.3">
      <c r="A77" s="1" t="s">
        <v>305</v>
      </c>
      <c r="B77" s="1" t="s">
        <v>306</v>
      </c>
      <c r="C77" s="1" t="s">
        <v>46</v>
      </c>
      <c r="D77" s="1" t="s">
        <v>47</v>
      </c>
      <c r="E77" s="1">
        <v>2007</v>
      </c>
      <c r="F77" s="1" t="s">
        <v>38</v>
      </c>
      <c r="G77" s="1" t="s">
        <v>307</v>
      </c>
      <c r="H77" s="1">
        <v>35</v>
      </c>
      <c r="I77" s="1" t="s">
        <v>110</v>
      </c>
      <c r="J77" s="1">
        <v>4.9000000000000004</v>
      </c>
      <c r="K77" s="1">
        <v>209.9</v>
      </c>
      <c r="L77" s="1" t="s">
        <v>171</v>
      </c>
      <c r="M77" s="1" t="s">
        <v>132</v>
      </c>
      <c r="N77" s="1" t="s">
        <v>79</v>
      </c>
      <c r="O77" s="1">
        <v>4</v>
      </c>
      <c r="P77" s="1">
        <v>112</v>
      </c>
      <c r="Q77" s="1">
        <v>265.10000000000002</v>
      </c>
      <c r="R77" s="8" t="str">
        <f>_xlfn.IFS(J77&gt;=8,"Hit",J77&gt;=6,"Average",J77&lt;6,"Flop")</f>
        <v>Flop</v>
      </c>
      <c r="S77" s="9" t="str">
        <f>_xlfn.IFS(K77&gt;=400,"Blockbuster",K77&gt;=200,"Popular",K77&lt;200,"Normal")</f>
        <v>Popular</v>
      </c>
      <c r="T77" s="10" t="str">
        <f>IF(OR(I77="PG",I77="G"),"Yes","No")</f>
        <v>No</v>
      </c>
      <c r="U77" s="11" t="str">
        <f>IF(P77&gt;=100,"High","Low")</f>
        <v>High</v>
      </c>
      <c r="V77" s="28">
        <f t="shared" si="2"/>
        <v>153.10000000000002</v>
      </c>
      <c r="W77" s="29">
        <f t="shared" si="3"/>
        <v>236.69642857142858</v>
      </c>
    </row>
    <row r="78" spans="1:23" x14ac:dyDescent="0.3">
      <c r="A78" s="1" t="s">
        <v>308</v>
      </c>
      <c r="B78" s="1" t="s">
        <v>309</v>
      </c>
      <c r="C78" s="1" t="s">
        <v>46</v>
      </c>
      <c r="D78" s="1" t="s">
        <v>47</v>
      </c>
      <c r="E78" s="1">
        <v>2004</v>
      </c>
      <c r="F78" s="1" t="s">
        <v>122</v>
      </c>
      <c r="G78" s="1" t="s">
        <v>310</v>
      </c>
      <c r="H78" s="1">
        <v>40</v>
      </c>
      <c r="I78" s="1" t="s">
        <v>110</v>
      </c>
      <c r="J78" s="1">
        <v>7.9</v>
      </c>
      <c r="K78" s="1">
        <v>36.5</v>
      </c>
      <c r="L78" s="1" t="s">
        <v>41</v>
      </c>
      <c r="M78" s="1" t="s">
        <v>66</v>
      </c>
      <c r="N78" s="1" t="s">
        <v>128</v>
      </c>
      <c r="O78" s="1">
        <v>5</v>
      </c>
      <c r="P78" s="1">
        <v>114</v>
      </c>
      <c r="Q78" s="1">
        <v>573.9</v>
      </c>
      <c r="R78" s="8" t="str">
        <f>_xlfn.IFS(J78&gt;=8,"Hit",J78&gt;=6,"Average",J78&lt;6,"Flop")</f>
        <v>Average</v>
      </c>
      <c r="S78" s="9" t="str">
        <f>_xlfn.IFS(K78&gt;=400,"Blockbuster",K78&gt;=200,"Popular",K78&lt;200,"Normal")</f>
        <v>Normal</v>
      </c>
      <c r="T78" s="10" t="str">
        <f>IF(OR(I78="PG",I78="G"),"Yes","No")</f>
        <v>No</v>
      </c>
      <c r="U78" s="11" t="str">
        <f>IF(P78&gt;=100,"High","Low")</f>
        <v>High</v>
      </c>
      <c r="V78" s="28">
        <f t="shared" si="2"/>
        <v>459.9</v>
      </c>
      <c r="W78" s="29">
        <f t="shared" si="3"/>
        <v>503.4210526315789</v>
      </c>
    </row>
    <row r="79" spans="1:23" x14ac:dyDescent="0.3">
      <c r="A79" s="1" t="s">
        <v>311</v>
      </c>
      <c r="B79" s="1" t="s">
        <v>312</v>
      </c>
      <c r="C79" s="1" t="s">
        <v>46</v>
      </c>
      <c r="D79" s="1" t="s">
        <v>82</v>
      </c>
      <c r="E79" s="1">
        <v>2019</v>
      </c>
      <c r="F79" s="1" t="s">
        <v>38</v>
      </c>
      <c r="G79" s="1" t="s">
        <v>313</v>
      </c>
      <c r="H79" s="1">
        <v>47</v>
      </c>
      <c r="I79" s="1" t="s">
        <v>40</v>
      </c>
      <c r="J79" s="1">
        <v>7.3</v>
      </c>
      <c r="K79" s="1">
        <v>52.6</v>
      </c>
      <c r="L79" s="1" t="s">
        <v>23</v>
      </c>
      <c r="M79" s="1" t="s">
        <v>72</v>
      </c>
      <c r="N79" s="1" t="s">
        <v>25</v>
      </c>
      <c r="O79" s="1">
        <v>2</v>
      </c>
      <c r="P79" s="1">
        <v>153</v>
      </c>
      <c r="Q79" s="1">
        <v>636.1</v>
      </c>
      <c r="R79" s="8" t="str">
        <f>_xlfn.IFS(J79&gt;=8,"Hit",J79&gt;=6,"Average",J79&lt;6,"Flop")</f>
        <v>Average</v>
      </c>
      <c r="S79" s="9" t="str">
        <f>_xlfn.IFS(K79&gt;=400,"Blockbuster",K79&gt;=200,"Popular",K79&lt;200,"Normal")</f>
        <v>Normal</v>
      </c>
      <c r="T79" s="10" t="str">
        <f>IF(OR(I79="PG",I79="G"),"Yes","No")</f>
        <v>Yes</v>
      </c>
      <c r="U79" s="11" t="str">
        <f>IF(P79&gt;=100,"High","Low")</f>
        <v>High</v>
      </c>
      <c r="V79" s="28">
        <f t="shared" si="2"/>
        <v>483.1</v>
      </c>
      <c r="W79" s="29">
        <f t="shared" si="3"/>
        <v>415.75163398692814</v>
      </c>
    </row>
    <row r="80" spans="1:23" x14ac:dyDescent="0.3">
      <c r="A80" s="1" t="s">
        <v>314</v>
      </c>
      <c r="B80" s="1" t="s">
        <v>315</v>
      </c>
      <c r="C80" s="1" t="s">
        <v>46</v>
      </c>
      <c r="D80" s="1" t="s">
        <v>117</v>
      </c>
      <c r="E80" s="1">
        <v>2002</v>
      </c>
      <c r="F80" s="1" t="s">
        <v>95</v>
      </c>
      <c r="G80" s="1" t="s">
        <v>316</v>
      </c>
      <c r="H80" s="1">
        <v>51</v>
      </c>
      <c r="I80" s="1" t="s">
        <v>22</v>
      </c>
      <c r="J80" s="1">
        <v>8.1999999999999993</v>
      </c>
      <c r="K80" s="1">
        <v>201.7</v>
      </c>
      <c r="L80" s="1" t="s">
        <v>65</v>
      </c>
      <c r="M80" s="1" t="s">
        <v>24</v>
      </c>
      <c r="N80" s="1" t="s">
        <v>79</v>
      </c>
      <c r="O80" s="1">
        <v>8</v>
      </c>
      <c r="P80" s="1">
        <v>60</v>
      </c>
      <c r="Q80" s="1">
        <v>162.30000000000001</v>
      </c>
      <c r="R80" s="8" t="str">
        <f>_xlfn.IFS(J80&gt;=8,"Hit",J80&gt;=6,"Average",J80&lt;6,"Flop")</f>
        <v>Hit</v>
      </c>
      <c r="S80" s="9" t="str">
        <f>_xlfn.IFS(K80&gt;=400,"Blockbuster",K80&gt;=200,"Popular",K80&lt;200,"Normal")</f>
        <v>Popular</v>
      </c>
      <c r="T80" s="10" t="str">
        <f>IF(OR(I80="PG",I80="G"),"Yes","No")</f>
        <v>No</v>
      </c>
      <c r="U80" s="11" t="str">
        <f>IF(P80&gt;=100,"High","Low")</f>
        <v>Low</v>
      </c>
      <c r="V80" s="28">
        <f t="shared" si="2"/>
        <v>102.30000000000001</v>
      </c>
      <c r="W80" s="29">
        <f t="shared" si="3"/>
        <v>270.5</v>
      </c>
    </row>
    <row r="81" spans="1:23" x14ac:dyDescent="0.3">
      <c r="A81" s="1" t="s">
        <v>317</v>
      </c>
      <c r="B81" s="1" t="s">
        <v>318</v>
      </c>
      <c r="C81" s="1" t="s">
        <v>46</v>
      </c>
      <c r="D81" s="1" t="s">
        <v>141</v>
      </c>
      <c r="E81" s="1">
        <v>2000</v>
      </c>
      <c r="F81" s="1" t="s">
        <v>20</v>
      </c>
      <c r="G81" s="1" t="s">
        <v>319</v>
      </c>
      <c r="H81" s="1">
        <v>60</v>
      </c>
      <c r="I81" s="1" t="s">
        <v>50</v>
      </c>
      <c r="J81" s="1">
        <v>5.7</v>
      </c>
      <c r="K81" s="1">
        <v>89.5</v>
      </c>
      <c r="L81" s="1" t="s">
        <v>23</v>
      </c>
      <c r="M81" s="1" t="s">
        <v>66</v>
      </c>
      <c r="N81" s="1" t="s">
        <v>119</v>
      </c>
      <c r="O81" s="1">
        <v>8</v>
      </c>
      <c r="P81" s="1">
        <v>76</v>
      </c>
      <c r="Q81" s="1">
        <v>433.9</v>
      </c>
      <c r="R81" s="8" t="str">
        <f>_xlfn.IFS(J81&gt;=8,"Hit",J81&gt;=6,"Average",J81&lt;6,"Flop")</f>
        <v>Flop</v>
      </c>
      <c r="S81" s="9" t="str">
        <f>_xlfn.IFS(K81&gt;=400,"Blockbuster",K81&gt;=200,"Popular",K81&lt;200,"Normal")</f>
        <v>Normal</v>
      </c>
      <c r="T81" s="10" t="str">
        <f>IF(OR(I81="PG",I81="G"),"Yes","No")</f>
        <v>Yes</v>
      </c>
      <c r="U81" s="11" t="str">
        <f>IF(P81&gt;=100,"High","Low")</f>
        <v>Low</v>
      </c>
      <c r="V81" s="28">
        <f t="shared" si="2"/>
        <v>357.9</v>
      </c>
      <c r="W81" s="29">
        <f t="shared" si="3"/>
        <v>570.92105263157885</v>
      </c>
    </row>
    <row r="82" spans="1:23" x14ac:dyDescent="0.3">
      <c r="A82" s="1" t="s">
        <v>320</v>
      </c>
      <c r="B82" s="1" t="s">
        <v>321</v>
      </c>
      <c r="C82" s="1" t="s">
        <v>18</v>
      </c>
      <c r="D82" s="1" t="s">
        <v>82</v>
      </c>
      <c r="E82" s="1">
        <v>2006</v>
      </c>
      <c r="F82" s="1" t="s">
        <v>48</v>
      </c>
      <c r="G82" s="1" t="s">
        <v>322</v>
      </c>
      <c r="H82" s="1">
        <v>101</v>
      </c>
      <c r="I82" s="1" t="s">
        <v>110</v>
      </c>
      <c r="J82" s="1">
        <v>6.8</v>
      </c>
      <c r="K82" s="1">
        <v>214</v>
      </c>
      <c r="L82" s="1" t="s">
        <v>71</v>
      </c>
      <c r="M82" s="1" t="s">
        <v>78</v>
      </c>
      <c r="N82" s="1" t="s">
        <v>25</v>
      </c>
      <c r="O82" s="1"/>
      <c r="P82" s="1">
        <v>143</v>
      </c>
      <c r="Q82" s="1">
        <v>184.3</v>
      </c>
      <c r="R82" s="8" t="str">
        <f>_xlfn.IFS(J82&gt;=8,"Hit",J82&gt;=6,"Average",J82&lt;6,"Flop")</f>
        <v>Average</v>
      </c>
      <c r="S82" s="9" t="str">
        <f>_xlfn.IFS(K82&gt;=400,"Blockbuster",K82&gt;=200,"Popular",K82&lt;200,"Normal")</f>
        <v>Popular</v>
      </c>
      <c r="T82" s="10" t="str">
        <f>IF(OR(I82="PG",I82="G"),"Yes","No")</f>
        <v>No</v>
      </c>
      <c r="U82" s="11" t="str">
        <f>IF(P82&gt;=100,"High","Low")</f>
        <v>High</v>
      </c>
      <c r="V82" s="28">
        <f t="shared" si="2"/>
        <v>41.300000000000011</v>
      </c>
      <c r="W82" s="29">
        <f t="shared" si="3"/>
        <v>128.88111888111888</v>
      </c>
    </row>
    <row r="83" spans="1:23" x14ac:dyDescent="0.3">
      <c r="A83" s="1" t="s">
        <v>323</v>
      </c>
      <c r="B83" s="1" t="s">
        <v>324</v>
      </c>
      <c r="C83" s="1" t="s">
        <v>18</v>
      </c>
      <c r="D83" s="1" t="s">
        <v>58</v>
      </c>
      <c r="E83" s="1">
        <v>2017</v>
      </c>
      <c r="F83" s="1" t="s">
        <v>38</v>
      </c>
      <c r="G83" s="1" t="s">
        <v>325</v>
      </c>
      <c r="H83" s="1">
        <v>135</v>
      </c>
      <c r="I83" s="1" t="s">
        <v>40</v>
      </c>
      <c r="J83" s="1">
        <v>8.8000000000000007</v>
      </c>
      <c r="K83" s="1">
        <v>302.39999999999998</v>
      </c>
      <c r="L83" s="1" t="s">
        <v>90</v>
      </c>
      <c r="M83" s="1" t="s">
        <v>157</v>
      </c>
      <c r="N83" s="1" t="s">
        <v>67</v>
      </c>
      <c r="O83" s="1"/>
      <c r="P83" s="1">
        <v>131</v>
      </c>
      <c r="Q83" s="1">
        <v>822.3</v>
      </c>
      <c r="R83" s="8" t="str">
        <f>_xlfn.IFS(J83&gt;=8,"Hit",J83&gt;=6,"Average",J83&lt;6,"Flop")</f>
        <v>Hit</v>
      </c>
      <c r="S83" s="9" t="str">
        <f>_xlfn.IFS(K83&gt;=400,"Blockbuster",K83&gt;=200,"Popular",K83&lt;200,"Normal")</f>
        <v>Popular</v>
      </c>
      <c r="T83" s="10" t="str">
        <f>IF(OR(I83="PG",I83="G"),"Yes","No")</f>
        <v>Yes</v>
      </c>
      <c r="U83" s="11" t="str">
        <f>IF(P83&gt;=100,"High","Low")</f>
        <v>High</v>
      </c>
      <c r="V83" s="28">
        <f t="shared" si="2"/>
        <v>691.3</v>
      </c>
      <c r="W83" s="29">
        <f t="shared" si="3"/>
        <v>627.70992366412213</v>
      </c>
    </row>
    <row r="84" spans="1:23" x14ac:dyDescent="0.3">
      <c r="A84" s="1" t="s">
        <v>326</v>
      </c>
      <c r="B84" s="1" t="s">
        <v>327</v>
      </c>
      <c r="C84" s="1" t="s">
        <v>46</v>
      </c>
      <c r="D84" s="1" t="s">
        <v>28</v>
      </c>
      <c r="E84" s="1">
        <v>2021</v>
      </c>
      <c r="F84" s="1" t="s">
        <v>95</v>
      </c>
      <c r="G84" s="1" t="s">
        <v>328</v>
      </c>
      <c r="H84" s="1">
        <v>41</v>
      </c>
      <c r="I84" s="1" t="s">
        <v>40</v>
      </c>
      <c r="J84" s="1">
        <v>7.5</v>
      </c>
      <c r="K84" s="1">
        <v>122.5</v>
      </c>
      <c r="L84" s="1" t="s">
        <v>171</v>
      </c>
      <c r="M84" s="1" t="s">
        <v>24</v>
      </c>
      <c r="N84" s="1" t="s">
        <v>79</v>
      </c>
      <c r="O84" s="1">
        <v>5</v>
      </c>
      <c r="P84" s="1">
        <v>175</v>
      </c>
      <c r="Q84" s="1">
        <v>706.7</v>
      </c>
      <c r="R84" s="8" t="str">
        <f>_xlfn.IFS(J84&gt;=8,"Hit",J84&gt;=6,"Average",J84&lt;6,"Flop")</f>
        <v>Average</v>
      </c>
      <c r="S84" s="9" t="str">
        <f>_xlfn.IFS(K84&gt;=400,"Blockbuster",K84&gt;=200,"Popular",K84&lt;200,"Normal")</f>
        <v>Normal</v>
      </c>
      <c r="T84" s="10" t="str">
        <f>IF(OR(I84="PG",I84="G"),"Yes","No")</f>
        <v>Yes</v>
      </c>
      <c r="U84" s="11" t="str">
        <f>IF(P84&gt;=100,"High","Low")</f>
        <v>High</v>
      </c>
      <c r="V84" s="28">
        <f t="shared" si="2"/>
        <v>531.70000000000005</v>
      </c>
      <c r="W84" s="29">
        <f t="shared" si="3"/>
        <v>403.82857142857142</v>
      </c>
    </row>
    <row r="85" spans="1:23" x14ac:dyDescent="0.3">
      <c r="A85" s="1" t="s">
        <v>329</v>
      </c>
      <c r="B85" s="1" t="s">
        <v>330</v>
      </c>
      <c r="C85" s="1" t="s">
        <v>18</v>
      </c>
      <c r="D85" s="1" t="s">
        <v>63</v>
      </c>
      <c r="E85" s="1">
        <v>2003</v>
      </c>
      <c r="F85" s="1" t="s">
        <v>38</v>
      </c>
      <c r="G85" s="1" t="s">
        <v>331</v>
      </c>
      <c r="H85" s="1">
        <v>123</v>
      </c>
      <c r="I85" s="1" t="s">
        <v>40</v>
      </c>
      <c r="J85" s="1">
        <v>7.7</v>
      </c>
      <c r="K85" s="1">
        <v>379.4</v>
      </c>
      <c r="L85" s="1" t="s">
        <v>71</v>
      </c>
      <c r="M85" s="1" t="s">
        <v>54</v>
      </c>
      <c r="N85" s="1" t="s">
        <v>158</v>
      </c>
      <c r="O85" s="1"/>
      <c r="P85" s="1">
        <v>13</v>
      </c>
      <c r="Q85" s="1">
        <v>34.5</v>
      </c>
      <c r="R85" s="8" t="str">
        <f>_xlfn.IFS(J85&gt;=8,"Hit",J85&gt;=6,"Average",J85&lt;6,"Flop")</f>
        <v>Average</v>
      </c>
      <c r="S85" s="9" t="str">
        <f>_xlfn.IFS(K85&gt;=400,"Blockbuster",K85&gt;=200,"Popular",K85&lt;200,"Normal")</f>
        <v>Popular</v>
      </c>
      <c r="T85" s="10" t="str">
        <f>IF(OR(I85="PG",I85="G"),"Yes","No")</f>
        <v>Yes</v>
      </c>
      <c r="U85" s="11" t="str">
        <f>IF(P85&gt;=100,"High","Low")</f>
        <v>Low</v>
      </c>
      <c r="V85" s="28">
        <f t="shared" si="2"/>
        <v>21.5</v>
      </c>
      <c r="W85" s="29">
        <f t="shared" si="3"/>
        <v>265.38461538461536</v>
      </c>
    </row>
    <row r="86" spans="1:23" x14ac:dyDescent="0.3">
      <c r="A86" s="1" t="s">
        <v>332</v>
      </c>
      <c r="B86" s="1" t="s">
        <v>333</v>
      </c>
      <c r="C86" s="1" t="s">
        <v>18</v>
      </c>
      <c r="D86" s="1" t="s">
        <v>75</v>
      </c>
      <c r="E86" s="1">
        <v>2020</v>
      </c>
      <c r="F86" s="1" t="s">
        <v>122</v>
      </c>
      <c r="G86" s="1" t="s">
        <v>334</v>
      </c>
      <c r="H86" s="1">
        <v>171</v>
      </c>
      <c r="I86" s="1" t="s">
        <v>31</v>
      </c>
      <c r="J86" s="1">
        <v>7.2</v>
      </c>
      <c r="K86" s="1">
        <v>464.8</v>
      </c>
      <c r="L86" s="1" t="s">
        <v>32</v>
      </c>
      <c r="M86" s="1" t="s">
        <v>78</v>
      </c>
      <c r="N86" s="1" t="s">
        <v>60</v>
      </c>
      <c r="O86" s="1"/>
      <c r="P86" s="1">
        <v>125</v>
      </c>
      <c r="Q86" s="1">
        <v>294.8</v>
      </c>
      <c r="R86" s="8" t="str">
        <f>_xlfn.IFS(J86&gt;=8,"Hit",J86&gt;=6,"Average",J86&lt;6,"Flop")</f>
        <v>Average</v>
      </c>
      <c r="S86" s="9" t="str">
        <f>_xlfn.IFS(K86&gt;=400,"Blockbuster",K86&gt;=200,"Popular",K86&lt;200,"Normal")</f>
        <v>Blockbuster</v>
      </c>
      <c r="T86" s="10" t="str">
        <f>IF(OR(I86="PG",I86="G"),"Yes","No")</f>
        <v>No</v>
      </c>
      <c r="U86" s="11" t="str">
        <f>IF(P86&gt;=100,"High","Low")</f>
        <v>High</v>
      </c>
      <c r="V86" s="28">
        <f t="shared" si="2"/>
        <v>169.8</v>
      </c>
      <c r="W86" s="29">
        <f t="shared" si="3"/>
        <v>235.84</v>
      </c>
    </row>
    <row r="87" spans="1:23" x14ac:dyDescent="0.3">
      <c r="A87" s="1" t="s">
        <v>335</v>
      </c>
      <c r="B87" s="1" t="s">
        <v>336</v>
      </c>
      <c r="C87" s="1" t="s">
        <v>46</v>
      </c>
      <c r="D87" s="1" t="s">
        <v>94</v>
      </c>
      <c r="E87" s="1">
        <v>2001</v>
      </c>
      <c r="F87" s="1" t="s">
        <v>29</v>
      </c>
      <c r="G87" s="1" t="s">
        <v>337</v>
      </c>
      <c r="H87" s="1">
        <v>31</v>
      </c>
      <c r="I87" s="1" t="s">
        <v>110</v>
      </c>
      <c r="J87" s="1">
        <v>8.6999999999999993</v>
      </c>
      <c r="K87" s="1">
        <v>182.2</v>
      </c>
      <c r="L87" s="1" t="s">
        <v>32</v>
      </c>
      <c r="M87" s="1" t="s">
        <v>111</v>
      </c>
      <c r="N87" s="1" t="s">
        <v>102</v>
      </c>
      <c r="O87" s="1">
        <v>5</v>
      </c>
      <c r="P87" s="1">
        <v>126</v>
      </c>
      <c r="Q87" s="1">
        <v>331.6</v>
      </c>
      <c r="R87" s="8" t="str">
        <f>_xlfn.IFS(J87&gt;=8,"Hit",J87&gt;=6,"Average",J87&lt;6,"Flop")</f>
        <v>Hit</v>
      </c>
      <c r="S87" s="9" t="str">
        <f>_xlfn.IFS(K87&gt;=400,"Blockbuster",K87&gt;=200,"Popular",K87&lt;200,"Normal")</f>
        <v>Normal</v>
      </c>
      <c r="T87" s="10" t="str">
        <f>IF(OR(I87="PG",I87="G"),"Yes","No")</f>
        <v>No</v>
      </c>
      <c r="U87" s="11" t="str">
        <f>IF(P87&gt;=100,"High","Low")</f>
        <v>High</v>
      </c>
      <c r="V87" s="28">
        <f t="shared" si="2"/>
        <v>205.60000000000002</v>
      </c>
      <c r="W87" s="29">
        <f t="shared" si="3"/>
        <v>263.17460317460319</v>
      </c>
    </row>
    <row r="88" spans="1:23" x14ac:dyDescent="0.3">
      <c r="A88" s="1" t="s">
        <v>338</v>
      </c>
      <c r="B88" s="1" t="s">
        <v>339</v>
      </c>
      <c r="C88" s="1" t="s">
        <v>46</v>
      </c>
      <c r="D88" s="1" t="s">
        <v>94</v>
      </c>
      <c r="E88" s="1">
        <v>2024</v>
      </c>
      <c r="F88" s="1" t="s">
        <v>181</v>
      </c>
      <c r="G88" s="1" t="s">
        <v>340</v>
      </c>
      <c r="H88" s="1">
        <v>50</v>
      </c>
      <c r="I88" s="1" t="s">
        <v>31</v>
      </c>
      <c r="J88" s="1">
        <v>5.5</v>
      </c>
      <c r="K88" s="1">
        <v>106.4</v>
      </c>
      <c r="L88" s="1" t="s">
        <v>90</v>
      </c>
      <c r="M88" s="1" t="s">
        <v>157</v>
      </c>
      <c r="N88" s="1" t="s">
        <v>128</v>
      </c>
      <c r="O88" s="1">
        <v>5</v>
      </c>
      <c r="P88" s="1">
        <v>100</v>
      </c>
      <c r="Q88" s="1">
        <v>429.2</v>
      </c>
      <c r="R88" s="8" t="str">
        <f>_xlfn.IFS(J88&gt;=8,"Hit",J88&gt;=6,"Average",J88&lt;6,"Flop")</f>
        <v>Flop</v>
      </c>
      <c r="S88" s="9" t="str">
        <f>_xlfn.IFS(K88&gt;=400,"Blockbuster",K88&gt;=200,"Popular",K88&lt;200,"Normal")</f>
        <v>Normal</v>
      </c>
      <c r="T88" s="10" t="str">
        <f>IF(OR(I88="PG",I88="G"),"Yes","No")</f>
        <v>No</v>
      </c>
      <c r="U88" s="11" t="str">
        <f>IF(P88&gt;=100,"High","Low")</f>
        <v>High</v>
      </c>
      <c r="V88" s="28">
        <f t="shared" si="2"/>
        <v>329.2</v>
      </c>
      <c r="W88" s="29">
        <f t="shared" si="3"/>
        <v>429.2</v>
      </c>
    </row>
    <row r="89" spans="1:23" x14ac:dyDescent="0.3">
      <c r="A89" s="1" t="s">
        <v>341</v>
      </c>
      <c r="B89" s="1" t="s">
        <v>342</v>
      </c>
      <c r="C89" s="1" t="s">
        <v>18</v>
      </c>
      <c r="D89" s="1" t="s">
        <v>82</v>
      </c>
      <c r="E89" s="1">
        <v>2002</v>
      </c>
      <c r="F89" s="1" t="s">
        <v>122</v>
      </c>
      <c r="G89" s="1" t="s">
        <v>53</v>
      </c>
      <c r="H89" s="1">
        <v>145</v>
      </c>
      <c r="I89" s="1" t="s">
        <v>50</v>
      </c>
      <c r="J89" s="1">
        <v>6.1</v>
      </c>
      <c r="K89" s="1">
        <v>103.8</v>
      </c>
      <c r="L89" s="1" t="s">
        <v>32</v>
      </c>
      <c r="M89" s="1" t="s">
        <v>24</v>
      </c>
      <c r="N89" s="1" t="s">
        <v>91</v>
      </c>
      <c r="O89" s="1"/>
      <c r="P89" s="1">
        <v>190</v>
      </c>
      <c r="Q89" s="1">
        <v>391</v>
      </c>
      <c r="R89" s="8" t="str">
        <f>_xlfn.IFS(J89&gt;=8,"Hit",J89&gt;=6,"Average",J89&lt;6,"Flop")</f>
        <v>Average</v>
      </c>
      <c r="S89" s="9" t="str">
        <f>_xlfn.IFS(K89&gt;=400,"Blockbuster",K89&gt;=200,"Popular",K89&lt;200,"Normal")</f>
        <v>Normal</v>
      </c>
      <c r="T89" s="10" t="str">
        <f>IF(OR(I89="PG",I89="G"),"Yes","No")</f>
        <v>Yes</v>
      </c>
      <c r="U89" s="11" t="str">
        <f>IF(P89&gt;=100,"High","Low")</f>
        <v>High</v>
      </c>
      <c r="V89" s="28">
        <f t="shared" si="2"/>
        <v>201</v>
      </c>
      <c r="W89" s="29">
        <f t="shared" si="3"/>
        <v>205.78947368421052</v>
      </c>
    </row>
    <row r="90" spans="1:23" x14ac:dyDescent="0.3">
      <c r="A90" s="1" t="s">
        <v>343</v>
      </c>
      <c r="B90" s="1" t="s">
        <v>344</v>
      </c>
      <c r="C90" s="1" t="s">
        <v>18</v>
      </c>
      <c r="D90" s="1" t="s">
        <v>94</v>
      </c>
      <c r="E90" s="1">
        <v>2004</v>
      </c>
      <c r="F90" s="1" t="s">
        <v>48</v>
      </c>
      <c r="G90" s="1" t="s">
        <v>345</v>
      </c>
      <c r="H90" s="1">
        <v>142</v>
      </c>
      <c r="I90" s="1" t="s">
        <v>22</v>
      </c>
      <c r="J90" s="1">
        <v>6.3</v>
      </c>
      <c r="K90" s="1">
        <v>504.6</v>
      </c>
      <c r="L90" s="1" t="s">
        <v>65</v>
      </c>
      <c r="M90" s="1" t="s">
        <v>85</v>
      </c>
      <c r="N90" s="1" t="s">
        <v>79</v>
      </c>
      <c r="O90" s="1"/>
      <c r="P90" s="1">
        <v>160</v>
      </c>
      <c r="Q90" s="1">
        <v>808.8</v>
      </c>
      <c r="R90" s="8" t="str">
        <f>_xlfn.IFS(J90&gt;=8,"Hit",J90&gt;=6,"Average",J90&lt;6,"Flop")</f>
        <v>Average</v>
      </c>
      <c r="S90" s="9" t="str">
        <f>_xlfn.IFS(K90&gt;=400,"Blockbuster",K90&gt;=200,"Popular",K90&lt;200,"Normal")</f>
        <v>Blockbuster</v>
      </c>
      <c r="T90" s="10" t="str">
        <f>IF(OR(I90="PG",I90="G"),"Yes","No")</f>
        <v>No</v>
      </c>
      <c r="U90" s="11" t="str">
        <f>IF(P90&gt;=100,"High","Low")</f>
        <v>High</v>
      </c>
      <c r="V90" s="28">
        <f t="shared" si="2"/>
        <v>648.79999999999995</v>
      </c>
      <c r="W90" s="29">
        <f t="shared" si="3"/>
        <v>505.5</v>
      </c>
    </row>
    <row r="91" spans="1:23" x14ac:dyDescent="0.3">
      <c r="A91" s="1" t="s">
        <v>346</v>
      </c>
      <c r="B91" s="1" t="s">
        <v>347</v>
      </c>
      <c r="C91" s="1" t="s">
        <v>18</v>
      </c>
      <c r="D91" s="1" t="s">
        <v>19</v>
      </c>
      <c r="E91" s="1">
        <v>2019</v>
      </c>
      <c r="F91" s="1" t="s">
        <v>122</v>
      </c>
      <c r="G91" s="1" t="s">
        <v>348</v>
      </c>
      <c r="H91" s="1">
        <v>149</v>
      </c>
      <c r="I91" s="1" t="s">
        <v>50</v>
      </c>
      <c r="J91" s="1">
        <v>5.6</v>
      </c>
      <c r="K91" s="1">
        <v>134.69999999999999</v>
      </c>
      <c r="L91" s="1" t="s">
        <v>23</v>
      </c>
      <c r="M91" s="1" t="s">
        <v>124</v>
      </c>
      <c r="N91" s="1" t="s">
        <v>60</v>
      </c>
      <c r="O91" s="1"/>
      <c r="P91" s="1">
        <v>18</v>
      </c>
      <c r="Q91" s="1">
        <v>52.7</v>
      </c>
      <c r="R91" s="8" t="str">
        <f>_xlfn.IFS(J91&gt;=8,"Hit",J91&gt;=6,"Average",J91&lt;6,"Flop")</f>
        <v>Flop</v>
      </c>
      <c r="S91" s="9" t="str">
        <f>_xlfn.IFS(K91&gt;=400,"Blockbuster",K91&gt;=200,"Popular",K91&lt;200,"Normal")</f>
        <v>Normal</v>
      </c>
      <c r="T91" s="10" t="str">
        <f>IF(OR(I91="PG",I91="G"),"Yes","No")</f>
        <v>Yes</v>
      </c>
      <c r="U91" s="11" t="str">
        <f>IF(P91&gt;=100,"High","Low")</f>
        <v>Low</v>
      </c>
      <c r="V91" s="28">
        <f t="shared" si="2"/>
        <v>34.700000000000003</v>
      </c>
      <c r="W91" s="29">
        <f t="shared" si="3"/>
        <v>292.77777777777783</v>
      </c>
    </row>
    <row r="92" spans="1:23" x14ac:dyDescent="0.3">
      <c r="A92" s="1" t="s">
        <v>349</v>
      </c>
      <c r="B92" s="1" t="s">
        <v>350</v>
      </c>
      <c r="C92" s="1" t="s">
        <v>46</v>
      </c>
      <c r="D92" s="1" t="s">
        <v>37</v>
      </c>
      <c r="E92" s="1">
        <v>2005</v>
      </c>
      <c r="F92" s="1" t="s">
        <v>181</v>
      </c>
      <c r="G92" s="1" t="s">
        <v>351</v>
      </c>
      <c r="H92" s="1">
        <v>39</v>
      </c>
      <c r="I92" s="1" t="s">
        <v>50</v>
      </c>
      <c r="J92" s="1">
        <v>6.2</v>
      </c>
      <c r="K92" s="1">
        <v>366.2</v>
      </c>
      <c r="L92" s="1" t="s">
        <v>41</v>
      </c>
      <c r="M92" s="1" t="s">
        <v>66</v>
      </c>
      <c r="N92" s="1" t="s">
        <v>86</v>
      </c>
      <c r="O92" s="1">
        <v>7</v>
      </c>
      <c r="P92" s="1">
        <v>5</v>
      </c>
      <c r="Q92" s="1">
        <v>19.600000000000001</v>
      </c>
      <c r="R92" s="8" t="str">
        <f>_xlfn.IFS(J92&gt;=8,"Hit",J92&gt;=6,"Average",J92&lt;6,"Flop")</f>
        <v>Average</v>
      </c>
      <c r="S92" s="9" t="str">
        <f>_xlfn.IFS(K92&gt;=400,"Blockbuster",K92&gt;=200,"Popular",K92&lt;200,"Normal")</f>
        <v>Popular</v>
      </c>
      <c r="T92" s="10" t="str">
        <f>IF(OR(I92="PG",I92="G"),"Yes","No")</f>
        <v>Yes</v>
      </c>
      <c r="U92" s="11" t="str">
        <f>IF(P92&gt;=100,"High","Low")</f>
        <v>Low</v>
      </c>
      <c r="V92" s="28">
        <f t="shared" si="2"/>
        <v>14.600000000000001</v>
      </c>
      <c r="W92" s="29">
        <f t="shared" si="3"/>
        <v>392.00000000000006</v>
      </c>
    </row>
    <row r="93" spans="1:23" x14ac:dyDescent="0.3">
      <c r="A93" s="1" t="s">
        <v>352</v>
      </c>
      <c r="B93" s="1" t="s">
        <v>353</v>
      </c>
      <c r="C93" s="1" t="s">
        <v>18</v>
      </c>
      <c r="D93" s="1" t="s">
        <v>28</v>
      </c>
      <c r="E93" s="1">
        <v>2020</v>
      </c>
      <c r="F93" s="1" t="s">
        <v>29</v>
      </c>
      <c r="G93" s="1" t="s">
        <v>354</v>
      </c>
      <c r="H93" s="1">
        <v>96</v>
      </c>
      <c r="I93" s="1" t="s">
        <v>40</v>
      </c>
      <c r="J93" s="1">
        <v>8.5</v>
      </c>
      <c r="K93" s="1">
        <v>232.9</v>
      </c>
      <c r="L93" s="1" t="s">
        <v>65</v>
      </c>
      <c r="M93" s="1" t="s">
        <v>54</v>
      </c>
      <c r="N93" s="1" t="s">
        <v>158</v>
      </c>
      <c r="O93" s="1"/>
      <c r="P93" s="1">
        <v>114</v>
      </c>
      <c r="Q93" s="1">
        <v>170</v>
      </c>
      <c r="R93" s="8" t="str">
        <f>_xlfn.IFS(J93&gt;=8,"Hit",J93&gt;=6,"Average",J93&lt;6,"Flop")</f>
        <v>Hit</v>
      </c>
      <c r="S93" s="9" t="str">
        <f>_xlfn.IFS(K93&gt;=400,"Blockbuster",K93&gt;=200,"Popular",K93&lt;200,"Normal")</f>
        <v>Popular</v>
      </c>
      <c r="T93" s="10" t="str">
        <f>IF(OR(I93="PG",I93="G"),"Yes","No")</f>
        <v>Yes</v>
      </c>
      <c r="U93" s="11" t="str">
        <f>IF(P93&gt;=100,"High","Low")</f>
        <v>High</v>
      </c>
      <c r="V93" s="28">
        <f t="shared" si="2"/>
        <v>56</v>
      </c>
      <c r="W93" s="29">
        <f t="shared" si="3"/>
        <v>149.12280701754386</v>
      </c>
    </row>
    <row r="94" spans="1:23" x14ac:dyDescent="0.3">
      <c r="A94" s="1" t="s">
        <v>355</v>
      </c>
      <c r="B94" s="1" t="s">
        <v>356</v>
      </c>
      <c r="C94" s="1" t="s">
        <v>46</v>
      </c>
      <c r="D94" s="1" t="s">
        <v>47</v>
      </c>
      <c r="E94" s="1">
        <v>2015</v>
      </c>
      <c r="F94" s="1" t="s">
        <v>48</v>
      </c>
      <c r="G94" s="1" t="s">
        <v>357</v>
      </c>
      <c r="H94" s="1">
        <v>54</v>
      </c>
      <c r="I94" s="1" t="s">
        <v>31</v>
      </c>
      <c r="J94" s="1">
        <v>7.2</v>
      </c>
      <c r="K94" s="1">
        <v>61.3</v>
      </c>
      <c r="L94" s="1" t="s">
        <v>32</v>
      </c>
      <c r="M94" s="1" t="s">
        <v>42</v>
      </c>
      <c r="N94" s="1" t="s">
        <v>86</v>
      </c>
      <c r="O94" s="1">
        <v>4</v>
      </c>
      <c r="P94" s="1">
        <v>8</v>
      </c>
      <c r="Q94" s="1">
        <v>24.6</v>
      </c>
      <c r="R94" s="8" t="str">
        <f>_xlfn.IFS(J94&gt;=8,"Hit",J94&gt;=6,"Average",J94&lt;6,"Flop")</f>
        <v>Average</v>
      </c>
      <c r="S94" s="9" t="str">
        <f>_xlfn.IFS(K94&gt;=400,"Blockbuster",K94&gt;=200,"Popular",K94&lt;200,"Normal")</f>
        <v>Normal</v>
      </c>
      <c r="T94" s="10" t="str">
        <f>IF(OR(I94="PG",I94="G"),"Yes","No")</f>
        <v>No</v>
      </c>
      <c r="U94" s="11" t="str">
        <f>IF(P94&gt;=100,"High","Low")</f>
        <v>Low</v>
      </c>
      <c r="V94" s="28">
        <f t="shared" si="2"/>
        <v>16.600000000000001</v>
      </c>
      <c r="W94" s="29">
        <f t="shared" si="3"/>
        <v>307.5</v>
      </c>
    </row>
    <row r="95" spans="1:23" x14ac:dyDescent="0.3">
      <c r="A95" s="1" t="s">
        <v>358</v>
      </c>
      <c r="B95" s="1" t="s">
        <v>359</v>
      </c>
      <c r="C95" s="1" t="s">
        <v>46</v>
      </c>
      <c r="D95" s="1" t="s">
        <v>63</v>
      </c>
      <c r="E95" s="1">
        <v>2008</v>
      </c>
      <c r="F95" s="1" t="s">
        <v>83</v>
      </c>
      <c r="G95" s="1" t="s">
        <v>360</v>
      </c>
      <c r="H95" s="1">
        <v>60</v>
      </c>
      <c r="I95" s="1" t="s">
        <v>110</v>
      </c>
      <c r="J95" s="1">
        <v>4.5</v>
      </c>
      <c r="K95" s="1">
        <v>157.30000000000001</v>
      </c>
      <c r="L95" s="1" t="s">
        <v>90</v>
      </c>
      <c r="M95" s="1" t="s">
        <v>132</v>
      </c>
      <c r="N95" s="1" t="s">
        <v>91</v>
      </c>
      <c r="O95" s="1">
        <v>4</v>
      </c>
      <c r="P95" s="1">
        <v>64</v>
      </c>
      <c r="Q95" s="1">
        <v>255.6</v>
      </c>
      <c r="R95" s="8" t="str">
        <f>_xlfn.IFS(J95&gt;=8,"Hit",J95&gt;=6,"Average",J95&lt;6,"Flop")</f>
        <v>Flop</v>
      </c>
      <c r="S95" s="9" t="str">
        <f>_xlfn.IFS(K95&gt;=400,"Blockbuster",K95&gt;=200,"Popular",K95&lt;200,"Normal")</f>
        <v>Normal</v>
      </c>
      <c r="T95" s="10" t="str">
        <f>IF(OR(I95="PG",I95="G"),"Yes","No")</f>
        <v>No</v>
      </c>
      <c r="U95" s="11" t="str">
        <f>IF(P95&gt;=100,"High","Low")</f>
        <v>Low</v>
      </c>
      <c r="V95" s="28">
        <f t="shared" si="2"/>
        <v>191.6</v>
      </c>
      <c r="W95" s="29">
        <f t="shared" si="3"/>
        <v>399.375</v>
      </c>
    </row>
    <row r="96" spans="1:23" x14ac:dyDescent="0.3">
      <c r="A96" s="1" t="s">
        <v>361</v>
      </c>
      <c r="B96" s="1" t="s">
        <v>362</v>
      </c>
      <c r="C96" s="1" t="s">
        <v>18</v>
      </c>
      <c r="D96" s="1" t="s">
        <v>63</v>
      </c>
      <c r="E96" s="1">
        <v>2020</v>
      </c>
      <c r="F96" s="1" t="s">
        <v>181</v>
      </c>
      <c r="G96" s="1" t="s">
        <v>363</v>
      </c>
      <c r="H96" s="1">
        <v>132</v>
      </c>
      <c r="I96" s="1" t="s">
        <v>110</v>
      </c>
      <c r="J96" s="1">
        <v>7.5</v>
      </c>
      <c r="K96" s="1">
        <v>504.5</v>
      </c>
      <c r="L96" s="1" t="s">
        <v>65</v>
      </c>
      <c r="M96" s="1" t="s">
        <v>97</v>
      </c>
      <c r="N96" s="1" t="s">
        <v>153</v>
      </c>
      <c r="O96" s="1"/>
      <c r="P96" s="1">
        <v>160</v>
      </c>
      <c r="Q96" s="1">
        <v>603.1</v>
      </c>
      <c r="R96" s="8" t="str">
        <f>_xlfn.IFS(J96&gt;=8,"Hit",J96&gt;=6,"Average",J96&lt;6,"Flop")</f>
        <v>Average</v>
      </c>
      <c r="S96" s="9" t="str">
        <f>_xlfn.IFS(K96&gt;=400,"Blockbuster",K96&gt;=200,"Popular",K96&lt;200,"Normal")</f>
        <v>Blockbuster</v>
      </c>
      <c r="T96" s="10" t="str">
        <f>IF(OR(I96="PG",I96="G"),"Yes","No")</f>
        <v>No</v>
      </c>
      <c r="U96" s="11" t="str">
        <f>IF(P96&gt;=100,"High","Low")</f>
        <v>High</v>
      </c>
      <c r="V96" s="28">
        <f t="shared" si="2"/>
        <v>443.1</v>
      </c>
      <c r="W96" s="29">
        <f t="shared" si="3"/>
        <v>376.9375</v>
      </c>
    </row>
    <row r="97" spans="1:23" x14ac:dyDescent="0.3">
      <c r="A97" s="1" t="s">
        <v>364</v>
      </c>
      <c r="B97" s="1" t="s">
        <v>365</v>
      </c>
      <c r="C97" s="1" t="s">
        <v>18</v>
      </c>
      <c r="D97" s="1" t="s">
        <v>63</v>
      </c>
      <c r="E97" s="1">
        <v>2015</v>
      </c>
      <c r="F97" s="1" t="s">
        <v>100</v>
      </c>
      <c r="G97" s="1" t="s">
        <v>366</v>
      </c>
      <c r="H97" s="1">
        <v>96</v>
      </c>
      <c r="I97" s="1" t="s">
        <v>22</v>
      </c>
      <c r="J97" s="1">
        <v>6</v>
      </c>
      <c r="K97" s="1">
        <v>392.8</v>
      </c>
      <c r="L97" s="1" t="s">
        <v>32</v>
      </c>
      <c r="M97" s="1" t="s">
        <v>97</v>
      </c>
      <c r="N97" s="1" t="s">
        <v>60</v>
      </c>
      <c r="O97" s="1"/>
      <c r="P97" s="1">
        <v>31</v>
      </c>
      <c r="Q97" s="1">
        <v>196.1</v>
      </c>
      <c r="R97" s="8" t="str">
        <f>_xlfn.IFS(J97&gt;=8,"Hit",J97&gt;=6,"Average",J97&lt;6,"Flop")</f>
        <v>Average</v>
      </c>
      <c r="S97" s="9" t="str">
        <f>_xlfn.IFS(K97&gt;=400,"Blockbuster",K97&gt;=200,"Popular",K97&lt;200,"Normal")</f>
        <v>Popular</v>
      </c>
      <c r="T97" s="10" t="str">
        <f>IF(OR(I97="PG",I97="G"),"Yes","No")</f>
        <v>No</v>
      </c>
      <c r="U97" s="11" t="str">
        <f>IF(P97&gt;=100,"High","Low")</f>
        <v>Low</v>
      </c>
      <c r="V97" s="28">
        <f t="shared" si="2"/>
        <v>165.1</v>
      </c>
      <c r="W97" s="29">
        <f t="shared" si="3"/>
        <v>632.58064516129025</v>
      </c>
    </row>
    <row r="98" spans="1:23" x14ac:dyDescent="0.3">
      <c r="A98" s="1" t="s">
        <v>367</v>
      </c>
      <c r="B98" s="1" t="s">
        <v>368</v>
      </c>
      <c r="C98" s="1" t="s">
        <v>18</v>
      </c>
      <c r="D98" s="1" t="s">
        <v>58</v>
      </c>
      <c r="E98" s="1">
        <v>2008</v>
      </c>
      <c r="F98" s="1" t="s">
        <v>29</v>
      </c>
      <c r="G98" s="1" t="s">
        <v>369</v>
      </c>
      <c r="H98" s="1">
        <v>118</v>
      </c>
      <c r="I98" s="1" t="s">
        <v>22</v>
      </c>
      <c r="J98" s="1">
        <v>8.8000000000000007</v>
      </c>
      <c r="K98" s="1">
        <v>214.5</v>
      </c>
      <c r="L98" s="1" t="s">
        <v>90</v>
      </c>
      <c r="M98" s="1" t="s">
        <v>124</v>
      </c>
      <c r="N98" s="1" t="s">
        <v>60</v>
      </c>
      <c r="O98" s="1"/>
      <c r="P98" s="1">
        <v>96</v>
      </c>
      <c r="Q98" s="1">
        <v>600.6</v>
      </c>
      <c r="R98" s="8" t="str">
        <f>_xlfn.IFS(J98&gt;=8,"Hit",J98&gt;=6,"Average",J98&lt;6,"Flop")</f>
        <v>Hit</v>
      </c>
      <c r="S98" s="9" t="str">
        <f>_xlfn.IFS(K98&gt;=400,"Blockbuster",K98&gt;=200,"Popular",K98&lt;200,"Normal")</f>
        <v>Popular</v>
      </c>
      <c r="T98" s="10" t="str">
        <f>IF(OR(I98="PG",I98="G"),"Yes","No")</f>
        <v>No</v>
      </c>
      <c r="U98" s="11" t="str">
        <f>IF(P98&gt;=100,"High","Low")</f>
        <v>Low</v>
      </c>
      <c r="V98" s="28">
        <f t="shared" si="2"/>
        <v>504.6</v>
      </c>
      <c r="W98" s="29">
        <f t="shared" si="3"/>
        <v>625.625</v>
      </c>
    </row>
    <row r="99" spans="1:23" x14ac:dyDescent="0.3">
      <c r="A99" s="1" t="s">
        <v>370</v>
      </c>
      <c r="B99" s="1" t="s">
        <v>371</v>
      </c>
      <c r="C99" s="1" t="s">
        <v>46</v>
      </c>
      <c r="D99" s="1" t="s">
        <v>141</v>
      </c>
      <c r="E99" s="1">
        <v>2023</v>
      </c>
      <c r="F99" s="1" t="s">
        <v>76</v>
      </c>
      <c r="G99" s="1" t="s">
        <v>372</v>
      </c>
      <c r="H99" s="1">
        <v>32</v>
      </c>
      <c r="I99" s="1" t="s">
        <v>110</v>
      </c>
      <c r="J99" s="1">
        <v>8.1</v>
      </c>
      <c r="K99" s="1">
        <v>485.7</v>
      </c>
      <c r="L99" s="1" t="s">
        <v>32</v>
      </c>
      <c r="M99" s="1" t="s">
        <v>66</v>
      </c>
      <c r="N99" s="1" t="s">
        <v>55</v>
      </c>
      <c r="O99" s="1">
        <v>4</v>
      </c>
      <c r="P99" s="1">
        <v>139</v>
      </c>
      <c r="Q99" s="1">
        <v>281.39999999999998</v>
      </c>
      <c r="R99" s="8" t="str">
        <f>_xlfn.IFS(J99&gt;=8,"Hit",J99&gt;=6,"Average",J99&lt;6,"Flop")</f>
        <v>Hit</v>
      </c>
      <c r="S99" s="9" t="str">
        <f>_xlfn.IFS(K99&gt;=400,"Blockbuster",K99&gt;=200,"Popular",K99&lt;200,"Normal")</f>
        <v>Blockbuster</v>
      </c>
      <c r="T99" s="10" t="str">
        <f>IF(OR(I99="PG",I99="G"),"Yes","No")</f>
        <v>No</v>
      </c>
      <c r="U99" s="11" t="str">
        <f>IF(P99&gt;=100,"High","Low")</f>
        <v>High</v>
      </c>
      <c r="V99" s="28">
        <f t="shared" si="2"/>
        <v>142.39999999999998</v>
      </c>
      <c r="W99" s="29">
        <f t="shared" si="3"/>
        <v>202.44604316546759</v>
      </c>
    </row>
    <row r="100" spans="1:23" x14ac:dyDescent="0.3">
      <c r="A100" s="1" t="s">
        <v>373</v>
      </c>
      <c r="B100" s="1" t="s">
        <v>374</v>
      </c>
      <c r="C100" s="1" t="s">
        <v>46</v>
      </c>
      <c r="D100" s="1" t="s">
        <v>19</v>
      </c>
      <c r="E100" s="1">
        <v>2021</v>
      </c>
      <c r="F100" s="1" t="s">
        <v>76</v>
      </c>
      <c r="G100" s="1" t="s">
        <v>375</v>
      </c>
      <c r="H100" s="1">
        <v>46</v>
      </c>
      <c r="I100" s="1" t="s">
        <v>31</v>
      </c>
      <c r="J100" s="1">
        <v>8.1999999999999993</v>
      </c>
      <c r="K100" s="1">
        <v>166</v>
      </c>
      <c r="L100" s="1" t="s">
        <v>90</v>
      </c>
      <c r="M100" s="1" t="s">
        <v>85</v>
      </c>
      <c r="N100" s="1" t="s">
        <v>91</v>
      </c>
      <c r="O100" s="1">
        <v>7</v>
      </c>
      <c r="P100" s="1">
        <v>191</v>
      </c>
      <c r="Q100" s="1">
        <v>719.6</v>
      </c>
      <c r="R100" s="8" t="str">
        <f>_xlfn.IFS(J100&gt;=8,"Hit",J100&gt;=6,"Average",J100&lt;6,"Flop")</f>
        <v>Hit</v>
      </c>
      <c r="S100" s="9" t="str">
        <f>_xlfn.IFS(K100&gt;=400,"Blockbuster",K100&gt;=200,"Popular",K100&lt;200,"Normal")</f>
        <v>Normal</v>
      </c>
      <c r="T100" s="10" t="str">
        <f>IF(OR(I100="PG",I100="G"),"Yes","No")</f>
        <v>No</v>
      </c>
      <c r="U100" s="11" t="str">
        <f>IF(P100&gt;=100,"High","Low")</f>
        <v>High</v>
      </c>
      <c r="V100" s="28">
        <f t="shared" si="2"/>
        <v>528.6</v>
      </c>
      <c r="W100" s="29">
        <f t="shared" si="3"/>
        <v>376.75392670157072</v>
      </c>
    </row>
    <row r="101" spans="1:23" x14ac:dyDescent="0.3">
      <c r="A101" s="1" t="s">
        <v>376</v>
      </c>
      <c r="B101" s="1" t="s">
        <v>377</v>
      </c>
      <c r="C101" s="1" t="s">
        <v>18</v>
      </c>
      <c r="D101" s="1" t="s">
        <v>117</v>
      </c>
      <c r="E101" s="1">
        <v>2019</v>
      </c>
      <c r="F101" s="1" t="s">
        <v>100</v>
      </c>
      <c r="G101" s="1" t="s">
        <v>378</v>
      </c>
      <c r="H101" s="1">
        <v>154</v>
      </c>
      <c r="I101" s="1" t="s">
        <v>50</v>
      </c>
      <c r="J101" s="1">
        <v>6.8</v>
      </c>
      <c r="K101" s="1">
        <v>94.7</v>
      </c>
      <c r="L101" s="1" t="s">
        <v>32</v>
      </c>
      <c r="M101" s="1" t="s">
        <v>111</v>
      </c>
      <c r="N101" s="1" t="s">
        <v>158</v>
      </c>
      <c r="O101" s="1"/>
      <c r="P101" s="1">
        <v>59</v>
      </c>
      <c r="Q101" s="1">
        <v>76.7</v>
      </c>
      <c r="R101" s="8" t="str">
        <f>_xlfn.IFS(J101&gt;=8,"Hit",J101&gt;=6,"Average",J101&lt;6,"Flop")</f>
        <v>Average</v>
      </c>
      <c r="S101" s="9" t="str">
        <f>_xlfn.IFS(K101&gt;=400,"Blockbuster",K101&gt;=200,"Popular",K101&lt;200,"Normal")</f>
        <v>Normal</v>
      </c>
      <c r="T101" s="10" t="str">
        <f>IF(OR(I101="PG",I101="G"),"Yes","No")</f>
        <v>Yes</v>
      </c>
      <c r="U101" s="11" t="str">
        <f>IF(P101&gt;=100,"High","Low")</f>
        <v>Low</v>
      </c>
      <c r="V101" s="28">
        <f t="shared" si="2"/>
        <v>17.700000000000003</v>
      </c>
      <c r="W101" s="29">
        <f t="shared" si="3"/>
        <v>130</v>
      </c>
    </row>
    <row r="102" spans="1:23" x14ac:dyDescent="0.3">
      <c r="A102" s="1" t="s">
        <v>379</v>
      </c>
      <c r="B102" s="1" t="s">
        <v>380</v>
      </c>
      <c r="C102" s="1" t="s">
        <v>46</v>
      </c>
      <c r="D102" s="1" t="s">
        <v>82</v>
      </c>
      <c r="E102" s="1">
        <v>2008</v>
      </c>
      <c r="F102" s="1" t="s">
        <v>20</v>
      </c>
      <c r="G102" s="1" t="s">
        <v>381</v>
      </c>
      <c r="H102" s="1">
        <v>58</v>
      </c>
      <c r="I102" s="1" t="s">
        <v>40</v>
      </c>
      <c r="J102" s="1">
        <v>7.3</v>
      </c>
      <c r="K102" s="1">
        <v>422.3</v>
      </c>
      <c r="L102" s="1" t="s">
        <v>71</v>
      </c>
      <c r="M102" s="1" t="s">
        <v>42</v>
      </c>
      <c r="N102" s="1" t="s">
        <v>43</v>
      </c>
      <c r="O102" s="1">
        <v>2</v>
      </c>
      <c r="P102" s="1">
        <v>78</v>
      </c>
      <c r="Q102" s="1">
        <v>369.6</v>
      </c>
      <c r="R102" s="8" t="str">
        <f>_xlfn.IFS(J102&gt;=8,"Hit",J102&gt;=6,"Average",J102&lt;6,"Flop")</f>
        <v>Average</v>
      </c>
      <c r="S102" s="9" t="str">
        <f>_xlfn.IFS(K102&gt;=400,"Blockbuster",K102&gt;=200,"Popular",K102&lt;200,"Normal")</f>
        <v>Blockbuster</v>
      </c>
      <c r="T102" s="10" t="str">
        <f>IF(OR(I102="PG",I102="G"),"Yes","No")</f>
        <v>Yes</v>
      </c>
      <c r="U102" s="11" t="str">
        <f>IF(P102&gt;=100,"High","Low")</f>
        <v>Low</v>
      </c>
      <c r="V102" s="28">
        <f t="shared" si="2"/>
        <v>291.60000000000002</v>
      </c>
      <c r="W102" s="29">
        <f t="shared" si="3"/>
        <v>473.84615384615387</v>
      </c>
    </row>
    <row r="103" spans="1:23" x14ac:dyDescent="0.3">
      <c r="A103" s="1" t="s">
        <v>382</v>
      </c>
      <c r="B103" s="1" t="s">
        <v>383</v>
      </c>
      <c r="C103" s="1" t="s">
        <v>46</v>
      </c>
      <c r="D103" s="1" t="s">
        <v>117</v>
      </c>
      <c r="E103" s="1">
        <v>2013</v>
      </c>
      <c r="F103" s="1" t="s">
        <v>181</v>
      </c>
      <c r="G103" s="1" t="s">
        <v>384</v>
      </c>
      <c r="H103" s="1">
        <v>39</v>
      </c>
      <c r="I103" s="1" t="s">
        <v>31</v>
      </c>
      <c r="J103" s="1">
        <v>4.5999999999999996</v>
      </c>
      <c r="K103" s="1">
        <v>501.3</v>
      </c>
      <c r="L103" s="1" t="s">
        <v>41</v>
      </c>
      <c r="M103" s="1" t="s">
        <v>97</v>
      </c>
      <c r="N103" s="1" t="s">
        <v>91</v>
      </c>
      <c r="O103" s="1">
        <v>5</v>
      </c>
      <c r="P103" s="1">
        <v>48</v>
      </c>
      <c r="Q103" s="1">
        <v>273.10000000000002</v>
      </c>
      <c r="R103" s="8" t="str">
        <f>_xlfn.IFS(J103&gt;=8,"Hit",J103&gt;=6,"Average",J103&lt;6,"Flop")</f>
        <v>Flop</v>
      </c>
      <c r="S103" s="9" t="str">
        <f>_xlfn.IFS(K103&gt;=400,"Blockbuster",K103&gt;=200,"Popular",K103&lt;200,"Normal")</f>
        <v>Blockbuster</v>
      </c>
      <c r="T103" s="10" t="str">
        <f>IF(OR(I103="PG",I103="G"),"Yes","No")</f>
        <v>No</v>
      </c>
      <c r="U103" s="11" t="str">
        <f>IF(P103&gt;=100,"High","Low")</f>
        <v>Low</v>
      </c>
      <c r="V103" s="28">
        <f t="shared" si="2"/>
        <v>225.10000000000002</v>
      </c>
      <c r="W103" s="29">
        <f t="shared" si="3"/>
        <v>568.95833333333337</v>
      </c>
    </row>
    <row r="104" spans="1:23" x14ac:dyDescent="0.3">
      <c r="A104" s="1" t="s">
        <v>385</v>
      </c>
      <c r="B104" s="1" t="s">
        <v>386</v>
      </c>
      <c r="C104" s="1" t="s">
        <v>18</v>
      </c>
      <c r="D104" s="1" t="s">
        <v>141</v>
      </c>
      <c r="E104" s="1">
        <v>2008</v>
      </c>
      <c r="F104" s="1" t="s">
        <v>83</v>
      </c>
      <c r="G104" s="1" t="s">
        <v>387</v>
      </c>
      <c r="H104" s="1">
        <v>86</v>
      </c>
      <c r="I104" s="1" t="s">
        <v>110</v>
      </c>
      <c r="J104" s="1">
        <v>8.6</v>
      </c>
      <c r="K104" s="1">
        <v>354.5</v>
      </c>
      <c r="L104" s="1" t="s">
        <v>32</v>
      </c>
      <c r="M104" s="1" t="s">
        <v>24</v>
      </c>
      <c r="N104" s="1" t="s">
        <v>128</v>
      </c>
      <c r="O104" s="1"/>
      <c r="P104" s="1">
        <v>24</v>
      </c>
      <c r="Q104" s="1">
        <v>57</v>
      </c>
      <c r="R104" s="8" t="str">
        <f>_xlfn.IFS(J104&gt;=8,"Hit",J104&gt;=6,"Average",J104&lt;6,"Flop")</f>
        <v>Hit</v>
      </c>
      <c r="S104" s="9" t="str">
        <f>_xlfn.IFS(K104&gt;=400,"Blockbuster",K104&gt;=200,"Popular",K104&lt;200,"Normal")</f>
        <v>Popular</v>
      </c>
      <c r="T104" s="10" t="str">
        <f>IF(OR(I104="PG",I104="G"),"Yes","No")</f>
        <v>No</v>
      </c>
      <c r="U104" s="11" t="str">
        <f>IF(P104&gt;=100,"High","Low")</f>
        <v>Low</v>
      </c>
      <c r="V104" s="28">
        <f t="shared" si="2"/>
        <v>33</v>
      </c>
      <c r="W104" s="29">
        <f t="shared" si="3"/>
        <v>237.5</v>
      </c>
    </row>
    <row r="105" spans="1:23" x14ac:dyDescent="0.3">
      <c r="A105" s="1" t="s">
        <v>388</v>
      </c>
      <c r="B105" s="1" t="s">
        <v>389</v>
      </c>
      <c r="C105" s="1" t="s">
        <v>18</v>
      </c>
      <c r="D105" s="1" t="s">
        <v>19</v>
      </c>
      <c r="E105" s="1">
        <v>2006</v>
      </c>
      <c r="F105" s="1" t="s">
        <v>48</v>
      </c>
      <c r="G105" s="1" t="s">
        <v>390</v>
      </c>
      <c r="H105" s="1">
        <v>117</v>
      </c>
      <c r="I105" s="1" t="s">
        <v>22</v>
      </c>
      <c r="J105" s="1">
        <v>4.8</v>
      </c>
      <c r="K105" s="1">
        <v>141.5</v>
      </c>
      <c r="L105" s="1" t="s">
        <v>32</v>
      </c>
      <c r="M105" s="1" t="s">
        <v>24</v>
      </c>
      <c r="N105" s="1" t="s">
        <v>43</v>
      </c>
      <c r="O105" s="1"/>
      <c r="P105" s="1">
        <v>166</v>
      </c>
      <c r="Q105" s="1">
        <v>465.5</v>
      </c>
      <c r="R105" s="8" t="str">
        <f>_xlfn.IFS(J105&gt;=8,"Hit",J105&gt;=6,"Average",J105&lt;6,"Flop")</f>
        <v>Flop</v>
      </c>
      <c r="S105" s="9" t="str">
        <f>_xlfn.IFS(K105&gt;=400,"Blockbuster",K105&gt;=200,"Popular",K105&lt;200,"Normal")</f>
        <v>Normal</v>
      </c>
      <c r="T105" s="10" t="str">
        <f>IF(OR(I105="PG",I105="G"),"Yes","No")</f>
        <v>No</v>
      </c>
      <c r="U105" s="11" t="str">
        <f>IF(P105&gt;=100,"High","Low")</f>
        <v>High</v>
      </c>
      <c r="V105" s="28">
        <f t="shared" si="2"/>
        <v>299.5</v>
      </c>
      <c r="W105" s="29">
        <f t="shared" si="3"/>
        <v>280.42168674698792</v>
      </c>
    </row>
    <row r="106" spans="1:23" x14ac:dyDescent="0.3">
      <c r="A106" s="1" t="s">
        <v>391</v>
      </c>
      <c r="B106" s="1" t="s">
        <v>392</v>
      </c>
      <c r="C106" s="1" t="s">
        <v>46</v>
      </c>
      <c r="D106" s="1" t="s">
        <v>141</v>
      </c>
      <c r="E106" s="1">
        <v>2007</v>
      </c>
      <c r="F106" s="1" t="s">
        <v>100</v>
      </c>
      <c r="G106" s="1" t="s">
        <v>393</v>
      </c>
      <c r="H106" s="1">
        <v>51</v>
      </c>
      <c r="I106" s="1" t="s">
        <v>50</v>
      </c>
      <c r="J106" s="1">
        <v>5.9</v>
      </c>
      <c r="K106" s="1">
        <v>70.5</v>
      </c>
      <c r="L106" s="1" t="s">
        <v>171</v>
      </c>
      <c r="M106" s="1" t="s">
        <v>111</v>
      </c>
      <c r="N106" s="1" t="s">
        <v>158</v>
      </c>
      <c r="O106" s="1">
        <v>4</v>
      </c>
      <c r="P106" s="1">
        <v>112</v>
      </c>
      <c r="Q106" s="1">
        <v>379.2</v>
      </c>
      <c r="R106" s="8" t="str">
        <f>_xlfn.IFS(J106&gt;=8,"Hit",J106&gt;=6,"Average",J106&lt;6,"Flop")</f>
        <v>Flop</v>
      </c>
      <c r="S106" s="9" t="str">
        <f>_xlfn.IFS(K106&gt;=400,"Blockbuster",K106&gt;=200,"Popular",K106&lt;200,"Normal")</f>
        <v>Normal</v>
      </c>
      <c r="T106" s="10" t="str">
        <f>IF(OR(I106="PG",I106="G"),"Yes","No")</f>
        <v>Yes</v>
      </c>
      <c r="U106" s="11" t="str">
        <f>IF(P106&gt;=100,"High","Low")</f>
        <v>High</v>
      </c>
      <c r="V106" s="28">
        <f t="shared" si="2"/>
        <v>267.2</v>
      </c>
      <c r="W106" s="29">
        <f t="shared" si="3"/>
        <v>338.57142857142856</v>
      </c>
    </row>
    <row r="107" spans="1:23" x14ac:dyDescent="0.3">
      <c r="A107" s="1" t="s">
        <v>394</v>
      </c>
      <c r="B107" s="1" t="s">
        <v>395</v>
      </c>
      <c r="C107" s="1" t="s">
        <v>46</v>
      </c>
      <c r="D107" s="1" t="s">
        <v>37</v>
      </c>
      <c r="E107" s="1">
        <v>2003</v>
      </c>
      <c r="F107" s="1" t="s">
        <v>181</v>
      </c>
      <c r="G107" s="1" t="s">
        <v>396</v>
      </c>
      <c r="H107" s="1">
        <v>35</v>
      </c>
      <c r="I107" s="1" t="s">
        <v>110</v>
      </c>
      <c r="J107" s="1">
        <v>9</v>
      </c>
      <c r="K107" s="1">
        <v>266</v>
      </c>
      <c r="L107" s="1" t="s">
        <v>171</v>
      </c>
      <c r="M107" s="1" t="s">
        <v>146</v>
      </c>
      <c r="N107" s="1" t="s">
        <v>25</v>
      </c>
      <c r="O107" s="1">
        <v>4</v>
      </c>
      <c r="P107" s="1">
        <v>122</v>
      </c>
      <c r="Q107" s="1">
        <v>325.2</v>
      </c>
      <c r="R107" s="8" t="str">
        <f>_xlfn.IFS(J107&gt;=8,"Hit",J107&gt;=6,"Average",J107&lt;6,"Flop")</f>
        <v>Hit</v>
      </c>
      <c r="S107" s="9" t="str">
        <f>_xlfn.IFS(K107&gt;=400,"Blockbuster",K107&gt;=200,"Popular",K107&lt;200,"Normal")</f>
        <v>Popular</v>
      </c>
      <c r="T107" s="10" t="str">
        <f>IF(OR(I107="PG",I107="G"),"Yes","No")</f>
        <v>No</v>
      </c>
      <c r="U107" s="11" t="str">
        <f>IF(P107&gt;=100,"High","Low")</f>
        <v>High</v>
      </c>
      <c r="V107" s="28">
        <f t="shared" si="2"/>
        <v>203.2</v>
      </c>
      <c r="W107" s="29">
        <f t="shared" si="3"/>
        <v>266.55737704918027</v>
      </c>
    </row>
    <row r="108" spans="1:23" x14ac:dyDescent="0.3">
      <c r="A108" s="1" t="s">
        <v>397</v>
      </c>
      <c r="B108" s="1" t="s">
        <v>398</v>
      </c>
      <c r="C108" s="1" t="s">
        <v>18</v>
      </c>
      <c r="D108" s="1" t="s">
        <v>117</v>
      </c>
      <c r="E108" s="1">
        <v>2025</v>
      </c>
      <c r="F108" s="1" t="s">
        <v>83</v>
      </c>
      <c r="G108" s="1" t="s">
        <v>399</v>
      </c>
      <c r="H108" s="1">
        <v>121</v>
      </c>
      <c r="I108" s="1" t="s">
        <v>110</v>
      </c>
      <c r="J108" s="1">
        <v>8.9</v>
      </c>
      <c r="K108" s="1">
        <v>331.2</v>
      </c>
      <c r="L108" s="1" t="s">
        <v>71</v>
      </c>
      <c r="M108" s="1" t="s">
        <v>132</v>
      </c>
      <c r="N108" s="1" t="s">
        <v>158</v>
      </c>
      <c r="O108" s="1"/>
      <c r="P108" s="1">
        <v>144</v>
      </c>
      <c r="Q108" s="1">
        <v>822.1</v>
      </c>
      <c r="R108" s="8" t="str">
        <f>_xlfn.IFS(J108&gt;=8,"Hit",J108&gt;=6,"Average",J108&lt;6,"Flop")</f>
        <v>Hit</v>
      </c>
      <c r="S108" s="9" t="str">
        <f>_xlfn.IFS(K108&gt;=400,"Blockbuster",K108&gt;=200,"Popular",K108&lt;200,"Normal")</f>
        <v>Popular</v>
      </c>
      <c r="T108" s="10" t="str">
        <f>IF(OR(I108="PG",I108="G"),"Yes","No")</f>
        <v>No</v>
      </c>
      <c r="U108" s="11" t="str">
        <f>IF(P108&gt;=100,"High","Low")</f>
        <v>High</v>
      </c>
      <c r="V108" s="28">
        <f t="shared" si="2"/>
        <v>678.1</v>
      </c>
      <c r="W108" s="29">
        <f t="shared" si="3"/>
        <v>570.90277777777783</v>
      </c>
    </row>
    <row r="109" spans="1:23" x14ac:dyDescent="0.3">
      <c r="A109" s="1" t="s">
        <v>400</v>
      </c>
      <c r="B109" s="1" t="s">
        <v>401</v>
      </c>
      <c r="C109" s="1" t="s">
        <v>46</v>
      </c>
      <c r="D109" s="1" t="s">
        <v>75</v>
      </c>
      <c r="E109" s="1">
        <v>2020</v>
      </c>
      <c r="F109" s="1" t="s">
        <v>48</v>
      </c>
      <c r="G109" s="1" t="s">
        <v>402</v>
      </c>
      <c r="H109" s="1">
        <v>42</v>
      </c>
      <c r="I109" s="1" t="s">
        <v>31</v>
      </c>
      <c r="J109" s="1">
        <v>7.1</v>
      </c>
      <c r="K109" s="1">
        <v>260.60000000000002</v>
      </c>
      <c r="L109" s="1" t="s">
        <v>71</v>
      </c>
      <c r="M109" s="1" t="s">
        <v>146</v>
      </c>
      <c r="N109" s="1" t="s">
        <v>79</v>
      </c>
      <c r="O109" s="1">
        <v>3</v>
      </c>
      <c r="P109" s="1">
        <v>189</v>
      </c>
      <c r="Q109" s="1">
        <v>672.4</v>
      </c>
      <c r="R109" s="8" t="str">
        <f>_xlfn.IFS(J109&gt;=8,"Hit",J109&gt;=6,"Average",J109&lt;6,"Flop")</f>
        <v>Average</v>
      </c>
      <c r="S109" s="9" t="str">
        <f>_xlfn.IFS(K109&gt;=400,"Blockbuster",K109&gt;=200,"Popular",K109&lt;200,"Normal")</f>
        <v>Popular</v>
      </c>
      <c r="T109" s="10" t="str">
        <f>IF(OR(I109="PG",I109="G"),"Yes","No")</f>
        <v>No</v>
      </c>
      <c r="U109" s="11" t="str">
        <f>IF(P109&gt;=100,"High","Low")</f>
        <v>High</v>
      </c>
      <c r="V109" s="28">
        <f t="shared" si="2"/>
        <v>483.4</v>
      </c>
      <c r="W109" s="29">
        <f t="shared" si="3"/>
        <v>355.7671957671958</v>
      </c>
    </row>
    <row r="110" spans="1:23" x14ac:dyDescent="0.3">
      <c r="A110" s="1" t="s">
        <v>403</v>
      </c>
      <c r="B110" s="1" t="s">
        <v>404</v>
      </c>
      <c r="C110" s="1" t="s">
        <v>18</v>
      </c>
      <c r="D110" s="1" t="s">
        <v>58</v>
      </c>
      <c r="E110" s="1">
        <v>2002</v>
      </c>
      <c r="F110" s="1" t="s">
        <v>38</v>
      </c>
      <c r="G110" s="1" t="s">
        <v>405</v>
      </c>
      <c r="H110" s="1">
        <v>106</v>
      </c>
      <c r="I110" s="1" t="s">
        <v>110</v>
      </c>
      <c r="J110" s="1">
        <v>8.1999999999999993</v>
      </c>
      <c r="K110" s="1">
        <v>123.9</v>
      </c>
      <c r="L110" s="1" t="s">
        <v>32</v>
      </c>
      <c r="M110" s="1" t="s">
        <v>124</v>
      </c>
      <c r="N110" s="1" t="s">
        <v>60</v>
      </c>
      <c r="O110" s="1"/>
      <c r="P110" s="1">
        <v>173</v>
      </c>
      <c r="Q110" s="1">
        <v>1049.4000000000001</v>
      </c>
      <c r="R110" s="8" t="str">
        <f>_xlfn.IFS(J110&gt;=8,"Hit",J110&gt;=6,"Average",J110&lt;6,"Flop")</f>
        <v>Hit</v>
      </c>
      <c r="S110" s="9" t="str">
        <f>_xlfn.IFS(K110&gt;=400,"Blockbuster",K110&gt;=200,"Popular",K110&lt;200,"Normal")</f>
        <v>Normal</v>
      </c>
      <c r="T110" s="10" t="str">
        <f>IF(OR(I110="PG",I110="G"),"Yes","No")</f>
        <v>No</v>
      </c>
      <c r="U110" s="11" t="str">
        <f>IF(P110&gt;=100,"High","Low")</f>
        <v>High</v>
      </c>
      <c r="V110" s="28">
        <f t="shared" si="2"/>
        <v>876.40000000000009</v>
      </c>
      <c r="W110" s="29">
        <f t="shared" si="3"/>
        <v>606.58959537572264</v>
      </c>
    </row>
    <row r="111" spans="1:23" x14ac:dyDescent="0.3">
      <c r="A111" s="1" t="s">
        <v>406</v>
      </c>
      <c r="B111" s="1" t="s">
        <v>407</v>
      </c>
      <c r="C111" s="1" t="s">
        <v>46</v>
      </c>
      <c r="D111" s="1" t="s">
        <v>82</v>
      </c>
      <c r="E111" s="1">
        <v>2022</v>
      </c>
      <c r="F111" s="1" t="s">
        <v>29</v>
      </c>
      <c r="G111" s="1" t="s">
        <v>408</v>
      </c>
      <c r="H111" s="1">
        <v>35</v>
      </c>
      <c r="I111" s="1" t="s">
        <v>110</v>
      </c>
      <c r="J111" s="1">
        <v>9.1999999999999993</v>
      </c>
      <c r="K111" s="1">
        <v>416</v>
      </c>
      <c r="L111" s="1" t="s">
        <v>71</v>
      </c>
      <c r="M111" s="1" t="s">
        <v>157</v>
      </c>
      <c r="N111" s="1" t="s">
        <v>102</v>
      </c>
      <c r="O111" s="1">
        <v>8</v>
      </c>
      <c r="P111" s="1">
        <v>64</v>
      </c>
      <c r="Q111" s="1">
        <v>353.1</v>
      </c>
      <c r="R111" s="8" t="str">
        <f>_xlfn.IFS(J111&gt;=8,"Hit",J111&gt;=6,"Average",J111&lt;6,"Flop")</f>
        <v>Hit</v>
      </c>
      <c r="S111" s="9" t="str">
        <f>_xlfn.IFS(K111&gt;=400,"Blockbuster",K111&gt;=200,"Popular",K111&lt;200,"Normal")</f>
        <v>Blockbuster</v>
      </c>
      <c r="T111" s="10" t="str">
        <f>IF(OR(I111="PG",I111="G"),"Yes","No")</f>
        <v>No</v>
      </c>
      <c r="U111" s="11" t="str">
        <f>IF(P111&gt;=100,"High","Low")</f>
        <v>Low</v>
      </c>
      <c r="V111" s="28">
        <f t="shared" si="2"/>
        <v>289.10000000000002</v>
      </c>
      <c r="W111" s="29">
        <f t="shared" si="3"/>
        <v>551.71875</v>
      </c>
    </row>
    <row r="112" spans="1:23" x14ac:dyDescent="0.3">
      <c r="A112" s="1" t="s">
        <v>409</v>
      </c>
      <c r="B112" s="1" t="s">
        <v>410</v>
      </c>
      <c r="C112" s="1" t="s">
        <v>18</v>
      </c>
      <c r="D112" s="1" t="s">
        <v>75</v>
      </c>
      <c r="E112" s="1">
        <v>2024</v>
      </c>
      <c r="F112" s="1" t="s">
        <v>20</v>
      </c>
      <c r="G112" s="1" t="s">
        <v>411</v>
      </c>
      <c r="H112" s="1">
        <v>88</v>
      </c>
      <c r="I112" s="1" t="s">
        <v>110</v>
      </c>
      <c r="J112" s="1">
        <v>4.5999999999999996</v>
      </c>
      <c r="K112" s="1">
        <v>435.6</v>
      </c>
      <c r="L112" s="1" t="s">
        <v>65</v>
      </c>
      <c r="M112" s="1" t="s">
        <v>78</v>
      </c>
      <c r="N112" s="1" t="s">
        <v>102</v>
      </c>
      <c r="O112" s="1"/>
      <c r="P112" s="1">
        <v>183</v>
      </c>
      <c r="Q112" s="1">
        <v>777.5</v>
      </c>
      <c r="R112" s="8" t="str">
        <f>_xlfn.IFS(J112&gt;=8,"Hit",J112&gt;=6,"Average",J112&lt;6,"Flop")</f>
        <v>Flop</v>
      </c>
      <c r="S112" s="9" t="str">
        <f>_xlfn.IFS(K112&gt;=400,"Blockbuster",K112&gt;=200,"Popular",K112&lt;200,"Normal")</f>
        <v>Blockbuster</v>
      </c>
      <c r="T112" s="10" t="str">
        <f>IF(OR(I112="PG",I112="G"),"Yes","No")</f>
        <v>No</v>
      </c>
      <c r="U112" s="11" t="str">
        <f>IF(P112&gt;=100,"High","Low")</f>
        <v>High</v>
      </c>
      <c r="V112" s="28">
        <f t="shared" si="2"/>
        <v>594.5</v>
      </c>
      <c r="W112" s="29">
        <f t="shared" si="3"/>
        <v>424.8633879781421</v>
      </c>
    </row>
    <row r="113" spans="1:23" x14ac:dyDescent="0.3">
      <c r="A113" s="1" t="s">
        <v>412</v>
      </c>
      <c r="B113" s="1" t="s">
        <v>413</v>
      </c>
      <c r="C113" s="1" t="s">
        <v>18</v>
      </c>
      <c r="D113" s="1" t="s">
        <v>94</v>
      </c>
      <c r="E113" s="1">
        <v>2008</v>
      </c>
      <c r="F113" s="1" t="s">
        <v>122</v>
      </c>
      <c r="G113" s="1" t="s">
        <v>414</v>
      </c>
      <c r="H113" s="1">
        <v>151</v>
      </c>
      <c r="I113" s="1" t="s">
        <v>50</v>
      </c>
      <c r="J113" s="1">
        <v>8.8000000000000007</v>
      </c>
      <c r="K113" s="1">
        <v>556.4</v>
      </c>
      <c r="L113" s="1" t="s">
        <v>41</v>
      </c>
      <c r="M113" s="1" t="s">
        <v>157</v>
      </c>
      <c r="N113" s="1" t="s">
        <v>34</v>
      </c>
      <c r="O113" s="1"/>
      <c r="P113" s="1">
        <v>14</v>
      </c>
      <c r="Q113" s="1">
        <v>90.5</v>
      </c>
      <c r="R113" s="8" t="str">
        <f>_xlfn.IFS(J113&gt;=8,"Hit",J113&gt;=6,"Average",J113&lt;6,"Flop")</f>
        <v>Hit</v>
      </c>
      <c r="S113" s="9" t="str">
        <f>_xlfn.IFS(K113&gt;=400,"Blockbuster",K113&gt;=200,"Popular",K113&lt;200,"Normal")</f>
        <v>Blockbuster</v>
      </c>
      <c r="T113" s="10" t="str">
        <f>IF(OR(I113="PG",I113="G"),"Yes","No")</f>
        <v>Yes</v>
      </c>
      <c r="U113" s="11" t="str">
        <f>IF(P113&gt;=100,"High","Low")</f>
        <v>Low</v>
      </c>
      <c r="V113" s="28">
        <f t="shared" si="2"/>
        <v>76.5</v>
      </c>
      <c r="W113" s="29">
        <f t="shared" si="3"/>
        <v>646.42857142857144</v>
      </c>
    </row>
    <row r="114" spans="1:23" x14ac:dyDescent="0.3">
      <c r="A114" s="1" t="s">
        <v>415</v>
      </c>
      <c r="B114" s="1" t="s">
        <v>416</v>
      </c>
      <c r="C114" s="1" t="s">
        <v>46</v>
      </c>
      <c r="D114" s="1" t="s">
        <v>117</v>
      </c>
      <c r="E114" s="1">
        <v>2005</v>
      </c>
      <c r="F114" s="1" t="s">
        <v>29</v>
      </c>
      <c r="G114" s="1" t="s">
        <v>417</v>
      </c>
      <c r="H114" s="1">
        <v>55</v>
      </c>
      <c r="I114" s="1" t="s">
        <v>50</v>
      </c>
      <c r="J114" s="1">
        <v>8.9</v>
      </c>
      <c r="K114" s="1">
        <v>323.39999999999998</v>
      </c>
      <c r="L114" s="1" t="s">
        <v>71</v>
      </c>
      <c r="M114" s="1" t="s">
        <v>66</v>
      </c>
      <c r="N114" s="1" t="s">
        <v>34</v>
      </c>
      <c r="O114" s="1">
        <v>5</v>
      </c>
      <c r="P114" s="1">
        <v>56</v>
      </c>
      <c r="Q114" s="1">
        <v>300.60000000000002</v>
      </c>
      <c r="R114" s="8" t="str">
        <f>_xlfn.IFS(J114&gt;=8,"Hit",J114&gt;=6,"Average",J114&lt;6,"Flop")</f>
        <v>Hit</v>
      </c>
      <c r="S114" s="9" t="str">
        <f>_xlfn.IFS(K114&gt;=400,"Blockbuster",K114&gt;=200,"Popular",K114&lt;200,"Normal")</f>
        <v>Popular</v>
      </c>
      <c r="T114" s="10" t="str">
        <f>IF(OR(I114="PG",I114="G"),"Yes","No")</f>
        <v>Yes</v>
      </c>
      <c r="U114" s="11" t="str">
        <f>IF(P114&gt;=100,"High","Low")</f>
        <v>Low</v>
      </c>
      <c r="V114" s="28">
        <f t="shared" si="2"/>
        <v>244.60000000000002</v>
      </c>
      <c r="W114" s="29">
        <f t="shared" si="3"/>
        <v>536.78571428571433</v>
      </c>
    </row>
    <row r="115" spans="1:23" x14ac:dyDescent="0.3">
      <c r="A115" s="1" t="s">
        <v>418</v>
      </c>
      <c r="B115" s="1" t="s">
        <v>419</v>
      </c>
      <c r="C115" s="1" t="s">
        <v>18</v>
      </c>
      <c r="D115" s="1" t="s">
        <v>75</v>
      </c>
      <c r="E115" s="1">
        <v>2023</v>
      </c>
      <c r="F115" s="1" t="s">
        <v>83</v>
      </c>
      <c r="G115" s="1" t="s">
        <v>420</v>
      </c>
      <c r="H115" s="1">
        <v>178</v>
      </c>
      <c r="I115" s="1" t="s">
        <v>50</v>
      </c>
      <c r="J115" s="1">
        <v>7.8</v>
      </c>
      <c r="K115" s="1">
        <v>20.7</v>
      </c>
      <c r="L115" s="1" t="s">
        <v>90</v>
      </c>
      <c r="M115" s="1" t="s">
        <v>66</v>
      </c>
      <c r="N115" s="1" t="s">
        <v>153</v>
      </c>
      <c r="O115" s="1"/>
      <c r="P115" s="1">
        <v>160</v>
      </c>
      <c r="Q115" s="1">
        <v>979.4</v>
      </c>
      <c r="R115" s="8" t="str">
        <f>_xlfn.IFS(J115&gt;=8,"Hit",J115&gt;=6,"Average",J115&lt;6,"Flop")</f>
        <v>Average</v>
      </c>
      <c r="S115" s="9" t="str">
        <f>_xlfn.IFS(K115&gt;=400,"Blockbuster",K115&gt;=200,"Popular",K115&lt;200,"Normal")</f>
        <v>Normal</v>
      </c>
      <c r="T115" s="10" t="str">
        <f>IF(OR(I115="PG",I115="G"),"Yes","No")</f>
        <v>Yes</v>
      </c>
      <c r="U115" s="11" t="str">
        <f>IF(P115&gt;=100,"High","Low")</f>
        <v>High</v>
      </c>
      <c r="V115" s="28">
        <f t="shared" si="2"/>
        <v>819.4</v>
      </c>
      <c r="W115" s="29">
        <f t="shared" si="3"/>
        <v>612.125</v>
      </c>
    </row>
    <row r="116" spans="1:23" x14ac:dyDescent="0.3">
      <c r="A116" s="1" t="s">
        <v>421</v>
      </c>
      <c r="B116" s="1" t="s">
        <v>422</v>
      </c>
      <c r="C116" s="1" t="s">
        <v>46</v>
      </c>
      <c r="D116" s="1" t="s">
        <v>117</v>
      </c>
      <c r="E116" s="1">
        <v>2015</v>
      </c>
      <c r="F116" s="1" t="s">
        <v>100</v>
      </c>
      <c r="G116" s="1" t="s">
        <v>423</v>
      </c>
      <c r="H116" s="1">
        <v>47</v>
      </c>
      <c r="I116" s="1" t="s">
        <v>22</v>
      </c>
      <c r="J116" s="1">
        <v>5.4</v>
      </c>
      <c r="K116" s="1">
        <v>141.1</v>
      </c>
      <c r="L116" s="1" t="s">
        <v>23</v>
      </c>
      <c r="M116" s="1" t="s">
        <v>42</v>
      </c>
      <c r="N116" s="1" t="s">
        <v>55</v>
      </c>
      <c r="O116" s="1">
        <v>8</v>
      </c>
      <c r="P116" s="1">
        <v>145</v>
      </c>
      <c r="Q116" s="1">
        <v>838.5</v>
      </c>
      <c r="R116" s="8" t="str">
        <f>_xlfn.IFS(J116&gt;=8,"Hit",J116&gt;=6,"Average",J116&lt;6,"Flop")</f>
        <v>Flop</v>
      </c>
      <c r="S116" s="9" t="str">
        <f>_xlfn.IFS(K116&gt;=400,"Blockbuster",K116&gt;=200,"Popular",K116&lt;200,"Normal")</f>
        <v>Normal</v>
      </c>
      <c r="T116" s="10" t="str">
        <f>IF(OR(I116="PG",I116="G"),"Yes","No")</f>
        <v>No</v>
      </c>
      <c r="U116" s="11" t="str">
        <f>IF(P116&gt;=100,"High","Low")</f>
        <v>High</v>
      </c>
      <c r="V116" s="28">
        <f t="shared" si="2"/>
        <v>693.5</v>
      </c>
      <c r="W116" s="29">
        <f t="shared" si="3"/>
        <v>578.27586206896558</v>
      </c>
    </row>
    <row r="117" spans="1:23" x14ac:dyDescent="0.3">
      <c r="A117" s="1" t="s">
        <v>424</v>
      </c>
      <c r="B117" s="1" t="s">
        <v>425</v>
      </c>
      <c r="C117" s="1" t="s">
        <v>46</v>
      </c>
      <c r="D117" s="1" t="s">
        <v>63</v>
      </c>
      <c r="E117" s="1">
        <v>2012</v>
      </c>
      <c r="F117" s="1" t="s">
        <v>100</v>
      </c>
      <c r="G117" s="1" t="s">
        <v>426</v>
      </c>
      <c r="H117" s="1">
        <v>45</v>
      </c>
      <c r="I117" s="1" t="s">
        <v>22</v>
      </c>
      <c r="J117" s="1">
        <v>5.0999999999999996</v>
      </c>
      <c r="K117" s="1">
        <v>276.89999999999998</v>
      </c>
      <c r="L117" s="1" t="s">
        <v>65</v>
      </c>
      <c r="M117" s="1" t="s">
        <v>24</v>
      </c>
      <c r="N117" s="1" t="s">
        <v>119</v>
      </c>
      <c r="O117" s="1">
        <v>5</v>
      </c>
      <c r="P117" s="1">
        <v>29</v>
      </c>
      <c r="Q117" s="1">
        <v>159.69999999999999</v>
      </c>
      <c r="R117" s="8" t="str">
        <f>_xlfn.IFS(J117&gt;=8,"Hit",J117&gt;=6,"Average",J117&lt;6,"Flop")</f>
        <v>Flop</v>
      </c>
      <c r="S117" s="9" t="str">
        <f>_xlfn.IFS(K117&gt;=400,"Blockbuster",K117&gt;=200,"Popular",K117&lt;200,"Normal")</f>
        <v>Popular</v>
      </c>
      <c r="T117" s="10" t="str">
        <f>IF(OR(I117="PG",I117="G"),"Yes","No")</f>
        <v>No</v>
      </c>
      <c r="U117" s="11" t="str">
        <f>IF(P117&gt;=100,"High","Low")</f>
        <v>Low</v>
      </c>
      <c r="V117" s="28">
        <f t="shared" si="2"/>
        <v>130.69999999999999</v>
      </c>
      <c r="W117" s="29">
        <f t="shared" si="3"/>
        <v>550.68965517241372</v>
      </c>
    </row>
    <row r="118" spans="1:23" x14ac:dyDescent="0.3">
      <c r="A118" s="1" t="s">
        <v>427</v>
      </c>
      <c r="B118" s="1" t="s">
        <v>428</v>
      </c>
      <c r="C118" s="1" t="s">
        <v>18</v>
      </c>
      <c r="D118" s="1" t="s">
        <v>82</v>
      </c>
      <c r="E118" s="1">
        <v>2002</v>
      </c>
      <c r="F118" s="1" t="s">
        <v>29</v>
      </c>
      <c r="G118" s="1" t="s">
        <v>378</v>
      </c>
      <c r="H118" s="1">
        <v>160</v>
      </c>
      <c r="I118" s="1" t="s">
        <v>22</v>
      </c>
      <c r="J118" s="1">
        <v>6.2</v>
      </c>
      <c r="K118" s="1">
        <v>137.30000000000001</v>
      </c>
      <c r="L118" s="1" t="s">
        <v>90</v>
      </c>
      <c r="M118" s="1" t="s">
        <v>66</v>
      </c>
      <c r="N118" s="1" t="s">
        <v>55</v>
      </c>
      <c r="O118" s="1"/>
      <c r="P118" s="1">
        <v>48</v>
      </c>
      <c r="Q118" s="1">
        <v>251.8</v>
      </c>
      <c r="R118" s="8" t="str">
        <f>_xlfn.IFS(J118&gt;=8,"Hit",J118&gt;=6,"Average",J118&lt;6,"Flop")</f>
        <v>Average</v>
      </c>
      <c r="S118" s="9" t="str">
        <f>_xlfn.IFS(K118&gt;=400,"Blockbuster",K118&gt;=200,"Popular",K118&lt;200,"Normal")</f>
        <v>Normal</v>
      </c>
      <c r="T118" s="10" t="str">
        <f>IF(OR(I118="PG",I118="G"),"Yes","No")</f>
        <v>No</v>
      </c>
      <c r="U118" s="11" t="str">
        <f>IF(P118&gt;=100,"High","Low")</f>
        <v>Low</v>
      </c>
      <c r="V118" s="28">
        <f t="shared" si="2"/>
        <v>203.8</v>
      </c>
      <c r="W118" s="29">
        <f t="shared" si="3"/>
        <v>524.58333333333337</v>
      </c>
    </row>
    <row r="119" spans="1:23" x14ac:dyDescent="0.3">
      <c r="A119" s="1" t="s">
        <v>429</v>
      </c>
      <c r="B119" s="1" t="s">
        <v>430</v>
      </c>
      <c r="C119" s="1" t="s">
        <v>46</v>
      </c>
      <c r="D119" s="1" t="s">
        <v>47</v>
      </c>
      <c r="E119" s="1">
        <v>2012</v>
      </c>
      <c r="F119" s="1" t="s">
        <v>100</v>
      </c>
      <c r="G119" s="1" t="s">
        <v>431</v>
      </c>
      <c r="H119" s="1">
        <v>44</v>
      </c>
      <c r="I119" s="1" t="s">
        <v>22</v>
      </c>
      <c r="J119" s="1">
        <v>5.6</v>
      </c>
      <c r="K119" s="1">
        <v>275.3</v>
      </c>
      <c r="L119" s="1" t="s">
        <v>41</v>
      </c>
      <c r="M119" s="1" t="s">
        <v>124</v>
      </c>
      <c r="N119" s="1" t="s">
        <v>60</v>
      </c>
      <c r="O119" s="1">
        <v>1</v>
      </c>
      <c r="P119" s="1">
        <v>51</v>
      </c>
      <c r="Q119" s="1">
        <v>64.400000000000006</v>
      </c>
      <c r="R119" s="8" t="str">
        <f>_xlfn.IFS(J119&gt;=8,"Hit",J119&gt;=6,"Average",J119&lt;6,"Flop")</f>
        <v>Flop</v>
      </c>
      <c r="S119" s="9" t="str">
        <f>_xlfn.IFS(K119&gt;=400,"Blockbuster",K119&gt;=200,"Popular",K119&lt;200,"Normal")</f>
        <v>Popular</v>
      </c>
      <c r="T119" s="10" t="str">
        <f>IF(OR(I119="PG",I119="G"),"Yes","No")</f>
        <v>No</v>
      </c>
      <c r="U119" s="11" t="str">
        <f>IF(P119&gt;=100,"High","Low")</f>
        <v>Low</v>
      </c>
      <c r="V119" s="28">
        <f t="shared" si="2"/>
        <v>13.400000000000006</v>
      </c>
      <c r="W119" s="29">
        <f t="shared" si="3"/>
        <v>126.27450980392159</v>
      </c>
    </row>
    <row r="120" spans="1:23" x14ac:dyDescent="0.3">
      <c r="A120" s="1" t="s">
        <v>432</v>
      </c>
      <c r="B120" s="1" t="s">
        <v>433</v>
      </c>
      <c r="C120" s="1" t="s">
        <v>18</v>
      </c>
      <c r="D120" s="1" t="s">
        <v>63</v>
      </c>
      <c r="E120" s="1">
        <v>2017</v>
      </c>
      <c r="F120" s="1" t="s">
        <v>122</v>
      </c>
      <c r="G120" s="1" t="s">
        <v>434</v>
      </c>
      <c r="H120" s="1">
        <v>137</v>
      </c>
      <c r="I120" s="1" t="s">
        <v>110</v>
      </c>
      <c r="J120" s="1">
        <v>5.4</v>
      </c>
      <c r="K120" s="1">
        <v>395.6</v>
      </c>
      <c r="L120" s="1" t="s">
        <v>171</v>
      </c>
      <c r="M120" s="1" t="s">
        <v>146</v>
      </c>
      <c r="N120" s="1" t="s">
        <v>91</v>
      </c>
      <c r="O120" s="1"/>
      <c r="P120" s="1">
        <v>116</v>
      </c>
      <c r="Q120" s="1">
        <v>607.5</v>
      </c>
      <c r="R120" s="8" t="str">
        <f>_xlfn.IFS(J120&gt;=8,"Hit",J120&gt;=6,"Average",J120&lt;6,"Flop")</f>
        <v>Flop</v>
      </c>
      <c r="S120" s="9" t="str">
        <f>_xlfn.IFS(K120&gt;=400,"Blockbuster",K120&gt;=200,"Popular",K120&lt;200,"Normal")</f>
        <v>Popular</v>
      </c>
      <c r="T120" s="10" t="str">
        <f>IF(OR(I120="PG",I120="G"),"Yes","No")</f>
        <v>No</v>
      </c>
      <c r="U120" s="11" t="str">
        <f>IF(P120&gt;=100,"High","Low")</f>
        <v>High</v>
      </c>
      <c r="V120" s="28">
        <f t="shared" si="2"/>
        <v>491.5</v>
      </c>
      <c r="W120" s="29">
        <f t="shared" si="3"/>
        <v>523.70689655172407</v>
      </c>
    </row>
    <row r="121" spans="1:23" x14ac:dyDescent="0.3">
      <c r="A121" s="1" t="s">
        <v>435</v>
      </c>
      <c r="B121" s="1" t="s">
        <v>436</v>
      </c>
      <c r="C121" s="1" t="s">
        <v>46</v>
      </c>
      <c r="D121" s="1" t="s">
        <v>37</v>
      </c>
      <c r="E121" s="1">
        <v>2009</v>
      </c>
      <c r="F121" s="1" t="s">
        <v>38</v>
      </c>
      <c r="G121" s="1" t="s">
        <v>437</v>
      </c>
      <c r="H121" s="1">
        <v>39</v>
      </c>
      <c r="I121" s="1" t="s">
        <v>40</v>
      </c>
      <c r="J121" s="1">
        <v>5.0999999999999996</v>
      </c>
      <c r="K121" s="1">
        <v>20.3</v>
      </c>
      <c r="L121" s="1" t="s">
        <v>65</v>
      </c>
      <c r="M121" s="1" t="s">
        <v>72</v>
      </c>
      <c r="N121" s="1" t="s">
        <v>79</v>
      </c>
      <c r="O121" s="1">
        <v>1</v>
      </c>
      <c r="P121" s="1">
        <v>124</v>
      </c>
      <c r="Q121" s="1">
        <v>164.9</v>
      </c>
      <c r="R121" s="8" t="str">
        <f>_xlfn.IFS(J121&gt;=8,"Hit",J121&gt;=6,"Average",J121&lt;6,"Flop")</f>
        <v>Flop</v>
      </c>
      <c r="S121" s="9" t="str">
        <f>_xlfn.IFS(K121&gt;=400,"Blockbuster",K121&gt;=200,"Popular",K121&lt;200,"Normal")</f>
        <v>Normal</v>
      </c>
      <c r="T121" s="10" t="str">
        <f>IF(OR(I121="PG",I121="G"),"Yes","No")</f>
        <v>Yes</v>
      </c>
      <c r="U121" s="11" t="str">
        <f>IF(P121&gt;=100,"High","Low")</f>
        <v>High</v>
      </c>
      <c r="V121" s="28">
        <f t="shared" si="2"/>
        <v>40.900000000000006</v>
      </c>
      <c r="W121" s="29">
        <f t="shared" si="3"/>
        <v>132.98387096774192</v>
      </c>
    </row>
    <row r="122" spans="1:23" x14ac:dyDescent="0.3">
      <c r="A122" s="1" t="s">
        <v>438</v>
      </c>
      <c r="B122" s="1" t="s">
        <v>439</v>
      </c>
      <c r="C122" s="1" t="s">
        <v>46</v>
      </c>
      <c r="D122" s="1" t="s">
        <v>75</v>
      </c>
      <c r="E122" s="1">
        <v>2011</v>
      </c>
      <c r="F122" s="1" t="s">
        <v>95</v>
      </c>
      <c r="G122" s="1" t="s">
        <v>440</v>
      </c>
      <c r="H122" s="1">
        <v>35</v>
      </c>
      <c r="I122" s="1" t="s">
        <v>31</v>
      </c>
      <c r="J122" s="1">
        <v>7.1</v>
      </c>
      <c r="K122" s="1">
        <v>187.5</v>
      </c>
      <c r="L122" s="1" t="s">
        <v>71</v>
      </c>
      <c r="M122" s="1" t="s">
        <v>42</v>
      </c>
      <c r="N122" s="1" t="s">
        <v>119</v>
      </c>
      <c r="O122" s="1">
        <v>1</v>
      </c>
      <c r="P122" s="1">
        <v>99</v>
      </c>
      <c r="Q122" s="1">
        <v>206.5</v>
      </c>
      <c r="R122" s="8" t="str">
        <f>_xlfn.IFS(J122&gt;=8,"Hit",J122&gt;=6,"Average",J122&lt;6,"Flop")</f>
        <v>Average</v>
      </c>
      <c r="S122" s="9" t="str">
        <f>_xlfn.IFS(K122&gt;=400,"Blockbuster",K122&gt;=200,"Popular",K122&lt;200,"Normal")</f>
        <v>Normal</v>
      </c>
      <c r="T122" s="10" t="str">
        <f>IF(OR(I122="PG",I122="G"),"Yes","No")</f>
        <v>No</v>
      </c>
      <c r="U122" s="11" t="str">
        <f>IF(P122&gt;=100,"High","Low")</f>
        <v>Low</v>
      </c>
      <c r="V122" s="28">
        <f t="shared" si="2"/>
        <v>107.5</v>
      </c>
      <c r="W122" s="29">
        <f t="shared" si="3"/>
        <v>208.5858585858586</v>
      </c>
    </row>
    <row r="123" spans="1:23" x14ac:dyDescent="0.3">
      <c r="A123" s="1" t="s">
        <v>441</v>
      </c>
      <c r="B123" s="1" t="s">
        <v>442</v>
      </c>
      <c r="C123" s="1" t="s">
        <v>46</v>
      </c>
      <c r="D123" s="1" t="s">
        <v>82</v>
      </c>
      <c r="E123" s="1">
        <v>2020</v>
      </c>
      <c r="F123" s="1" t="s">
        <v>48</v>
      </c>
      <c r="G123" s="1" t="s">
        <v>443</v>
      </c>
      <c r="H123" s="1">
        <v>31</v>
      </c>
      <c r="I123" s="1" t="s">
        <v>40</v>
      </c>
      <c r="J123" s="1">
        <v>5.3</v>
      </c>
      <c r="K123" s="1">
        <v>591.79999999999995</v>
      </c>
      <c r="L123" s="1" t="s">
        <v>41</v>
      </c>
      <c r="M123" s="1" t="s">
        <v>78</v>
      </c>
      <c r="N123" s="1" t="s">
        <v>34</v>
      </c>
      <c r="O123" s="1">
        <v>2</v>
      </c>
      <c r="P123" s="1">
        <v>175</v>
      </c>
      <c r="Q123" s="1">
        <v>967.1</v>
      </c>
      <c r="R123" s="8" t="str">
        <f>_xlfn.IFS(J123&gt;=8,"Hit",J123&gt;=6,"Average",J123&lt;6,"Flop")</f>
        <v>Flop</v>
      </c>
      <c r="S123" s="9" t="str">
        <f>_xlfn.IFS(K123&gt;=400,"Blockbuster",K123&gt;=200,"Popular",K123&lt;200,"Normal")</f>
        <v>Blockbuster</v>
      </c>
      <c r="T123" s="10" t="str">
        <f>IF(OR(I123="PG",I123="G"),"Yes","No")</f>
        <v>Yes</v>
      </c>
      <c r="U123" s="11" t="str">
        <f>IF(P123&gt;=100,"High","Low")</f>
        <v>High</v>
      </c>
      <c r="V123" s="28">
        <f t="shared" si="2"/>
        <v>792.1</v>
      </c>
      <c r="W123" s="29">
        <f t="shared" si="3"/>
        <v>552.62857142857149</v>
      </c>
    </row>
    <row r="124" spans="1:23" x14ac:dyDescent="0.3">
      <c r="A124" s="1" t="s">
        <v>444</v>
      </c>
      <c r="B124" s="1" t="s">
        <v>445</v>
      </c>
      <c r="C124" s="1" t="s">
        <v>18</v>
      </c>
      <c r="D124" s="1" t="s">
        <v>19</v>
      </c>
      <c r="E124" s="1">
        <v>2006</v>
      </c>
      <c r="F124" s="1" t="s">
        <v>76</v>
      </c>
      <c r="G124" s="1" t="s">
        <v>446</v>
      </c>
      <c r="H124" s="1">
        <v>108</v>
      </c>
      <c r="I124" s="1" t="s">
        <v>110</v>
      </c>
      <c r="J124" s="1">
        <v>6.9</v>
      </c>
      <c r="K124" s="1">
        <v>422.4</v>
      </c>
      <c r="L124" s="1" t="s">
        <v>90</v>
      </c>
      <c r="M124" s="1" t="s">
        <v>72</v>
      </c>
      <c r="N124" s="1" t="s">
        <v>158</v>
      </c>
      <c r="O124" s="1"/>
      <c r="P124" s="1">
        <v>97</v>
      </c>
      <c r="Q124" s="1">
        <v>440.8</v>
      </c>
      <c r="R124" s="8" t="str">
        <f>_xlfn.IFS(J124&gt;=8,"Hit",J124&gt;=6,"Average",J124&lt;6,"Flop")</f>
        <v>Average</v>
      </c>
      <c r="S124" s="9" t="str">
        <f>_xlfn.IFS(K124&gt;=400,"Blockbuster",K124&gt;=200,"Popular",K124&lt;200,"Normal")</f>
        <v>Blockbuster</v>
      </c>
      <c r="T124" s="10" t="str">
        <f>IF(OR(I124="PG",I124="G"),"Yes","No")</f>
        <v>No</v>
      </c>
      <c r="U124" s="11" t="str">
        <f>IF(P124&gt;=100,"High","Low")</f>
        <v>Low</v>
      </c>
      <c r="V124" s="28">
        <f t="shared" si="2"/>
        <v>343.8</v>
      </c>
      <c r="W124" s="29">
        <f t="shared" si="3"/>
        <v>454.43298969072163</v>
      </c>
    </row>
    <row r="125" spans="1:23" x14ac:dyDescent="0.3">
      <c r="A125" s="1" t="s">
        <v>447</v>
      </c>
      <c r="B125" s="1" t="s">
        <v>448</v>
      </c>
      <c r="C125" s="1" t="s">
        <v>18</v>
      </c>
      <c r="D125" s="1" t="s">
        <v>58</v>
      </c>
      <c r="E125" s="1">
        <v>2022</v>
      </c>
      <c r="F125" s="1" t="s">
        <v>48</v>
      </c>
      <c r="G125" s="1" t="s">
        <v>449</v>
      </c>
      <c r="H125" s="1">
        <v>124</v>
      </c>
      <c r="I125" s="1" t="s">
        <v>31</v>
      </c>
      <c r="J125" s="1">
        <v>5.4</v>
      </c>
      <c r="K125" s="1">
        <v>482.6</v>
      </c>
      <c r="L125" s="1" t="s">
        <v>90</v>
      </c>
      <c r="M125" s="1" t="s">
        <v>146</v>
      </c>
      <c r="N125" s="1" t="s">
        <v>178</v>
      </c>
      <c r="O125" s="1"/>
      <c r="P125" s="1">
        <v>168</v>
      </c>
      <c r="Q125" s="1">
        <v>339.6</v>
      </c>
      <c r="R125" s="8" t="str">
        <f>_xlfn.IFS(J125&gt;=8,"Hit",J125&gt;=6,"Average",J125&lt;6,"Flop")</f>
        <v>Flop</v>
      </c>
      <c r="S125" s="9" t="str">
        <f>_xlfn.IFS(K125&gt;=400,"Blockbuster",K125&gt;=200,"Popular",K125&lt;200,"Normal")</f>
        <v>Blockbuster</v>
      </c>
      <c r="T125" s="10" t="str">
        <f>IF(OR(I125="PG",I125="G"),"Yes","No")</f>
        <v>No</v>
      </c>
      <c r="U125" s="11" t="str">
        <f>IF(P125&gt;=100,"High","Low")</f>
        <v>High</v>
      </c>
      <c r="V125" s="28">
        <f t="shared" si="2"/>
        <v>171.60000000000002</v>
      </c>
      <c r="W125" s="29">
        <f t="shared" si="3"/>
        <v>202.14285714285714</v>
      </c>
    </row>
    <row r="126" spans="1:23" x14ac:dyDescent="0.3">
      <c r="A126" s="1" t="s">
        <v>450</v>
      </c>
      <c r="B126" s="1" t="s">
        <v>451</v>
      </c>
      <c r="C126" s="1" t="s">
        <v>46</v>
      </c>
      <c r="D126" s="1" t="s">
        <v>47</v>
      </c>
      <c r="E126" s="1">
        <v>2016</v>
      </c>
      <c r="F126" s="1" t="s">
        <v>76</v>
      </c>
      <c r="G126" s="1" t="s">
        <v>452</v>
      </c>
      <c r="H126" s="1">
        <v>45</v>
      </c>
      <c r="I126" s="1" t="s">
        <v>22</v>
      </c>
      <c r="J126" s="1">
        <v>6.9</v>
      </c>
      <c r="K126" s="1">
        <v>420.7</v>
      </c>
      <c r="L126" s="1" t="s">
        <v>23</v>
      </c>
      <c r="M126" s="1" t="s">
        <v>85</v>
      </c>
      <c r="N126" s="1" t="s">
        <v>158</v>
      </c>
      <c r="O126" s="1">
        <v>8</v>
      </c>
      <c r="P126" s="1">
        <v>52</v>
      </c>
      <c r="Q126" s="1">
        <v>246.9</v>
      </c>
      <c r="R126" s="8" t="str">
        <f>_xlfn.IFS(J126&gt;=8,"Hit",J126&gt;=6,"Average",J126&lt;6,"Flop")</f>
        <v>Average</v>
      </c>
      <c r="S126" s="9" t="str">
        <f>_xlfn.IFS(K126&gt;=400,"Blockbuster",K126&gt;=200,"Popular",K126&lt;200,"Normal")</f>
        <v>Blockbuster</v>
      </c>
      <c r="T126" s="10" t="str">
        <f>IF(OR(I126="PG",I126="G"),"Yes","No")</f>
        <v>No</v>
      </c>
      <c r="U126" s="11" t="str">
        <f>IF(P126&gt;=100,"High","Low")</f>
        <v>Low</v>
      </c>
      <c r="V126" s="28">
        <f t="shared" si="2"/>
        <v>194.9</v>
      </c>
      <c r="W126" s="29">
        <f t="shared" si="3"/>
        <v>474.80769230769238</v>
      </c>
    </row>
    <row r="127" spans="1:23" x14ac:dyDescent="0.3">
      <c r="A127" s="1" t="s">
        <v>453</v>
      </c>
      <c r="B127" s="1" t="s">
        <v>454</v>
      </c>
      <c r="C127" s="1" t="s">
        <v>46</v>
      </c>
      <c r="D127" s="1" t="s">
        <v>63</v>
      </c>
      <c r="E127" s="1">
        <v>2005</v>
      </c>
      <c r="F127" s="1" t="s">
        <v>76</v>
      </c>
      <c r="G127" s="1" t="s">
        <v>455</v>
      </c>
      <c r="H127" s="1">
        <v>47</v>
      </c>
      <c r="I127" s="1" t="s">
        <v>22</v>
      </c>
      <c r="J127" s="1">
        <v>6.3</v>
      </c>
      <c r="K127" s="1">
        <v>208.6</v>
      </c>
      <c r="L127" s="1" t="s">
        <v>23</v>
      </c>
      <c r="M127" s="1" t="s">
        <v>124</v>
      </c>
      <c r="N127" s="1" t="s">
        <v>128</v>
      </c>
      <c r="O127" s="1">
        <v>5</v>
      </c>
      <c r="P127" s="1">
        <v>190</v>
      </c>
      <c r="Q127" s="1">
        <v>915.4</v>
      </c>
      <c r="R127" s="8" t="str">
        <f>_xlfn.IFS(J127&gt;=8,"Hit",J127&gt;=6,"Average",J127&lt;6,"Flop")</f>
        <v>Average</v>
      </c>
      <c r="S127" s="9" t="str">
        <f>_xlfn.IFS(K127&gt;=400,"Blockbuster",K127&gt;=200,"Popular",K127&lt;200,"Normal")</f>
        <v>Popular</v>
      </c>
      <c r="T127" s="10" t="str">
        <f>IF(OR(I127="PG",I127="G"),"Yes","No")</f>
        <v>No</v>
      </c>
      <c r="U127" s="11" t="str">
        <f>IF(P127&gt;=100,"High","Low")</f>
        <v>High</v>
      </c>
      <c r="V127" s="28">
        <f t="shared" si="2"/>
        <v>725.4</v>
      </c>
      <c r="W127" s="29">
        <f t="shared" si="3"/>
        <v>481.78947368421052</v>
      </c>
    </row>
    <row r="128" spans="1:23" x14ac:dyDescent="0.3">
      <c r="A128" s="1" t="s">
        <v>456</v>
      </c>
      <c r="B128" s="1" t="s">
        <v>457</v>
      </c>
      <c r="C128" s="1" t="s">
        <v>46</v>
      </c>
      <c r="D128" s="1" t="s">
        <v>63</v>
      </c>
      <c r="E128" s="1">
        <v>2003</v>
      </c>
      <c r="F128" s="1" t="s">
        <v>181</v>
      </c>
      <c r="G128" s="1" t="s">
        <v>458</v>
      </c>
      <c r="H128" s="1">
        <v>50</v>
      </c>
      <c r="I128" s="1" t="s">
        <v>50</v>
      </c>
      <c r="J128" s="1">
        <v>5.6</v>
      </c>
      <c r="K128" s="1">
        <v>329.7</v>
      </c>
      <c r="L128" s="1" t="s">
        <v>71</v>
      </c>
      <c r="M128" s="1" t="s">
        <v>124</v>
      </c>
      <c r="N128" s="1" t="s">
        <v>86</v>
      </c>
      <c r="O128" s="1">
        <v>5</v>
      </c>
      <c r="P128" s="1">
        <v>114</v>
      </c>
      <c r="Q128" s="1">
        <v>285.3</v>
      </c>
      <c r="R128" s="8" t="str">
        <f>_xlfn.IFS(J128&gt;=8,"Hit",J128&gt;=6,"Average",J128&lt;6,"Flop")</f>
        <v>Flop</v>
      </c>
      <c r="S128" s="9" t="str">
        <f>_xlfn.IFS(K128&gt;=400,"Blockbuster",K128&gt;=200,"Popular",K128&lt;200,"Normal")</f>
        <v>Popular</v>
      </c>
      <c r="T128" s="10" t="str">
        <f>IF(OR(I128="PG",I128="G"),"Yes","No")</f>
        <v>Yes</v>
      </c>
      <c r="U128" s="11" t="str">
        <f>IF(P128&gt;=100,"High","Low")</f>
        <v>High</v>
      </c>
      <c r="V128" s="28">
        <f t="shared" si="2"/>
        <v>171.3</v>
      </c>
      <c r="W128" s="29">
        <f t="shared" si="3"/>
        <v>250.26315789473682</v>
      </c>
    </row>
    <row r="129" spans="1:23" x14ac:dyDescent="0.3">
      <c r="A129" s="1" t="s">
        <v>459</v>
      </c>
      <c r="B129" s="1" t="s">
        <v>460</v>
      </c>
      <c r="C129" s="1" t="s">
        <v>46</v>
      </c>
      <c r="D129" s="1" t="s">
        <v>47</v>
      </c>
      <c r="E129" s="1">
        <v>2009</v>
      </c>
      <c r="F129" s="1" t="s">
        <v>181</v>
      </c>
      <c r="G129" s="1" t="s">
        <v>461</v>
      </c>
      <c r="H129" s="1">
        <v>48</v>
      </c>
      <c r="I129" s="1" t="s">
        <v>31</v>
      </c>
      <c r="J129" s="1">
        <v>7.7</v>
      </c>
      <c r="K129" s="1">
        <v>562.4</v>
      </c>
      <c r="L129" s="1" t="s">
        <v>41</v>
      </c>
      <c r="M129" s="1" t="s">
        <v>72</v>
      </c>
      <c r="N129" s="1" t="s">
        <v>86</v>
      </c>
      <c r="O129" s="1">
        <v>7</v>
      </c>
      <c r="P129" s="1">
        <v>92</v>
      </c>
      <c r="Q129" s="1">
        <v>343.3</v>
      </c>
      <c r="R129" s="8" t="str">
        <f>_xlfn.IFS(J129&gt;=8,"Hit",J129&gt;=6,"Average",J129&lt;6,"Flop")</f>
        <v>Average</v>
      </c>
      <c r="S129" s="9" t="str">
        <f>_xlfn.IFS(K129&gt;=400,"Blockbuster",K129&gt;=200,"Popular",K129&lt;200,"Normal")</f>
        <v>Blockbuster</v>
      </c>
      <c r="T129" s="10" t="str">
        <f>IF(OR(I129="PG",I129="G"),"Yes","No")</f>
        <v>No</v>
      </c>
      <c r="U129" s="11" t="str">
        <f>IF(P129&gt;=100,"High","Low")</f>
        <v>Low</v>
      </c>
      <c r="V129" s="28">
        <f t="shared" si="2"/>
        <v>251.3</v>
      </c>
      <c r="W129" s="29">
        <f t="shared" si="3"/>
        <v>373.1521739130435</v>
      </c>
    </row>
    <row r="130" spans="1:23" x14ac:dyDescent="0.3">
      <c r="A130" s="1" t="s">
        <v>462</v>
      </c>
      <c r="B130" s="1" t="s">
        <v>463</v>
      </c>
      <c r="C130" s="1" t="s">
        <v>46</v>
      </c>
      <c r="D130" s="1" t="s">
        <v>117</v>
      </c>
      <c r="E130" s="1">
        <v>2007</v>
      </c>
      <c r="F130" s="1" t="s">
        <v>83</v>
      </c>
      <c r="G130" s="1" t="s">
        <v>464</v>
      </c>
      <c r="H130" s="1">
        <v>36</v>
      </c>
      <c r="I130" s="1" t="s">
        <v>31</v>
      </c>
      <c r="J130" s="1">
        <v>8.8000000000000007</v>
      </c>
      <c r="K130" s="1">
        <v>61.9</v>
      </c>
      <c r="L130" s="1" t="s">
        <v>41</v>
      </c>
      <c r="M130" s="1" t="s">
        <v>85</v>
      </c>
      <c r="N130" s="1" t="s">
        <v>55</v>
      </c>
      <c r="O130" s="1">
        <v>4</v>
      </c>
      <c r="P130" s="1">
        <v>89</v>
      </c>
      <c r="Q130" s="1">
        <v>332.1</v>
      </c>
      <c r="R130" s="8" t="str">
        <f>_xlfn.IFS(J130&gt;=8,"Hit",J130&gt;=6,"Average",J130&lt;6,"Flop")</f>
        <v>Hit</v>
      </c>
      <c r="S130" s="9" t="str">
        <f>_xlfn.IFS(K130&gt;=400,"Blockbuster",K130&gt;=200,"Popular",K130&lt;200,"Normal")</f>
        <v>Normal</v>
      </c>
      <c r="T130" s="10" t="str">
        <f>IF(OR(I130="PG",I130="G"),"Yes","No")</f>
        <v>No</v>
      </c>
      <c r="U130" s="11" t="str">
        <f>IF(P130&gt;=100,"High","Low")</f>
        <v>Low</v>
      </c>
      <c r="V130" s="28">
        <f t="shared" si="2"/>
        <v>243.10000000000002</v>
      </c>
      <c r="W130" s="29">
        <f t="shared" si="3"/>
        <v>373.14606741573033</v>
      </c>
    </row>
    <row r="131" spans="1:23" x14ac:dyDescent="0.3">
      <c r="A131" s="1" t="s">
        <v>465</v>
      </c>
      <c r="B131" s="1" t="s">
        <v>466</v>
      </c>
      <c r="C131" s="1" t="s">
        <v>46</v>
      </c>
      <c r="D131" s="1" t="s">
        <v>141</v>
      </c>
      <c r="E131" s="1">
        <v>2007</v>
      </c>
      <c r="F131" s="1" t="s">
        <v>76</v>
      </c>
      <c r="G131" s="1" t="s">
        <v>467</v>
      </c>
      <c r="H131" s="1">
        <v>42</v>
      </c>
      <c r="I131" s="1" t="s">
        <v>50</v>
      </c>
      <c r="J131" s="1">
        <v>5.4</v>
      </c>
      <c r="K131" s="1">
        <v>371.7</v>
      </c>
      <c r="L131" s="1" t="s">
        <v>65</v>
      </c>
      <c r="M131" s="1" t="s">
        <v>132</v>
      </c>
      <c r="N131" s="1" t="s">
        <v>119</v>
      </c>
      <c r="O131" s="1">
        <v>6</v>
      </c>
      <c r="P131" s="1">
        <v>51</v>
      </c>
      <c r="Q131" s="1">
        <v>115.7</v>
      </c>
      <c r="R131" s="8" t="str">
        <f>_xlfn.IFS(J131&gt;=8,"Hit",J131&gt;=6,"Average",J131&lt;6,"Flop")</f>
        <v>Flop</v>
      </c>
      <c r="S131" s="9" t="str">
        <f>_xlfn.IFS(K131&gt;=400,"Blockbuster",K131&gt;=200,"Popular",K131&lt;200,"Normal")</f>
        <v>Popular</v>
      </c>
      <c r="T131" s="10" t="str">
        <f>IF(OR(I131="PG",I131="G"),"Yes","No")</f>
        <v>Yes</v>
      </c>
      <c r="U131" s="11" t="str">
        <f>IF(P131&gt;=100,"High","Low")</f>
        <v>Low</v>
      </c>
      <c r="V131" s="28">
        <f t="shared" ref="V131:V194" si="4">Q131-P131</f>
        <v>64.7</v>
      </c>
      <c r="W131" s="29">
        <f t="shared" ref="W131:W194" si="5">(Q131/P131)*100</f>
        <v>226.8627450980392</v>
      </c>
    </row>
    <row r="132" spans="1:23" x14ac:dyDescent="0.3">
      <c r="A132" s="1" t="s">
        <v>468</v>
      </c>
      <c r="B132" s="1" t="s">
        <v>469</v>
      </c>
      <c r="C132" s="1" t="s">
        <v>46</v>
      </c>
      <c r="D132" s="1" t="s">
        <v>37</v>
      </c>
      <c r="E132" s="1">
        <v>2017</v>
      </c>
      <c r="F132" s="1" t="s">
        <v>181</v>
      </c>
      <c r="G132" s="1" t="s">
        <v>470</v>
      </c>
      <c r="H132" s="1">
        <v>42</v>
      </c>
      <c r="I132" s="1" t="s">
        <v>31</v>
      </c>
      <c r="J132" s="1">
        <v>5.4</v>
      </c>
      <c r="K132" s="1">
        <v>316.60000000000002</v>
      </c>
      <c r="L132" s="1" t="s">
        <v>65</v>
      </c>
      <c r="M132" s="1" t="s">
        <v>146</v>
      </c>
      <c r="N132" s="1" t="s">
        <v>25</v>
      </c>
      <c r="O132" s="1">
        <v>1</v>
      </c>
      <c r="P132" s="1">
        <v>173</v>
      </c>
      <c r="Q132" s="1">
        <v>511.4</v>
      </c>
      <c r="R132" s="8" t="str">
        <f>_xlfn.IFS(J132&gt;=8,"Hit",J132&gt;=6,"Average",J132&lt;6,"Flop")</f>
        <v>Flop</v>
      </c>
      <c r="S132" s="9" t="str">
        <f>_xlfn.IFS(K132&gt;=400,"Blockbuster",K132&gt;=200,"Popular",K132&lt;200,"Normal")</f>
        <v>Popular</v>
      </c>
      <c r="T132" s="10" t="str">
        <f>IF(OR(I132="PG",I132="G"),"Yes","No")</f>
        <v>No</v>
      </c>
      <c r="U132" s="11" t="str">
        <f>IF(P132&gt;=100,"High","Low")</f>
        <v>High</v>
      </c>
      <c r="V132" s="28">
        <f t="shared" si="4"/>
        <v>338.4</v>
      </c>
      <c r="W132" s="29">
        <f t="shared" si="5"/>
        <v>295.60693641618496</v>
      </c>
    </row>
    <row r="133" spans="1:23" x14ac:dyDescent="0.3">
      <c r="A133" s="1" t="s">
        <v>471</v>
      </c>
      <c r="B133" s="1" t="s">
        <v>472</v>
      </c>
      <c r="C133" s="1" t="s">
        <v>46</v>
      </c>
      <c r="D133" s="1" t="s">
        <v>63</v>
      </c>
      <c r="E133" s="1">
        <v>2021</v>
      </c>
      <c r="F133" s="1" t="s">
        <v>20</v>
      </c>
      <c r="G133" s="1" t="s">
        <v>473</v>
      </c>
      <c r="H133" s="1">
        <v>38</v>
      </c>
      <c r="I133" s="1" t="s">
        <v>22</v>
      </c>
      <c r="J133" s="1">
        <v>7.5</v>
      </c>
      <c r="K133" s="1">
        <v>165.7</v>
      </c>
      <c r="L133" s="1" t="s">
        <v>90</v>
      </c>
      <c r="M133" s="1" t="s">
        <v>42</v>
      </c>
      <c r="N133" s="1" t="s">
        <v>25</v>
      </c>
      <c r="O133" s="1">
        <v>3</v>
      </c>
      <c r="P133" s="1">
        <v>61</v>
      </c>
      <c r="Q133" s="1">
        <v>282.10000000000002</v>
      </c>
      <c r="R133" s="8" t="str">
        <f>_xlfn.IFS(J133&gt;=8,"Hit",J133&gt;=6,"Average",J133&lt;6,"Flop")</f>
        <v>Average</v>
      </c>
      <c r="S133" s="9" t="str">
        <f>_xlfn.IFS(K133&gt;=400,"Blockbuster",K133&gt;=200,"Popular",K133&lt;200,"Normal")</f>
        <v>Normal</v>
      </c>
      <c r="T133" s="10" t="str">
        <f>IF(OR(I133="PG",I133="G"),"Yes","No")</f>
        <v>No</v>
      </c>
      <c r="U133" s="11" t="str">
        <f>IF(P133&gt;=100,"High","Low")</f>
        <v>Low</v>
      </c>
      <c r="V133" s="28">
        <f t="shared" si="4"/>
        <v>221.10000000000002</v>
      </c>
      <c r="W133" s="29">
        <f t="shared" si="5"/>
        <v>462.45901639344265</v>
      </c>
    </row>
    <row r="134" spans="1:23" x14ac:dyDescent="0.3">
      <c r="A134" s="1" t="s">
        <v>474</v>
      </c>
      <c r="B134" s="1" t="s">
        <v>475</v>
      </c>
      <c r="C134" s="1" t="s">
        <v>18</v>
      </c>
      <c r="D134" s="1" t="s">
        <v>75</v>
      </c>
      <c r="E134" s="1">
        <v>2003</v>
      </c>
      <c r="F134" s="1" t="s">
        <v>29</v>
      </c>
      <c r="G134" s="1" t="s">
        <v>476</v>
      </c>
      <c r="H134" s="1">
        <v>81</v>
      </c>
      <c r="I134" s="1" t="s">
        <v>40</v>
      </c>
      <c r="J134" s="1">
        <v>8</v>
      </c>
      <c r="K134" s="1">
        <v>341.3</v>
      </c>
      <c r="L134" s="1" t="s">
        <v>71</v>
      </c>
      <c r="M134" s="1" t="s">
        <v>124</v>
      </c>
      <c r="N134" s="1" t="s">
        <v>86</v>
      </c>
      <c r="O134" s="1"/>
      <c r="P134" s="1">
        <v>164</v>
      </c>
      <c r="Q134" s="1">
        <v>747.6</v>
      </c>
      <c r="R134" s="8" t="str">
        <f>_xlfn.IFS(J134&gt;=8,"Hit",J134&gt;=6,"Average",J134&lt;6,"Flop")</f>
        <v>Hit</v>
      </c>
      <c r="S134" s="9" t="str">
        <f>_xlfn.IFS(K134&gt;=400,"Blockbuster",K134&gt;=200,"Popular",K134&lt;200,"Normal")</f>
        <v>Popular</v>
      </c>
      <c r="T134" s="10" t="str">
        <f>IF(OR(I134="PG",I134="G"),"Yes","No")</f>
        <v>Yes</v>
      </c>
      <c r="U134" s="11" t="str">
        <f>IF(P134&gt;=100,"High","Low")</f>
        <v>High</v>
      </c>
      <c r="V134" s="28">
        <f t="shared" si="4"/>
        <v>583.6</v>
      </c>
      <c r="W134" s="29">
        <f t="shared" si="5"/>
        <v>455.85365853658539</v>
      </c>
    </row>
    <row r="135" spans="1:23" x14ac:dyDescent="0.3">
      <c r="A135" s="1" t="s">
        <v>477</v>
      </c>
      <c r="B135" s="1" t="s">
        <v>478</v>
      </c>
      <c r="C135" s="1" t="s">
        <v>18</v>
      </c>
      <c r="D135" s="1" t="s">
        <v>82</v>
      </c>
      <c r="E135" s="1">
        <v>2008</v>
      </c>
      <c r="F135" s="1" t="s">
        <v>181</v>
      </c>
      <c r="G135" s="1" t="s">
        <v>479</v>
      </c>
      <c r="H135" s="1">
        <v>168</v>
      </c>
      <c r="I135" s="1" t="s">
        <v>40</v>
      </c>
      <c r="J135" s="1">
        <v>8.8000000000000007</v>
      </c>
      <c r="K135" s="1">
        <v>483.1</v>
      </c>
      <c r="L135" s="1" t="s">
        <v>65</v>
      </c>
      <c r="M135" s="1" t="s">
        <v>78</v>
      </c>
      <c r="N135" s="1" t="s">
        <v>91</v>
      </c>
      <c r="O135" s="1"/>
      <c r="P135" s="1">
        <v>194</v>
      </c>
      <c r="Q135" s="1">
        <v>740.2</v>
      </c>
      <c r="R135" s="8" t="str">
        <f>_xlfn.IFS(J135&gt;=8,"Hit",J135&gt;=6,"Average",J135&lt;6,"Flop")</f>
        <v>Hit</v>
      </c>
      <c r="S135" s="9" t="str">
        <f>_xlfn.IFS(K135&gt;=400,"Blockbuster",K135&gt;=200,"Popular",K135&lt;200,"Normal")</f>
        <v>Blockbuster</v>
      </c>
      <c r="T135" s="10" t="str">
        <f>IF(OR(I135="PG",I135="G"),"Yes","No")</f>
        <v>Yes</v>
      </c>
      <c r="U135" s="11" t="str">
        <f>IF(P135&gt;=100,"High","Low")</f>
        <v>High</v>
      </c>
      <c r="V135" s="28">
        <f t="shared" si="4"/>
        <v>546.20000000000005</v>
      </c>
      <c r="W135" s="29">
        <f t="shared" si="5"/>
        <v>381.54639175257734</v>
      </c>
    </row>
    <row r="136" spans="1:23" x14ac:dyDescent="0.3">
      <c r="A136" s="1" t="s">
        <v>480</v>
      </c>
      <c r="B136" s="1" t="s">
        <v>481</v>
      </c>
      <c r="C136" s="1" t="s">
        <v>18</v>
      </c>
      <c r="D136" s="1" t="s">
        <v>117</v>
      </c>
      <c r="E136" s="1">
        <v>2002</v>
      </c>
      <c r="F136" s="1" t="s">
        <v>38</v>
      </c>
      <c r="G136" s="1" t="s">
        <v>482</v>
      </c>
      <c r="H136" s="1">
        <v>91</v>
      </c>
      <c r="I136" s="1" t="s">
        <v>40</v>
      </c>
      <c r="J136" s="1">
        <v>5.0999999999999996</v>
      </c>
      <c r="K136" s="1">
        <v>254.8</v>
      </c>
      <c r="L136" s="1" t="s">
        <v>65</v>
      </c>
      <c r="M136" s="1" t="s">
        <v>54</v>
      </c>
      <c r="N136" s="1" t="s">
        <v>43</v>
      </c>
      <c r="O136" s="1"/>
      <c r="P136" s="1">
        <v>117</v>
      </c>
      <c r="Q136" s="1">
        <v>233.6</v>
      </c>
      <c r="R136" s="8" t="str">
        <f>_xlfn.IFS(J136&gt;=8,"Hit",J136&gt;=6,"Average",J136&lt;6,"Flop")</f>
        <v>Flop</v>
      </c>
      <c r="S136" s="9" t="str">
        <f>_xlfn.IFS(K136&gt;=400,"Blockbuster",K136&gt;=200,"Popular",K136&lt;200,"Normal")</f>
        <v>Popular</v>
      </c>
      <c r="T136" s="10" t="str">
        <f>IF(OR(I136="PG",I136="G"),"Yes","No")</f>
        <v>Yes</v>
      </c>
      <c r="U136" s="11" t="str">
        <f>IF(P136&gt;=100,"High","Low")</f>
        <v>High</v>
      </c>
      <c r="V136" s="28">
        <f t="shared" si="4"/>
        <v>116.6</v>
      </c>
      <c r="W136" s="29">
        <f t="shared" si="5"/>
        <v>199.65811965811966</v>
      </c>
    </row>
    <row r="137" spans="1:23" x14ac:dyDescent="0.3">
      <c r="A137" s="1" t="s">
        <v>483</v>
      </c>
      <c r="B137" s="1" t="s">
        <v>484</v>
      </c>
      <c r="C137" s="1" t="s">
        <v>18</v>
      </c>
      <c r="D137" s="1" t="s">
        <v>47</v>
      </c>
      <c r="E137" s="1">
        <v>2004</v>
      </c>
      <c r="F137" s="1" t="s">
        <v>48</v>
      </c>
      <c r="G137" s="1" t="s">
        <v>485</v>
      </c>
      <c r="H137" s="1">
        <v>155</v>
      </c>
      <c r="I137" s="1" t="s">
        <v>40</v>
      </c>
      <c r="J137" s="1">
        <v>7.7</v>
      </c>
      <c r="K137" s="1">
        <v>343.9</v>
      </c>
      <c r="L137" s="1" t="s">
        <v>32</v>
      </c>
      <c r="M137" s="1" t="s">
        <v>132</v>
      </c>
      <c r="N137" s="1" t="s">
        <v>119</v>
      </c>
      <c r="O137" s="1"/>
      <c r="P137" s="1">
        <v>36</v>
      </c>
      <c r="Q137" s="1">
        <v>170.8</v>
      </c>
      <c r="R137" s="8" t="str">
        <f>_xlfn.IFS(J137&gt;=8,"Hit",J137&gt;=6,"Average",J137&lt;6,"Flop")</f>
        <v>Average</v>
      </c>
      <c r="S137" s="9" t="str">
        <f>_xlfn.IFS(K137&gt;=400,"Blockbuster",K137&gt;=200,"Popular",K137&lt;200,"Normal")</f>
        <v>Popular</v>
      </c>
      <c r="T137" s="10" t="str">
        <f>IF(OR(I137="PG",I137="G"),"Yes","No")</f>
        <v>Yes</v>
      </c>
      <c r="U137" s="11" t="str">
        <f>IF(P137&gt;=100,"High","Low")</f>
        <v>Low</v>
      </c>
      <c r="V137" s="28">
        <f t="shared" si="4"/>
        <v>134.80000000000001</v>
      </c>
      <c r="W137" s="29">
        <f t="shared" si="5"/>
        <v>474.44444444444446</v>
      </c>
    </row>
    <row r="138" spans="1:23" x14ac:dyDescent="0.3">
      <c r="A138" s="1" t="s">
        <v>486</v>
      </c>
      <c r="B138" s="1" t="s">
        <v>487</v>
      </c>
      <c r="C138" s="1" t="s">
        <v>46</v>
      </c>
      <c r="D138" s="1" t="s">
        <v>47</v>
      </c>
      <c r="E138" s="1">
        <v>2022</v>
      </c>
      <c r="F138" s="1" t="s">
        <v>83</v>
      </c>
      <c r="G138" s="1" t="s">
        <v>488</v>
      </c>
      <c r="H138" s="1">
        <v>40</v>
      </c>
      <c r="I138" s="1" t="s">
        <v>31</v>
      </c>
      <c r="J138" s="1">
        <v>4.9000000000000004</v>
      </c>
      <c r="K138" s="1">
        <v>517.1</v>
      </c>
      <c r="L138" s="1" t="s">
        <v>23</v>
      </c>
      <c r="M138" s="1" t="s">
        <v>72</v>
      </c>
      <c r="N138" s="1" t="s">
        <v>34</v>
      </c>
      <c r="O138" s="1">
        <v>6</v>
      </c>
      <c r="P138" s="1">
        <v>57</v>
      </c>
      <c r="Q138" s="1">
        <v>217.6</v>
      </c>
      <c r="R138" s="8" t="str">
        <f>_xlfn.IFS(J138&gt;=8,"Hit",J138&gt;=6,"Average",J138&lt;6,"Flop")</f>
        <v>Flop</v>
      </c>
      <c r="S138" s="9" t="str">
        <f>_xlfn.IFS(K138&gt;=400,"Blockbuster",K138&gt;=200,"Popular",K138&lt;200,"Normal")</f>
        <v>Blockbuster</v>
      </c>
      <c r="T138" s="10" t="str">
        <f>IF(OR(I138="PG",I138="G"),"Yes","No")</f>
        <v>No</v>
      </c>
      <c r="U138" s="11" t="str">
        <f>IF(P138&gt;=100,"High","Low")</f>
        <v>Low</v>
      </c>
      <c r="V138" s="28">
        <f t="shared" si="4"/>
        <v>160.6</v>
      </c>
      <c r="W138" s="29">
        <f t="shared" si="5"/>
        <v>381.75438596491227</v>
      </c>
    </row>
    <row r="139" spans="1:23" x14ac:dyDescent="0.3">
      <c r="A139" s="1" t="s">
        <v>489</v>
      </c>
      <c r="B139" s="1" t="s">
        <v>490</v>
      </c>
      <c r="C139" s="1" t="s">
        <v>18</v>
      </c>
      <c r="D139" s="1" t="s">
        <v>63</v>
      </c>
      <c r="E139" s="1">
        <v>2001</v>
      </c>
      <c r="F139" s="1" t="s">
        <v>48</v>
      </c>
      <c r="G139" s="1" t="s">
        <v>491</v>
      </c>
      <c r="H139" s="1">
        <v>156</v>
      </c>
      <c r="I139" s="1" t="s">
        <v>110</v>
      </c>
      <c r="J139" s="1">
        <v>6.9</v>
      </c>
      <c r="K139" s="1">
        <v>12.1</v>
      </c>
      <c r="L139" s="1" t="s">
        <v>71</v>
      </c>
      <c r="M139" s="1" t="s">
        <v>97</v>
      </c>
      <c r="N139" s="1" t="s">
        <v>153</v>
      </c>
      <c r="O139" s="1"/>
      <c r="P139" s="1">
        <v>86</v>
      </c>
      <c r="Q139" s="1">
        <v>484.1</v>
      </c>
      <c r="R139" s="8" t="str">
        <f>_xlfn.IFS(J139&gt;=8,"Hit",J139&gt;=6,"Average",J139&lt;6,"Flop")</f>
        <v>Average</v>
      </c>
      <c r="S139" s="9" t="str">
        <f>_xlfn.IFS(K139&gt;=400,"Blockbuster",K139&gt;=200,"Popular",K139&lt;200,"Normal")</f>
        <v>Normal</v>
      </c>
      <c r="T139" s="10" t="str">
        <f>IF(OR(I139="PG",I139="G"),"Yes","No")</f>
        <v>No</v>
      </c>
      <c r="U139" s="11" t="str">
        <f>IF(P139&gt;=100,"High","Low")</f>
        <v>Low</v>
      </c>
      <c r="V139" s="28">
        <f t="shared" si="4"/>
        <v>398.1</v>
      </c>
      <c r="W139" s="29">
        <f t="shared" si="5"/>
        <v>562.90697674418607</v>
      </c>
    </row>
    <row r="140" spans="1:23" x14ac:dyDescent="0.3">
      <c r="A140" s="1" t="s">
        <v>492</v>
      </c>
      <c r="B140" s="1" t="s">
        <v>493</v>
      </c>
      <c r="C140" s="1" t="s">
        <v>46</v>
      </c>
      <c r="D140" s="1" t="s">
        <v>37</v>
      </c>
      <c r="E140" s="1">
        <v>2022</v>
      </c>
      <c r="F140" s="1" t="s">
        <v>20</v>
      </c>
      <c r="G140" s="1" t="s">
        <v>494</v>
      </c>
      <c r="H140" s="1">
        <v>35</v>
      </c>
      <c r="I140" s="1" t="s">
        <v>22</v>
      </c>
      <c r="J140" s="1">
        <v>7.3</v>
      </c>
      <c r="K140" s="1">
        <v>573</v>
      </c>
      <c r="L140" s="1" t="s">
        <v>90</v>
      </c>
      <c r="M140" s="1" t="s">
        <v>132</v>
      </c>
      <c r="N140" s="1" t="s">
        <v>102</v>
      </c>
      <c r="O140" s="1">
        <v>1</v>
      </c>
      <c r="P140" s="1">
        <v>197</v>
      </c>
      <c r="Q140" s="1">
        <v>346.1</v>
      </c>
      <c r="R140" s="8" t="str">
        <f>_xlfn.IFS(J140&gt;=8,"Hit",J140&gt;=6,"Average",J140&lt;6,"Flop")</f>
        <v>Average</v>
      </c>
      <c r="S140" s="9" t="str">
        <f>_xlfn.IFS(K140&gt;=400,"Blockbuster",K140&gt;=200,"Popular",K140&lt;200,"Normal")</f>
        <v>Blockbuster</v>
      </c>
      <c r="T140" s="10" t="str">
        <f>IF(OR(I140="PG",I140="G"),"Yes","No")</f>
        <v>No</v>
      </c>
      <c r="U140" s="11" t="str">
        <f>IF(P140&gt;=100,"High","Low")</f>
        <v>High</v>
      </c>
      <c r="V140" s="28">
        <f t="shared" si="4"/>
        <v>149.10000000000002</v>
      </c>
      <c r="W140" s="29">
        <f t="shared" si="5"/>
        <v>175.68527918781726</v>
      </c>
    </row>
    <row r="141" spans="1:23" x14ac:dyDescent="0.3">
      <c r="A141" s="1" t="s">
        <v>495</v>
      </c>
      <c r="B141" s="1" t="s">
        <v>496</v>
      </c>
      <c r="C141" s="1" t="s">
        <v>18</v>
      </c>
      <c r="D141" s="1" t="s">
        <v>63</v>
      </c>
      <c r="E141" s="1">
        <v>2004</v>
      </c>
      <c r="F141" s="1" t="s">
        <v>48</v>
      </c>
      <c r="G141" s="1" t="s">
        <v>497</v>
      </c>
      <c r="H141" s="1">
        <v>168</v>
      </c>
      <c r="I141" s="1" t="s">
        <v>31</v>
      </c>
      <c r="J141" s="1">
        <v>9.1</v>
      </c>
      <c r="K141" s="1">
        <v>162.30000000000001</v>
      </c>
      <c r="L141" s="1" t="s">
        <v>32</v>
      </c>
      <c r="M141" s="1" t="s">
        <v>85</v>
      </c>
      <c r="N141" s="1" t="s">
        <v>119</v>
      </c>
      <c r="O141" s="1"/>
      <c r="P141" s="1">
        <v>12</v>
      </c>
      <c r="Q141" s="1">
        <v>54.1</v>
      </c>
      <c r="R141" s="8" t="str">
        <f>_xlfn.IFS(J141&gt;=8,"Hit",J141&gt;=6,"Average",J141&lt;6,"Flop")</f>
        <v>Hit</v>
      </c>
      <c r="S141" s="9" t="str">
        <f>_xlfn.IFS(K141&gt;=400,"Blockbuster",K141&gt;=200,"Popular",K141&lt;200,"Normal")</f>
        <v>Normal</v>
      </c>
      <c r="T141" s="10" t="str">
        <f>IF(OR(I141="PG",I141="G"),"Yes","No")</f>
        <v>No</v>
      </c>
      <c r="U141" s="11" t="str">
        <f>IF(P141&gt;=100,"High","Low")</f>
        <v>Low</v>
      </c>
      <c r="V141" s="28">
        <f t="shared" si="4"/>
        <v>42.1</v>
      </c>
      <c r="W141" s="29">
        <f t="shared" si="5"/>
        <v>450.83333333333337</v>
      </c>
    </row>
    <row r="142" spans="1:23" x14ac:dyDescent="0.3">
      <c r="A142" s="1" t="s">
        <v>498</v>
      </c>
      <c r="B142" s="1" t="s">
        <v>499</v>
      </c>
      <c r="C142" s="1" t="s">
        <v>18</v>
      </c>
      <c r="D142" s="1" t="s">
        <v>37</v>
      </c>
      <c r="E142" s="1">
        <v>2013</v>
      </c>
      <c r="F142" s="1" t="s">
        <v>29</v>
      </c>
      <c r="G142" s="1" t="s">
        <v>500</v>
      </c>
      <c r="H142" s="1">
        <v>162</v>
      </c>
      <c r="I142" s="1" t="s">
        <v>40</v>
      </c>
      <c r="J142" s="1">
        <v>4.8</v>
      </c>
      <c r="K142" s="1">
        <v>91</v>
      </c>
      <c r="L142" s="1" t="s">
        <v>71</v>
      </c>
      <c r="M142" s="1" t="s">
        <v>42</v>
      </c>
      <c r="N142" s="1" t="s">
        <v>55</v>
      </c>
      <c r="O142" s="1"/>
      <c r="P142" s="1">
        <v>134</v>
      </c>
      <c r="Q142" s="1">
        <v>662.9</v>
      </c>
      <c r="R142" s="8" t="str">
        <f>_xlfn.IFS(J142&gt;=8,"Hit",J142&gt;=6,"Average",J142&lt;6,"Flop")</f>
        <v>Flop</v>
      </c>
      <c r="S142" s="9" t="str">
        <f>_xlfn.IFS(K142&gt;=400,"Blockbuster",K142&gt;=200,"Popular",K142&lt;200,"Normal")</f>
        <v>Normal</v>
      </c>
      <c r="T142" s="10" t="str">
        <f>IF(OR(I142="PG",I142="G"),"Yes","No")</f>
        <v>Yes</v>
      </c>
      <c r="U142" s="11" t="str">
        <f>IF(P142&gt;=100,"High","Low")</f>
        <v>High</v>
      </c>
      <c r="V142" s="28">
        <f t="shared" si="4"/>
        <v>528.9</v>
      </c>
      <c r="W142" s="29">
        <f t="shared" si="5"/>
        <v>494.70149253731341</v>
      </c>
    </row>
    <row r="143" spans="1:23" x14ac:dyDescent="0.3">
      <c r="A143" s="1" t="s">
        <v>501</v>
      </c>
      <c r="B143" s="1" t="s">
        <v>502</v>
      </c>
      <c r="C143" s="1" t="s">
        <v>46</v>
      </c>
      <c r="D143" s="1" t="s">
        <v>141</v>
      </c>
      <c r="E143" s="1">
        <v>2019</v>
      </c>
      <c r="F143" s="1" t="s">
        <v>122</v>
      </c>
      <c r="G143" s="1" t="s">
        <v>503</v>
      </c>
      <c r="H143" s="1">
        <v>54</v>
      </c>
      <c r="I143" s="1" t="s">
        <v>22</v>
      </c>
      <c r="J143" s="1">
        <v>9.6</v>
      </c>
      <c r="K143" s="1">
        <v>189</v>
      </c>
      <c r="L143" s="1" t="s">
        <v>90</v>
      </c>
      <c r="M143" s="1" t="s">
        <v>132</v>
      </c>
      <c r="N143" s="1" t="s">
        <v>55</v>
      </c>
      <c r="O143" s="1">
        <v>1</v>
      </c>
      <c r="P143" s="1">
        <v>138</v>
      </c>
      <c r="Q143" s="1">
        <v>598.1</v>
      </c>
      <c r="R143" s="8" t="str">
        <f>_xlfn.IFS(J143&gt;=8,"Hit",J143&gt;=6,"Average",J143&lt;6,"Flop")</f>
        <v>Hit</v>
      </c>
      <c r="S143" s="9" t="str">
        <f>_xlfn.IFS(K143&gt;=400,"Blockbuster",K143&gt;=200,"Popular",K143&lt;200,"Normal")</f>
        <v>Normal</v>
      </c>
      <c r="T143" s="10" t="str">
        <f>IF(OR(I143="PG",I143="G"),"Yes","No")</f>
        <v>No</v>
      </c>
      <c r="U143" s="11" t="str">
        <f>IF(P143&gt;=100,"High","Low")</f>
        <v>High</v>
      </c>
      <c r="V143" s="28">
        <f t="shared" si="4"/>
        <v>460.1</v>
      </c>
      <c r="W143" s="29">
        <f t="shared" si="5"/>
        <v>433.40579710144931</v>
      </c>
    </row>
    <row r="144" spans="1:23" x14ac:dyDescent="0.3">
      <c r="A144" s="1" t="s">
        <v>504</v>
      </c>
      <c r="B144" s="1" t="s">
        <v>505</v>
      </c>
      <c r="C144" s="1" t="s">
        <v>46</v>
      </c>
      <c r="D144" s="1" t="s">
        <v>58</v>
      </c>
      <c r="E144" s="1">
        <v>2014</v>
      </c>
      <c r="F144" s="1" t="s">
        <v>76</v>
      </c>
      <c r="G144" s="1" t="s">
        <v>506</v>
      </c>
      <c r="H144" s="1">
        <v>30</v>
      </c>
      <c r="I144" s="1" t="s">
        <v>50</v>
      </c>
      <c r="J144" s="1">
        <v>6.4</v>
      </c>
      <c r="K144" s="1">
        <v>595.29999999999995</v>
      </c>
      <c r="L144" s="1" t="s">
        <v>171</v>
      </c>
      <c r="M144" s="1" t="s">
        <v>124</v>
      </c>
      <c r="N144" s="1" t="s">
        <v>153</v>
      </c>
      <c r="O144" s="1">
        <v>6</v>
      </c>
      <c r="P144" s="1">
        <v>149</v>
      </c>
      <c r="Q144" s="1">
        <v>652</v>
      </c>
      <c r="R144" s="8" t="str">
        <f>_xlfn.IFS(J144&gt;=8,"Hit",J144&gt;=6,"Average",J144&lt;6,"Flop")</f>
        <v>Average</v>
      </c>
      <c r="S144" s="9" t="str">
        <f>_xlfn.IFS(K144&gt;=400,"Blockbuster",K144&gt;=200,"Popular",K144&lt;200,"Normal")</f>
        <v>Blockbuster</v>
      </c>
      <c r="T144" s="10" t="str">
        <f>IF(OR(I144="PG",I144="G"),"Yes","No")</f>
        <v>Yes</v>
      </c>
      <c r="U144" s="11" t="str">
        <f>IF(P144&gt;=100,"High","Low")</f>
        <v>High</v>
      </c>
      <c r="V144" s="28">
        <f t="shared" si="4"/>
        <v>503</v>
      </c>
      <c r="W144" s="29">
        <f t="shared" si="5"/>
        <v>437.58389261744969</v>
      </c>
    </row>
    <row r="145" spans="1:23" x14ac:dyDescent="0.3">
      <c r="A145" s="1" t="s">
        <v>507</v>
      </c>
      <c r="B145" s="1" t="s">
        <v>508</v>
      </c>
      <c r="C145" s="1" t="s">
        <v>46</v>
      </c>
      <c r="D145" s="1" t="s">
        <v>37</v>
      </c>
      <c r="E145" s="1">
        <v>2003</v>
      </c>
      <c r="F145" s="1" t="s">
        <v>48</v>
      </c>
      <c r="G145" s="1" t="s">
        <v>509</v>
      </c>
      <c r="H145" s="1">
        <v>37</v>
      </c>
      <c r="I145" s="1" t="s">
        <v>31</v>
      </c>
      <c r="J145" s="1">
        <v>7.6</v>
      </c>
      <c r="K145" s="1">
        <v>281.8</v>
      </c>
      <c r="L145" s="1" t="s">
        <v>71</v>
      </c>
      <c r="M145" s="1" t="s">
        <v>42</v>
      </c>
      <c r="N145" s="1" t="s">
        <v>55</v>
      </c>
      <c r="O145" s="1">
        <v>1</v>
      </c>
      <c r="P145" s="1">
        <v>148</v>
      </c>
      <c r="Q145" s="1">
        <v>805.8</v>
      </c>
      <c r="R145" s="8" t="str">
        <f>_xlfn.IFS(J145&gt;=8,"Hit",J145&gt;=6,"Average",J145&lt;6,"Flop")</f>
        <v>Average</v>
      </c>
      <c r="S145" s="9" t="str">
        <f>_xlfn.IFS(K145&gt;=400,"Blockbuster",K145&gt;=200,"Popular",K145&lt;200,"Normal")</f>
        <v>Popular</v>
      </c>
      <c r="T145" s="10" t="str">
        <f>IF(OR(I145="PG",I145="G"),"Yes","No")</f>
        <v>No</v>
      </c>
      <c r="U145" s="11" t="str">
        <f>IF(P145&gt;=100,"High","Low")</f>
        <v>High</v>
      </c>
      <c r="V145" s="28">
        <f t="shared" si="4"/>
        <v>657.8</v>
      </c>
      <c r="W145" s="29">
        <f t="shared" si="5"/>
        <v>544.45945945945948</v>
      </c>
    </row>
    <row r="146" spans="1:23" x14ac:dyDescent="0.3">
      <c r="A146" s="1" t="s">
        <v>510</v>
      </c>
      <c r="B146" s="1" t="s">
        <v>511</v>
      </c>
      <c r="C146" s="1" t="s">
        <v>46</v>
      </c>
      <c r="D146" s="1" t="s">
        <v>58</v>
      </c>
      <c r="E146" s="1">
        <v>2021</v>
      </c>
      <c r="F146" s="1" t="s">
        <v>29</v>
      </c>
      <c r="G146" s="1" t="s">
        <v>512</v>
      </c>
      <c r="H146" s="1">
        <v>46</v>
      </c>
      <c r="I146" s="1" t="s">
        <v>40</v>
      </c>
      <c r="J146" s="1">
        <v>6.4</v>
      </c>
      <c r="K146" s="1">
        <v>363.8</v>
      </c>
      <c r="L146" s="1" t="s">
        <v>23</v>
      </c>
      <c r="M146" s="1" t="s">
        <v>33</v>
      </c>
      <c r="N146" s="1" t="s">
        <v>128</v>
      </c>
      <c r="O146" s="1">
        <v>7</v>
      </c>
      <c r="P146" s="1">
        <v>82</v>
      </c>
      <c r="Q146" s="1">
        <v>449.1</v>
      </c>
      <c r="R146" s="8" t="str">
        <f>_xlfn.IFS(J146&gt;=8,"Hit",J146&gt;=6,"Average",J146&lt;6,"Flop")</f>
        <v>Average</v>
      </c>
      <c r="S146" s="9" t="str">
        <f>_xlfn.IFS(K146&gt;=400,"Blockbuster",K146&gt;=200,"Popular",K146&lt;200,"Normal")</f>
        <v>Popular</v>
      </c>
      <c r="T146" s="10" t="str">
        <f>IF(OR(I146="PG",I146="G"),"Yes","No")</f>
        <v>Yes</v>
      </c>
      <c r="U146" s="11" t="str">
        <f>IF(P146&gt;=100,"High","Low")</f>
        <v>Low</v>
      </c>
      <c r="V146" s="28">
        <f t="shared" si="4"/>
        <v>367.1</v>
      </c>
      <c r="W146" s="29">
        <f t="shared" si="5"/>
        <v>547.68292682926835</v>
      </c>
    </row>
    <row r="147" spans="1:23" x14ac:dyDescent="0.3">
      <c r="A147" s="1" t="s">
        <v>513</v>
      </c>
      <c r="B147" s="1" t="s">
        <v>514</v>
      </c>
      <c r="C147" s="1" t="s">
        <v>18</v>
      </c>
      <c r="D147" s="1" t="s">
        <v>47</v>
      </c>
      <c r="E147" s="1">
        <v>2016</v>
      </c>
      <c r="F147" s="1" t="s">
        <v>122</v>
      </c>
      <c r="G147" s="1" t="s">
        <v>515</v>
      </c>
      <c r="H147" s="1">
        <v>174</v>
      </c>
      <c r="I147" s="1" t="s">
        <v>40</v>
      </c>
      <c r="J147" s="1">
        <v>5.9</v>
      </c>
      <c r="K147" s="1">
        <v>82.6</v>
      </c>
      <c r="L147" s="1" t="s">
        <v>171</v>
      </c>
      <c r="M147" s="1" t="s">
        <v>146</v>
      </c>
      <c r="N147" s="1" t="s">
        <v>60</v>
      </c>
      <c r="O147" s="1"/>
      <c r="P147" s="1">
        <v>129</v>
      </c>
      <c r="Q147" s="1">
        <v>463.3</v>
      </c>
      <c r="R147" s="8" t="str">
        <f>_xlfn.IFS(J147&gt;=8,"Hit",J147&gt;=6,"Average",J147&lt;6,"Flop")</f>
        <v>Flop</v>
      </c>
      <c r="S147" s="9" t="str">
        <f>_xlfn.IFS(K147&gt;=400,"Blockbuster",K147&gt;=200,"Popular",K147&lt;200,"Normal")</f>
        <v>Normal</v>
      </c>
      <c r="T147" s="10" t="str">
        <f>IF(OR(I147="PG",I147="G"),"Yes","No")</f>
        <v>Yes</v>
      </c>
      <c r="U147" s="11" t="str">
        <f>IF(P147&gt;=100,"High","Low")</f>
        <v>High</v>
      </c>
      <c r="V147" s="28">
        <f t="shared" si="4"/>
        <v>334.3</v>
      </c>
      <c r="W147" s="29">
        <f t="shared" si="5"/>
        <v>359.14728682170545</v>
      </c>
    </row>
    <row r="148" spans="1:23" x14ac:dyDescent="0.3">
      <c r="A148" s="1" t="s">
        <v>516</v>
      </c>
      <c r="B148" s="1" t="s">
        <v>517</v>
      </c>
      <c r="C148" s="1" t="s">
        <v>46</v>
      </c>
      <c r="D148" s="1" t="s">
        <v>94</v>
      </c>
      <c r="E148" s="1">
        <v>2025</v>
      </c>
      <c r="F148" s="1" t="s">
        <v>76</v>
      </c>
      <c r="G148" s="1" t="s">
        <v>518</v>
      </c>
      <c r="H148" s="1">
        <v>57</v>
      </c>
      <c r="I148" s="1" t="s">
        <v>50</v>
      </c>
      <c r="J148" s="1">
        <v>5.8</v>
      </c>
      <c r="K148" s="1">
        <v>97.1</v>
      </c>
      <c r="L148" s="1" t="s">
        <v>41</v>
      </c>
      <c r="M148" s="1" t="s">
        <v>111</v>
      </c>
      <c r="N148" s="1" t="s">
        <v>153</v>
      </c>
      <c r="O148" s="1">
        <v>1</v>
      </c>
      <c r="P148" s="1">
        <v>67</v>
      </c>
      <c r="Q148" s="1">
        <v>409.4</v>
      </c>
      <c r="R148" s="8" t="str">
        <f>_xlfn.IFS(J148&gt;=8,"Hit",J148&gt;=6,"Average",J148&lt;6,"Flop")</f>
        <v>Flop</v>
      </c>
      <c r="S148" s="9" t="str">
        <f>_xlfn.IFS(K148&gt;=400,"Blockbuster",K148&gt;=200,"Popular",K148&lt;200,"Normal")</f>
        <v>Normal</v>
      </c>
      <c r="T148" s="10" t="str">
        <f>IF(OR(I148="PG",I148="G"),"Yes","No")</f>
        <v>Yes</v>
      </c>
      <c r="U148" s="11" t="str">
        <f>IF(P148&gt;=100,"High","Low")</f>
        <v>Low</v>
      </c>
      <c r="V148" s="28">
        <f t="shared" si="4"/>
        <v>342.4</v>
      </c>
      <c r="W148" s="29">
        <f t="shared" si="5"/>
        <v>611.04477611940297</v>
      </c>
    </row>
    <row r="149" spans="1:23" x14ac:dyDescent="0.3">
      <c r="A149" s="1" t="s">
        <v>519</v>
      </c>
      <c r="B149" s="1" t="s">
        <v>520</v>
      </c>
      <c r="C149" s="1" t="s">
        <v>46</v>
      </c>
      <c r="D149" s="1" t="s">
        <v>58</v>
      </c>
      <c r="E149" s="1">
        <v>2025</v>
      </c>
      <c r="F149" s="1" t="s">
        <v>83</v>
      </c>
      <c r="G149" s="1" t="s">
        <v>521</v>
      </c>
      <c r="H149" s="1">
        <v>40</v>
      </c>
      <c r="I149" s="1" t="s">
        <v>22</v>
      </c>
      <c r="J149" s="1">
        <v>8.1999999999999993</v>
      </c>
      <c r="K149" s="1">
        <v>550.4</v>
      </c>
      <c r="L149" s="1" t="s">
        <v>32</v>
      </c>
      <c r="M149" s="1" t="s">
        <v>78</v>
      </c>
      <c r="N149" s="1" t="s">
        <v>128</v>
      </c>
      <c r="O149" s="1">
        <v>6</v>
      </c>
      <c r="P149" s="1">
        <v>130</v>
      </c>
      <c r="Q149" s="1">
        <v>212.8</v>
      </c>
      <c r="R149" s="8" t="str">
        <f>_xlfn.IFS(J149&gt;=8,"Hit",J149&gt;=6,"Average",J149&lt;6,"Flop")</f>
        <v>Hit</v>
      </c>
      <c r="S149" s="9" t="str">
        <f>_xlfn.IFS(K149&gt;=400,"Blockbuster",K149&gt;=200,"Popular",K149&lt;200,"Normal")</f>
        <v>Blockbuster</v>
      </c>
      <c r="T149" s="10" t="str">
        <f>IF(OR(I149="PG",I149="G"),"Yes","No")</f>
        <v>No</v>
      </c>
      <c r="U149" s="11" t="str">
        <f>IF(P149&gt;=100,"High","Low")</f>
        <v>High</v>
      </c>
      <c r="V149" s="28">
        <f t="shared" si="4"/>
        <v>82.800000000000011</v>
      </c>
      <c r="W149" s="29">
        <f t="shared" si="5"/>
        <v>163.69230769230768</v>
      </c>
    </row>
    <row r="150" spans="1:23" x14ac:dyDescent="0.3">
      <c r="A150" s="1" t="s">
        <v>522</v>
      </c>
      <c r="B150" s="1" t="s">
        <v>523</v>
      </c>
      <c r="C150" s="1" t="s">
        <v>18</v>
      </c>
      <c r="D150" s="1" t="s">
        <v>94</v>
      </c>
      <c r="E150" s="1">
        <v>2019</v>
      </c>
      <c r="F150" s="1" t="s">
        <v>122</v>
      </c>
      <c r="G150" s="1" t="s">
        <v>524</v>
      </c>
      <c r="H150" s="1">
        <v>127</v>
      </c>
      <c r="I150" s="1" t="s">
        <v>31</v>
      </c>
      <c r="J150" s="1">
        <v>4.7</v>
      </c>
      <c r="K150" s="1">
        <v>163.5</v>
      </c>
      <c r="L150" s="1" t="s">
        <v>32</v>
      </c>
      <c r="M150" s="1" t="s">
        <v>78</v>
      </c>
      <c r="N150" s="1" t="s">
        <v>25</v>
      </c>
      <c r="O150" s="1"/>
      <c r="P150" s="1">
        <v>11</v>
      </c>
      <c r="Q150" s="1">
        <v>46.1</v>
      </c>
      <c r="R150" s="8" t="str">
        <f>_xlfn.IFS(J150&gt;=8,"Hit",J150&gt;=6,"Average",J150&lt;6,"Flop")</f>
        <v>Flop</v>
      </c>
      <c r="S150" s="9" t="str">
        <f>_xlfn.IFS(K150&gt;=400,"Blockbuster",K150&gt;=200,"Popular",K150&lt;200,"Normal")</f>
        <v>Normal</v>
      </c>
      <c r="T150" s="10" t="str">
        <f>IF(OR(I150="PG",I150="G"),"Yes","No")</f>
        <v>No</v>
      </c>
      <c r="U150" s="11" t="str">
        <f>IF(P150&gt;=100,"High","Low")</f>
        <v>Low</v>
      </c>
      <c r="V150" s="28">
        <f t="shared" si="4"/>
        <v>35.1</v>
      </c>
      <c r="W150" s="29">
        <f t="shared" si="5"/>
        <v>419.09090909090912</v>
      </c>
    </row>
    <row r="151" spans="1:23" x14ac:dyDescent="0.3">
      <c r="A151" s="1" t="s">
        <v>525</v>
      </c>
      <c r="B151" s="1" t="s">
        <v>526</v>
      </c>
      <c r="C151" s="1" t="s">
        <v>46</v>
      </c>
      <c r="D151" s="1" t="s">
        <v>28</v>
      </c>
      <c r="E151" s="1">
        <v>2011</v>
      </c>
      <c r="F151" s="1" t="s">
        <v>83</v>
      </c>
      <c r="G151" s="1" t="s">
        <v>527</v>
      </c>
      <c r="H151" s="1">
        <v>35</v>
      </c>
      <c r="I151" s="1" t="s">
        <v>22</v>
      </c>
      <c r="J151" s="1">
        <v>7.1</v>
      </c>
      <c r="K151" s="1">
        <v>487.6</v>
      </c>
      <c r="L151" s="1" t="s">
        <v>23</v>
      </c>
      <c r="M151" s="1" t="s">
        <v>72</v>
      </c>
      <c r="N151" s="1" t="s">
        <v>34</v>
      </c>
      <c r="O151" s="1">
        <v>8</v>
      </c>
      <c r="P151" s="1">
        <v>16</v>
      </c>
      <c r="Q151" s="1">
        <v>22.7</v>
      </c>
      <c r="R151" s="8" t="str">
        <f>_xlfn.IFS(J151&gt;=8,"Hit",J151&gt;=6,"Average",J151&lt;6,"Flop")</f>
        <v>Average</v>
      </c>
      <c r="S151" s="9" t="str">
        <f>_xlfn.IFS(K151&gt;=400,"Blockbuster",K151&gt;=200,"Popular",K151&lt;200,"Normal")</f>
        <v>Blockbuster</v>
      </c>
      <c r="T151" s="10" t="str">
        <f>IF(OR(I151="PG",I151="G"),"Yes","No")</f>
        <v>No</v>
      </c>
      <c r="U151" s="11" t="str">
        <f>IF(P151&gt;=100,"High","Low")</f>
        <v>Low</v>
      </c>
      <c r="V151" s="28">
        <f t="shared" si="4"/>
        <v>6.6999999999999993</v>
      </c>
      <c r="W151" s="29">
        <f t="shared" si="5"/>
        <v>141.875</v>
      </c>
    </row>
    <row r="152" spans="1:23" x14ac:dyDescent="0.3">
      <c r="A152" s="1" t="s">
        <v>528</v>
      </c>
      <c r="B152" s="1" t="s">
        <v>529</v>
      </c>
      <c r="C152" s="1" t="s">
        <v>18</v>
      </c>
      <c r="D152" s="1" t="s">
        <v>58</v>
      </c>
      <c r="E152" s="1">
        <v>2014</v>
      </c>
      <c r="F152" s="1" t="s">
        <v>100</v>
      </c>
      <c r="G152" s="1" t="s">
        <v>530</v>
      </c>
      <c r="H152" s="1">
        <v>92</v>
      </c>
      <c r="I152" s="1" t="s">
        <v>22</v>
      </c>
      <c r="J152" s="1">
        <v>9</v>
      </c>
      <c r="K152" s="1">
        <v>514.70000000000005</v>
      </c>
      <c r="L152" s="1" t="s">
        <v>71</v>
      </c>
      <c r="M152" s="1" t="s">
        <v>106</v>
      </c>
      <c r="N152" s="1" t="s">
        <v>55</v>
      </c>
      <c r="O152" s="1"/>
      <c r="P152" s="1">
        <v>42</v>
      </c>
      <c r="Q152" s="1">
        <v>200.1</v>
      </c>
      <c r="R152" s="8" t="str">
        <f>_xlfn.IFS(J152&gt;=8,"Hit",J152&gt;=6,"Average",J152&lt;6,"Flop")</f>
        <v>Hit</v>
      </c>
      <c r="S152" s="9" t="str">
        <f>_xlfn.IFS(K152&gt;=400,"Blockbuster",K152&gt;=200,"Popular",K152&lt;200,"Normal")</f>
        <v>Blockbuster</v>
      </c>
      <c r="T152" s="10" t="str">
        <f>IF(OR(I152="PG",I152="G"),"Yes","No")</f>
        <v>No</v>
      </c>
      <c r="U152" s="11" t="str">
        <f>IF(P152&gt;=100,"High","Low")</f>
        <v>Low</v>
      </c>
      <c r="V152" s="28">
        <f t="shared" si="4"/>
        <v>158.1</v>
      </c>
      <c r="W152" s="29">
        <f t="shared" si="5"/>
        <v>476.42857142857144</v>
      </c>
    </row>
    <row r="153" spans="1:23" x14ac:dyDescent="0.3">
      <c r="A153" s="1" t="s">
        <v>531</v>
      </c>
      <c r="B153" s="1" t="s">
        <v>532</v>
      </c>
      <c r="C153" s="1" t="s">
        <v>46</v>
      </c>
      <c r="D153" s="1" t="s">
        <v>75</v>
      </c>
      <c r="E153" s="1">
        <v>2000</v>
      </c>
      <c r="F153" s="1" t="s">
        <v>38</v>
      </c>
      <c r="G153" s="1" t="s">
        <v>533</v>
      </c>
      <c r="H153" s="1">
        <v>60</v>
      </c>
      <c r="I153" s="1" t="s">
        <v>31</v>
      </c>
      <c r="J153" s="1">
        <v>5.0999999999999996</v>
      </c>
      <c r="K153" s="1">
        <v>101.9</v>
      </c>
      <c r="L153" s="1" t="s">
        <v>90</v>
      </c>
      <c r="M153" s="1" t="s">
        <v>124</v>
      </c>
      <c r="N153" s="1" t="s">
        <v>119</v>
      </c>
      <c r="O153" s="1">
        <v>1</v>
      </c>
      <c r="P153" s="1">
        <v>68</v>
      </c>
      <c r="Q153" s="1">
        <v>387</v>
      </c>
      <c r="R153" s="8" t="str">
        <f>_xlfn.IFS(J153&gt;=8,"Hit",J153&gt;=6,"Average",J153&lt;6,"Flop")</f>
        <v>Flop</v>
      </c>
      <c r="S153" s="9" t="str">
        <f>_xlfn.IFS(K153&gt;=400,"Blockbuster",K153&gt;=200,"Popular",K153&lt;200,"Normal")</f>
        <v>Normal</v>
      </c>
      <c r="T153" s="10" t="str">
        <f>IF(OR(I153="PG",I153="G"),"Yes","No")</f>
        <v>No</v>
      </c>
      <c r="U153" s="11" t="str">
        <f>IF(P153&gt;=100,"High","Low")</f>
        <v>Low</v>
      </c>
      <c r="V153" s="28">
        <f t="shared" si="4"/>
        <v>319</v>
      </c>
      <c r="W153" s="29">
        <f t="shared" si="5"/>
        <v>569.11764705882354</v>
      </c>
    </row>
    <row r="154" spans="1:23" x14ac:dyDescent="0.3">
      <c r="A154" s="1" t="s">
        <v>534</v>
      </c>
      <c r="B154" s="1" t="s">
        <v>535</v>
      </c>
      <c r="C154" s="1" t="s">
        <v>46</v>
      </c>
      <c r="D154" s="1" t="s">
        <v>63</v>
      </c>
      <c r="E154" s="1">
        <v>2013</v>
      </c>
      <c r="F154" s="1" t="s">
        <v>100</v>
      </c>
      <c r="G154" s="1" t="s">
        <v>536</v>
      </c>
      <c r="H154" s="1">
        <v>38</v>
      </c>
      <c r="I154" s="1" t="s">
        <v>40</v>
      </c>
      <c r="J154" s="1">
        <v>5.4</v>
      </c>
      <c r="K154" s="1">
        <v>182</v>
      </c>
      <c r="L154" s="1" t="s">
        <v>71</v>
      </c>
      <c r="M154" s="1" t="s">
        <v>54</v>
      </c>
      <c r="N154" s="1" t="s">
        <v>67</v>
      </c>
      <c r="O154" s="1">
        <v>3</v>
      </c>
      <c r="P154" s="1">
        <v>58</v>
      </c>
      <c r="Q154" s="1">
        <v>88.1</v>
      </c>
      <c r="R154" s="8" t="str">
        <f>_xlfn.IFS(J154&gt;=8,"Hit",J154&gt;=6,"Average",J154&lt;6,"Flop")</f>
        <v>Flop</v>
      </c>
      <c r="S154" s="9" t="str">
        <f>_xlfn.IFS(K154&gt;=400,"Blockbuster",K154&gt;=200,"Popular",K154&lt;200,"Normal")</f>
        <v>Normal</v>
      </c>
      <c r="T154" s="10" t="str">
        <f>IF(OR(I154="PG",I154="G"),"Yes","No")</f>
        <v>Yes</v>
      </c>
      <c r="U154" s="11" t="str">
        <f>IF(P154&gt;=100,"High","Low")</f>
        <v>Low</v>
      </c>
      <c r="V154" s="28">
        <f t="shared" si="4"/>
        <v>30.099999999999994</v>
      </c>
      <c r="W154" s="29">
        <f t="shared" si="5"/>
        <v>151.89655172413791</v>
      </c>
    </row>
    <row r="155" spans="1:23" x14ac:dyDescent="0.3">
      <c r="A155" s="1" t="s">
        <v>537</v>
      </c>
      <c r="B155" s="1" t="s">
        <v>538</v>
      </c>
      <c r="C155" s="1" t="s">
        <v>18</v>
      </c>
      <c r="D155" s="1" t="s">
        <v>82</v>
      </c>
      <c r="E155" s="1">
        <v>2008</v>
      </c>
      <c r="F155" s="1" t="s">
        <v>48</v>
      </c>
      <c r="G155" s="1" t="s">
        <v>539</v>
      </c>
      <c r="H155" s="1">
        <v>167</v>
      </c>
      <c r="I155" s="1" t="s">
        <v>40</v>
      </c>
      <c r="J155" s="1">
        <v>8.1999999999999993</v>
      </c>
      <c r="K155" s="1">
        <v>143.4</v>
      </c>
      <c r="L155" s="1" t="s">
        <v>23</v>
      </c>
      <c r="M155" s="1" t="s">
        <v>157</v>
      </c>
      <c r="N155" s="1" t="s">
        <v>79</v>
      </c>
      <c r="O155" s="1"/>
      <c r="P155" s="1">
        <v>178</v>
      </c>
      <c r="Q155" s="1">
        <v>477.4</v>
      </c>
      <c r="R155" s="8" t="str">
        <f>_xlfn.IFS(J155&gt;=8,"Hit",J155&gt;=6,"Average",J155&lt;6,"Flop")</f>
        <v>Hit</v>
      </c>
      <c r="S155" s="9" t="str">
        <f>_xlfn.IFS(K155&gt;=400,"Blockbuster",K155&gt;=200,"Popular",K155&lt;200,"Normal")</f>
        <v>Normal</v>
      </c>
      <c r="T155" s="10" t="str">
        <f>IF(OR(I155="PG",I155="G"),"Yes","No")</f>
        <v>Yes</v>
      </c>
      <c r="U155" s="11" t="str">
        <f>IF(P155&gt;=100,"High","Low")</f>
        <v>High</v>
      </c>
      <c r="V155" s="28">
        <f t="shared" si="4"/>
        <v>299.39999999999998</v>
      </c>
      <c r="W155" s="29">
        <f t="shared" si="5"/>
        <v>268.20224719101122</v>
      </c>
    </row>
    <row r="156" spans="1:23" x14ac:dyDescent="0.3">
      <c r="A156" s="1" t="s">
        <v>540</v>
      </c>
      <c r="B156" s="1" t="s">
        <v>541</v>
      </c>
      <c r="C156" s="1" t="s">
        <v>46</v>
      </c>
      <c r="D156" s="1" t="s">
        <v>117</v>
      </c>
      <c r="E156" s="1">
        <v>2011</v>
      </c>
      <c r="F156" s="1" t="s">
        <v>95</v>
      </c>
      <c r="G156" s="1" t="s">
        <v>509</v>
      </c>
      <c r="H156" s="1">
        <v>31</v>
      </c>
      <c r="I156" s="1" t="s">
        <v>22</v>
      </c>
      <c r="J156" s="1">
        <v>5.4</v>
      </c>
      <c r="K156" s="1">
        <v>187.2</v>
      </c>
      <c r="L156" s="1" t="s">
        <v>171</v>
      </c>
      <c r="M156" s="1" t="s">
        <v>33</v>
      </c>
      <c r="N156" s="1" t="s">
        <v>43</v>
      </c>
      <c r="O156" s="1">
        <v>7</v>
      </c>
      <c r="P156" s="1">
        <v>118</v>
      </c>
      <c r="Q156" s="1">
        <v>331.4</v>
      </c>
      <c r="R156" s="8" t="str">
        <f>_xlfn.IFS(J156&gt;=8,"Hit",J156&gt;=6,"Average",J156&lt;6,"Flop")</f>
        <v>Flop</v>
      </c>
      <c r="S156" s="9" t="str">
        <f>_xlfn.IFS(K156&gt;=400,"Blockbuster",K156&gt;=200,"Popular",K156&lt;200,"Normal")</f>
        <v>Normal</v>
      </c>
      <c r="T156" s="10" t="str">
        <f>IF(OR(I156="PG",I156="G"),"Yes","No")</f>
        <v>No</v>
      </c>
      <c r="U156" s="11" t="str">
        <f>IF(P156&gt;=100,"High","Low")</f>
        <v>High</v>
      </c>
      <c r="V156" s="28">
        <f t="shared" si="4"/>
        <v>213.39999999999998</v>
      </c>
      <c r="W156" s="29">
        <f t="shared" si="5"/>
        <v>280.84745762711862</v>
      </c>
    </row>
    <row r="157" spans="1:23" x14ac:dyDescent="0.3">
      <c r="A157" s="1" t="s">
        <v>542</v>
      </c>
      <c r="B157" s="1" t="s">
        <v>543</v>
      </c>
      <c r="C157" s="1" t="s">
        <v>46</v>
      </c>
      <c r="D157" s="1" t="s">
        <v>141</v>
      </c>
      <c r="E157" s="1">
        <v>2004</v>
      </c>
      <c r="F157" s="1" t="s">
        <v>83</v>
      </c>
      <c r="G157" s="1" t="s">
        <v>544</v>
      </c>
      <c r="H157" s="1">
        <v>33</v>
      </c>
      <c r="I157" s="1" t="s">
        <v>22</v>
      </c>
      <c r="J157" s="1">
        <v>6.8</v>
      </c>
      <c r="K157" s="1">
        <v>531.9</v>
      </c>
      <c r="L157" s="1" t="s">
        <v>171</v>
      </c>
      <c r="M157" s="1" t="s">
        <v>111</v>
      </c>
      <c r="N157" s="1" t="s">
        <v>79</v>
      </c>
      <c r="O157" s="1">
        <v>8</v>
      </c>
      <c r="P157" s="1">
        <v>61</v>
      </c>
      <c r="Q157" s="1">
        <v>283.5</v>
      </c>
      <c r="R157" s="8" t="str">
        <f>_xlfn.IFS(J157&gt;=8,"Hit",J157&gt;=6,"Average",J157&lt;6,"Flop")</f>
        <v>Average</v>
      </c>
      <c r="S157" s="9" t="str">
        <f>_xlfn.IFS(K157&gt;=400,"Blockbuster",K157&gt;=200,"Popular",K157&lt;200,"Normal")</f>
        <v>Blockbuster</v>
      </c>
      <c r="T157" s="10" t="str">
        <f>IF(OR(I157="PG",I157="G"),"Yes","No")</f>
        <v>No</v>
      </c>
      <c r="U157" s="11" t="str">
        <f>IF(P157&gt;=100,"High","Low")</f>
        <v>Low</v>
      </c>
      <c r="V157" s="28">
        <f t="shared" si="4"/>
        <v>222.5</v>
      </c>
      <c r="W157" s="29">
        <f t="shared" si="5"/>
        <v>464.75409836065575</v>
      </c>
    </row>
    <row r="158" spans="1:23" x14ac:dyDescent="0.3">
      <c r="A158" s="1" t="s">
        <v>545</v>
      </c>
      <c r="B158" s="1" t="s">
        <v>546</v>
      </c>
      <c r="C158" s="1" t="s">
        <v>18</v>
      </c>
      <c r="D158" s="1" t="s">
        <v>28</v>
      </c>
      <c r="E158" s="1">
        <v>2003</v>
      </c>
      <c r="F158" s="1" t="s">
        <v>100</v>
      </c>
      <c r="G158" s="1" t="s">
        <v>547</v>
      </c>
      <c r="H158" s="1">
        <v>161</v>
      </c>
      <c r="I158" s="1" t="s">
        <v>31</v>
      </c>
      <c r="J158" s="1">
        <v>7.7</v>
      </c>
      <c r="K158" s="1">
        <v>523.6</v>
      </c>
      <c r="L158" s="1" t="s">
        <v>90</v>
      </c>
      <c r="M158" s="1" t="s">
        <v>66</v>
      </c>
      <c r="N158" s="1" t="s">
        <v>25</v>
      </c>
      <c r="O158" s="1"/>
      <c r="P158" s="1">
        <v>159</v>
      </c>
      <c r="Q158" s="1">
        <v>556.4</v>
      </c>
      <c r="R158" s="8" t="str">
        <f>_xlfn.IFS(J158&gt;=8,"Hit",J158&gt;=6,"Average",J158&lt;6,"Flop")</f>
        <v>Average</v>
      </c>
      <c r="S158" s="9" t="str">
        <f>_xlfn.IFS(K158&gt;=400,"Blockbuster",K158&gt;=200,"Popular",K158&lt;200,"Normal")</f>
        <v>Blockbuster</v>
      </c>
      <c r="T158" s="10" t="str">
        <f>IF(OR(I158="PG",I158="G"),"Yes","No")</f>
        <v>No</v>
      </c>
      <c r="U158" s="11" t="str">
        <f>IF(P158&gt;=100,"High","Low")</f>
        <v>High</v>
      </c>
      <c r="V158" s="28">
        <f t="shared" si="4"/>
        <v>397.4</v>
      </c>
      <c r="W158" s="29">
        <f t="shared" si="5"/>
        <v>349.93710691823895</v>
      </c>
    </row>
    <row r="159" spans="1:23" x14ac:dyDescent="0.3">
      <c r="A159" s="1" t="s">
        <v>548</v>
      </c>
      <c r="B159" s="1" t="s">
        <v>549</v>
      </c>
      <c r="C159" s="1" t="s">
        <v>46</v>
      </c>
      <c r="D159" s="1" t="s">
        <v>82</v>
      </c>
      <c r="E159" s="1">
        <v>2004</v>
      </c>
      <c r="F159" s="1" t="s">
        <v>100</v>
      </c>
      <c r="G159" s="1" t="s">
        <v>550</v>
      </c>
      <c r="H159" s="1">
        <v>37</v>
      </c>
      <c r="I159" s="1" t="s">
        <v>22</v>
      </c>
      <c r="J159" s="1">
        <v>4.7</v>
      </c>
      <c r="K159" s="1">
        <v>469.7</v>
      </c>
      <c r="L159" s="1" t="s">
        <v>171</v>
      </c>
      <c r="M159" s="1" t="s">
        <v>54</v>
      </c>
      <c r="N159" s="1" t="s">
        <v>153</v>
      </c>
      <c r="O159" s="1">
        <v>2</v>
      </c>
      <c r="P159" s="1">
        <v>28</v>
      </c>
      <c r="Q159" s="1">
        <v>62.7</v>
      </c>
      <c r="R159" s="8" t="str">
        <f>_xlfn.IFS(J159&gt;=8,"Hit",J159&gt;=6,"Average",J159&lt;6,"Flop")</f>
        <v>Flop</v>
      </c>
      <c r="S159" s="9" t="str">
        <f>_xlfn.IFS(K159&gt;=400,"Blockbuster",K159&gt;=200,"Popular",K159&lt;200,"Normal")</f>
        <v>Blockbuster</v>
      </c>
      <c r="T159" s="10" t="str">
        <f>IF(OR(I159="PG",I159="G"),"Yes","No")</f>
        <v>No</v>
      </c>
      <c r="U159" s="11" t="str">
        <f>IF(P159&gt;=100,"High","Low")</f>
        <v>Low</v>
      </c>
      <c r="V159" s="28">
        <f t="shared" si="4"/>
        <v>34.700000000000003</v>
      </c>
      <c r="W159" s="29">
        <f t="shared" si="5"/>
        <v>223.92857142857144</v>
      </c>
    </row>
    <row r="160" spans="1:23" x14ac:dyDescent="0.3">
      <c r="A160" s="1" t="s">
        <v>551</v>
      </c>
      <c r="B160" s="1" t="s">
        <v>552</v>
      </c>
      <c r="C160" s="1" t="s">
        <v>46</v>
      </c>
      <c r="D160" s="1" t="s">
        <v>117</v>
      </c>
      <c r="E160" s="1">
        <v>2025</v>
      </c>
      <c r="F160" s="1" t="s">
        <v>100</v>
      </c>
      <c r="G160" s="1" t="s">
        <v>553</v>
      </c>
      <c r="H160" s="1">
        <v>49</v>
      </c>
      <c r="I160" s="1" t="s">
        <v>22</v>
      </c>
      <c r="J160" s="1">
        <v>6.7</v>
      </c>
      <c r="K160" s="1">
        <v>499.1</v>
      </c>
      <c r="L160" s="1" t="s">
        <v>171</v>
      </c>
      <c r="M160" s="1" t="s">
        <v>124</v>
      </c>
      <c r="N160" s="1" t="s">
        <v>86</v>
      </c>
      <c r="O160" s="1">
        <v>2</v>
      </c>
      <c r="P160" s="1">
        <v>174</v>
      </c>
      <c r="Q160" s="1">
        <v>298.7</v>
      </c>
      <c r="R160" s="8" t="str">
        <f>_xlfn.IFS(J160&gt;=8,"Hit",J160&gt;=6,"Average",J160&lt;6,"Flop")</f>
        <v>Average</v>
      </c>
      <c r="S160" s="9" t="str">
        <f>_xlfn.IFS(K160&gt;=400,"Blockbuster",K160&gt;=200,"Popular",K160&lt;200,"Normal")</f>
        <v>Blockbuster</v>
      </c>
      <c r="T160" s="10" t="str">
        <f>IF(OR(I160="PG",I160="G"),"Yes","No")</f>
        <v>No</v>
      </c>
      <c r="U160" s="11" t="str">
        <f>IF(P160&gt;=100,"High","Low")</f>
        <v>High</v>
      </c>
      <c r="V160" s="28">
        <f t="shared" si="4"/>
        <v>124.69999999999999</v>
      </c>
      <c r="W160" s="29">
        <f t="shared" si="5"/>
        <v>171.66666666666666</v>
      </c>
    </row>
    <row r="161" spans="1:23" x14ac:dyDescent="0.3">
      <c r="A161" s="1" t="s">
        <v>554</v>
      </c>
      <c r="B161" s="1" t="s">
        <v>555</v>
      </c>
      <c r="C161" s="1" t="s">
        <v>18</v>
      </c>
      <c r="D161" s="1" t="s">
        <v>58</v>
      </c>
      <c r="E161" s="1">
        <v>2006</v>
      </c>
      <c r="F161" s="1" t="s">
        <v>181</v>
      </c>
      <c r="G161" s="1" t="s">
        <v>556</v>
      </c>
      <c r="H161" s="1">
        <v>145</v>
      </c>
      <c r="I161" s="1" t="s">
        <v>31</v>
      </c>
      <c r="J161" s="1">
        <v>5.4</v>
      </c>
      <c r="K161" s="1">
        <v>23.6</v>
      </c>
      <c r="L161" s="1" t="s">
        <v>71</v>
      </c>
      <c r="M161" s="1" t="s">
        <v>33</v>
      </c>
      <c r="N161" s="1" t="s">
        <v>34</v>
      </c>
      <c r="O161" s="1"/>
      <c r="P161" s="1">
        <v>15</v>
      </c>
      <c r="Q161" s="1">
        <v>31.8</v>
      </c>
      <c r="R161" s="8" t="str">
        <f>_xlfn.IFS(J161&gt;=8,"Hit",J161&gt;=6,"Average",J161&lt;6,"Flop")</f>
        <v>Flop</v>
      </c>
      <c r="S161" s="9" t="str">
        <f>_xlfn.IFS(K161&gt;=400,"Blockbuster",K161&gt;=200,"Popular",K161&lt;200,"Normal")</f>
        <v>Normal</v>
      </c>
      <c r="T161" s="10" t="str">
        <f>IF(OR(I161="PG",I161="G"),"Yes","No")</f>
        <v>No</v>
      </c>
      <c r="U161" s="11" t="str">
        <f>IF(P161&gt;=100,"High","Low")</f>
        <v>Low</v>
      </c>
      <c r="V161" s="28">
        <f t="shared" si="4"/>
        <v>16.8</v>
      </c>
      <c r="W161" s="29">
        <f t="shared" si="5"/>
        <v>212</v>
      </c>
    </row>
    <row r="162" spans="1:23" x14ac:dyDescent="0.3">
      <c r="A162" s="1" t="s">
        <v>557</v>
      </c>
      <c r="B162" s="1" t="s">
        <v>558</v>
      </c>
      <c r="C162" s="1" t="s">
        <v>46</v>
      </c>
      <c r="D162" s="1" t="s">
        <v>82</v>
      </c>
      <c r="E162" s="1">
        <v>2006</v>
      </c>
      <c r="F162" s="1" t="s">
        <v>100</v>
      </c>
      <c r="G162" s="1" t="s">
        <v>559</v>
      </c>
      <c r="H162" s="1">
        <v>59</v>
      </c>
      <c r="I162" s="1" t="s">
        <v>22</v>
      </c>
      <c r="J162" s="1">
        <v>7.4</v>
      </c>
      <c r="K162" s="1">
        <v>79.599999999999994</v>
      </c>
      <c r="L162" s="1" t="s">
        <v>171</v>
      </c>
      <c r="M162" s="1" t="s">
        <v>72</v>
      </c>
      <c r="N162" s="1" t="s">
        <v>153</v>
      </c>
      <c r="O162" s="1">
        <v>8</v>
      </c>
      <c r="P162" s="1">
        <v>166</v>
      </c>
      <c r="Q162" s="1">
        <v>646.6</v>
      </c>
      <c r="R162" s="8" t="str">
        <f>_xlfn.IFS(J162&gt;=8,"Hit",J162&gt;=6,"Average",J162&lt;6,"Flop")</f>
        <v>Average</v>
      </c>
      <c r="S162" s="9" t="str">
        <f>_xlfn.IFS(K162&gt;=400,"Blockbuster",K162&gt;=200,"Popular",K162&lt;200,"Normal")</f>
        <v>Normal</v>
      </c>
      <c r="T162" s="10" t="str">
        <f>IF(OR(I162="PG",I162="G"),"Yes","No")</f>
        <v>No</v>
      </c>
      <c r="U162" s="11" t="str">
        <f>IF(P162&gt;=100,"High","Low")</f>
        <v>High</v>
      </c>
      <c r="V162" s="28">
        <f t="shared" si="4"/>
        <v>480.6</v>
      </c>
      <c r="W162" s="29">
        <f t="shared" si="5"/>
        <v>389.51807228915663</v>
      </c>
    </row>
    <row r="163" spans="1:23" x14ac:dyDescent="0.3">
      <c r="A163" s="1" t="s">
        <v>560</v>
      </c>
      <c r="B163" s="1" t="s">
        <v>561</v>
      </c>
      <c r="C163" s="1" t="s">
        <v>18</v>
      </c>
      <c r="D163" s="1" t="s">
        <v>63</v>
      </c>
      <c r="E163" s="1">
        <v>2013</v>
      </c>
      <c r="F163" s="1" t="s">
        <v>20</v>
      </c>
      <c r="G163" s="1" t="s">
        <v>562</v>
      </c>
      <c r="H163" s="1">
        <v>152</v>
      </c>
      <c r="I163" s="1" t="s">
        <v>110</v>
      </c>
      <c r="J163" s="1">
        <v>7</v>
      </c>
      <c r="K163" s="1">
        <v>338.6</v>
      </c>
      <c r="L163" s="1" t="s">
        <v>41</v>
      </c>
      <c r="M163" s="1" t="s">
        <v>66</v>
      </c>
      <c r="N163" s="1" t="s">
        <v>158</v>
      </c>
      <c r="O163" s="1"/>
      <c r="P163" s="1">
        <v>62</v>
      </c>
      <c r="Q163" s="1">
        <v>249.6</v>
      </c>
      <c r="R163" s="8" t="str">
        <f>_xlfn.IFS(J163&gt;=8,"Hit",J163&gt;=6,"Average",J163&lt;6,"Flop")</f>
        <v>Average</v>
      </c>
      <c r="S163" s="9" t="str">
        <f>_xlfn.IFS(K163&gt;=400,"Blockbuster",K163&gt;=200,"Popular",K163&lt;200,"Normal")</f>
        <v>Popular</v>
      </c>
      <c r="T163" s="10" t="str">
        <f>IF(OR(I163="PG",I163="G"),"Yes","No")</f>
        <v>No</v>
      </c>
      <c r="U163" s="11" t="str">
        <f>IF(P163&gt;=100,"High","Low")</f>
        <v>Low</v>
      </c>
      <c r="V163" s="28">
        <f t="shared" si="4"/>
        <v>187.6</v>
      </c>
      <c r="W163" s="29">
        <f t="shared" si="5"/>
        <v>402.58064516129031</v>
      </c>
    </row>
    <row r="164" spans="1:23" x14ac:dyDescent="0.3">
      <c r="A164" s="1" t="s">
        <v>563</v>
      </c>
      <c r="B164" s="1" t="s">
        <v>564</v>
      </c>
      <c r="C164" s="1" t="s">
        <v>18</v>
      </c>
      <c r="D164" s="1" t="s">
        <v>94</v>
      </c>
      <c r="E164" s="1">
        <v>2019</v>
      </c>
      <c r="F164" s="1" t="s">
        <v>95</v>
      </c>
      <c r="G164" s="1" t="s">
        <v>565</v>
      </c>
      <c r="H164" s="1">
        <v>122</v>
      </c>
      <c r="I164" s="1" t="s">
        <v>50</v>
      </c>
      <c r="J164" s="1">
        <v>7.4</v>
      </c>
      <c r="K164" s="1">
        <v>469.1</v>
      </c>
      <c r="L164" s="1" t="s">
        <v>171</v>
      </c>
      <c r="M164" s="1" t="s">
        <v>33</v>
      </c>
      <c r="N164" s="1" t="s">
        <v>79</v>
      </c>
      <c r="O164" s="1"/>
      <c r="P164" s="1">
        <v>119</v>
      </c>
      <c r="Q164" s="1">
        <v>555</v>
      </c>
      <c r="R164" s="8" t="str">
        <f>_xlfn.IFS(J164&gt;=8,"Hit",J164&gt;=6,"Average",J164&lt;6,"Flop")</f>
        <v>Average</v>
      </c>
      <c r="S164" s="9" t="str">
        <f>_xlfn.IFS(K164&gt;=400,"Blockbuster",K164&gt;=200,"Popular",K164&lt;200,"Normal")</f>
        <v>Blockbuster</v>
      </c>
      <c r="T164" s="10" t="str">
        <f>IF(OR(I164="PG",I164="G"),"Yes","No")</f>
        <v>Yes</v>
      </c>
      <c r="U164" s="11" t="str">
        <f>IF(P164&gt;=100,"High","Low")</f>
        <v>High</v>
      </c>
      <c r="V164" s="28">
        <f t="shared" si="4"/>
        <v>436</v>
      </c>
      <c r="W164" s="29">
        <f t="shared" si="5"/>
        <v>466.38655462184875</v>
      </c>
    </row>
    <row r="165" spans="1:23" x14ac:dyDescent="0.3">
      <c r="A165" s="1" t="s">
        <v>566</v>
      </c>
      <c r="B165" s="1" t="s">
        <v>567</v>
      </c>
      <c r="C165" s="1" t="s">
        <v>18</v>
      </c>
      <c r="D165" s="1" t="s">
        <v>141</v>
      </c>
      <c r="E165" s="1">
        <v>2018</v>
      </c>
      <c r="F165" s="1" t="s">
        <v>76</v>
      </c>
      <c r="G165" s="1" t="s">
        <v>568</v>
      </c>
      <c r="H165" s="1">
        <v>125</v>
      </c>
      <c r="I165" s="1" t="s">
        <v>31</v>
      </c>
      <c r="J165" s="1">
        <v>9.6</v>
      </c>
      <c r="K165" s="1">
        <v>188.3</v>
      </c>
      <c r="L165" s="1" t="s">
        <v>23</v>
      </c>
      <c r="M165" s="1" t="s">
        <v>132</v>
      </c>
      <c r="N165" s="1" t="s">
        <v>102</v>
      </c>
      <c r="O165" s="1"/>
      <c r="P165" s="1">
        <v>12</v>
      </c>
      <c r="Q165" s="1">
        <v>54.7</v>
      </c>
      <c r="R165" s="8" t="str">
        <f>_xlfn.IFS(J165&gt;=8,"Hit",J165&gt;=6,"Average",J165&lt;6,"Flop")</f>
        <v>Hit</v>
      </c>
      <c r="S165" s="9" t="str">
        <f>_xlfn.IFS(K165&gt;=400,"Blockbuster",K165&gt;=200,"Popular",K165&lt;200,"Normal")</f>
        <v>Normal</v>
      </c>
      <c r="T165" s="10" t="str">
        <f>IF(OR(I165="PG",I165="G"),"Yes","No")</f>
        <v>No</v>
      </c>
      <c r="U165" s="11" t="str">
        <f>IF(P165&gt;=100,"High","Low")</f>
        <v>Low</v>
      </c>
      <c r="V165" s="28">
        <f t="shared" si="4"/>
        <v>42.7</v>
      </c>
      <c r="W165" s="29">
        <f t="shared" si="5"/>
        <v>455.83333333333337</v>
      </c>
    </row>
    <row r="166" spans="1:23" x14ac:dyDescent="0.3">
      <c r="A166" s="1" t="s">
        <v>569</v>
      </c>
      <c r="B166" s="1" t="s">
        <v>570</v>
      </c>
      <c r="C166" s="1" t="s">
        <v>18</v>
      </c>
      <c r="D166" s="1" t="s">
        <v>63</v>
      </c>
      <c r="E166" s="1">
        <v>2007</v>
      </c>
      <c r="F166" s="1" t="s">
        <v>95</v>
      </c>
      <c r="G166" s="1" t="s">
        <v>571</v>
      </c>
      <c r="H166" s="1">
        <v>179</v>
      </c>
      <c r="I166" s="1" t="s">
        <v>22</v>
      </c>
      <c r="J166" s="1">
        <v>9.6</v>
      </c>
      <c r="K166" s="1">
        <v>122.9</v>
      </c>
      <c r="L166" s="1" t="s">
        <v>23</v>
      </c>
      <c r="M166" s="1" t="s">
        <v>42</v>
      </c>
      <c r="N166" s="1" t="s">
        <v>55</v>
      </c>
      <c r="O166" s="1"/>
      <c r="P166" s="1">
        <v>75</v>
      </c>
      <c r="Q166" s="1">
        <v>330.2</v>
      </c>
      <c r="R166" s="8" t="str">
        <f>_xlfn.IFS(J166&gt;=8,"Hit",J166&gt;=6,"Average",J166&lt;6,"Flop")</f>
        <v>Hit</v>
      </c>
      <c r="S166" s="9" t="str">
        <f>_xlfn.IFS(K166&gt;=400,"Blockbuster",K166&gt;=200,"Popular",K166&lt;200,"Normal")</f>
        <v>Normal</v>
      </c>
      <c r="T166" s="10" t="str">
        <f>IF(OR(I166="PG",I166="G"),"Yes","No")</f>
        <v>No</v>
      </c>
      <c r="U166" s="11" t="str">
        <f>IF(P166&gt;=100,"High","Low")</f>
        <v>Low</v>
      </c>
      <c r="V166" s="28">
        <f t="shared" si="4"/>
        <v>255.2</v>
      </c>
      <c r="W166" s="29">
        <f t="shared" si="5"/>
        <v>440.26666666666665</v>
      </c>
    </row>
    <row r="167" spans="1:23" x14ac:dyDescent="0.3">
      <c r="A167" s="1" t="s">
        <v>572</v>
      </c>
      <c r="B167" s="1" t="s">
        <v>573</v>
      </c>
      <c r="C167" s="1" t="s">
        <v>18</v>
      </c>
      <c r="D167" s="1" t="s">
        <v>141</v>
      </c>
      <c r="E167" s="1">
        <v>2005</v>
      </c>
      <c r="F167" s="1" t="s">
        <v>29</v>
      </c>
      <c r="G167" s="1" t="s">
        <v>574</v>
      </c>
      <c r="H167" s="1">
        <v>172</v>
      </c>
      <c r="I167" s="1" t="s">
        <v>110</v>
      </c>
      <c r="J167" s="1">
        <v>8.9</v>
      </c>
      <c r="K167" s="1">
        <v>595.9</v>
      </c>
      <c r="L167" s="1" t="s">
        <v>90</v>
      </c>
      <c r="M167" s="1" t="s">
        <v>78</v>
      </c>
      <c r="N167" s="1" t="s">
        <v>102</v>
      </c>
      <c r="O167" s="1"/>
      <c r="P167" s="1">
        <v>74</v>
      </c>
      <c r="Q167" s="1">
        <v>161.80000000000001</v>
      </c>
      <c r="R167" s="8" t="str">
        <f>_xlfn.IFS(J167&gt;=8,"Hit",J167&gt;=6,"Average",J167&lt;6,"Flop")</f>
        <v>Hit</v>
      </c>
      <c r="S167" s="9" t="str">
        <f>_xlfn.IFS(K167&gt;=400,"Blockbuster",K167&gt;=200,"Popular",K167&lt;200,"Normal")</f>
        <v>Blockbuster</v>
      </c>
      <c r="T167" s="10" t="str">
        <f>IF(OR(I167="PG",I167="G"),"Yes","No")</f>
        <v>No</v>
      </c>
      <c r="U167" s="11" t="str">
        <f>IF(P167&gt;=100,"High","Low")</f>
        <v>Low</v>
      </c>
      <c r="V167" s="28">
        <f t="shared" si="4"/>
        <v>87.800000000000011</v>
      </c>
      <c r="W167" s="29">
        <f t="shared" si="5"/>
        <v>218.64864864864865</v>
      </c>
    </row>
    <row r="168" spans="1:23" x14ac:dyDescent="0.3">
      <c r="A168" s="1" t="s">
        <v>575</v>
      </c>
      <c r="B168" s="1" t="s">
        <v>576</v>
      </c>
      <c r="C168" s="1" t="s">
        <v>18</v>
      </c>
      <c r="D168" s="1" t="s">
        <v>58</v>
      </c>
      <c r="E168" s="1">
        <v>2016</v>
      </c>
      <c r="F168" s="1" t="s">
        <v>38</v>
      </c>
      <c r="G168" s="1" t="s">
        <v>577</v>
      </c>
      <c r="H168" s="1">
        <v>137</v>
      </c>
      <c r="I168" s="1" t="s">
        <v>31</v>
      </c>
      <c r="J168" s="1">
        <v>7.8</v>
      </c>
      <c r="K168" s="1">
        <v>330.8</v>
      </c>
      <c r="L168" s="1" t="s">
        <v>71</v>
      </c>
      <c r="M168" s="1" t="s">
        <v>24</v>
      </c>
      <c r="N168" s="1" t="s">
        <v>178</v>
      </c>
      <c r="O168" s="1"/>
      <c r="P168" s="1">
        <v>44</v>
      </c>
      <c r="Q168" s="1">
        <v>250</v>
      </c>
      <c r="R168" s="8" t="str">
        <f>_xlfn.IFS(J168&gt;=8,"Hit",J168&gt;=6,"Average",J168&lt;6,"Flop")</f>
        <v>Average</v>
      </c>
      <c r="S168" s="9" t="str">
        <f>_xlfn.IFS(K168&gt;=400,"Blockbuster",K168&gt;=200,"Popular",K168&lt;200,"Normal")</f>
        <v>Popular</v>
      </c>
      <c r="T168" s="10" t="str">
        <f>IF(OR(I168="PG",I168="G"),"Yes","No")</f>
        <v>No</v>
      </c>
      <c r="U168" s="11" t="str">
        <f>IF(P168&gt;=100,"High","Low")</f>
        <v>Low</v>
      </c>
      <c r="V168" s="28">
        <f t="shared" si="4"/>
        <v>206</v>
      </c>
      <c r="W168" s="29">
        <f t="shared" si="5"/>
        <v>568.18181818181813</v>
      </c>
    </row>
    <row r="169" spans="1:23" x14ac:dyDescent="0.3">
      <c r="A169" s="1" t="s">
        <v>578</v>
      </c>
      <c r="B169" s="1" t="s">
        <v>579</v>
      </c>
      <c r="C169" s="1" t="s">
        <v>46</v>
      </c>
      <c r="D169" s="1" t="s">
        <v>19</v>
      </c>
      <c r="E169" s="1">
        <v>2017</v>
      </c>
      <c r="F169" s="1" t="s">
        <v>100</v>
      </c>
      <c r="G169" s="1" t="s">
        <v>580</v>
      </c>
      <c r="H169" s="1">
        <v>54</v>
      </c>
      <c r="I169" s="1" t="s">
        <v>31</v>
      </c>
      <c r="J169" s="1">
        <v>8.1</v>
      </c>
      <c r="K169" s="1">
        <v>109.5</v>
      </c>
      <c r="L169" s="1" t="s">
        <v>32</v>
      </c>
      <c r="M169" s="1" t="s">
        <v>146</v>
      </c>
      <c r="N169" s="1" t="s">
        <v>86</v>
      </c>
      <c r="O169" s="1">
        <v>1</v>
      </c>
      <c r="P169" s="1">
        <v>139</v>
      </c>
      <c r="Q169" s="1">
        <v>852.3</v>
      </c>
      <c r="R169" s="8" t="str">
        <f>_xlfn.IFS(J169&gt;=8,"Hit",J169&gt;=6,"Average",J169&lt;6,"Flop")</f>
        <v>Hit</v>
      </c>
      <c r="S169" s="9" t="str">
        <f>_xlfn.IFS(K169&gt;=400,"Blockbuster",K169&gt;=200,"Popular",K169&lt;200,"Normal")</f>
        <v>Normal</v>
      </c>
      <c r="T169" s="10" t="str">
        <f>IF(OR(I169="PG",I169="G"),"Yes","No")</f>
        <v>No</v>
      </c>
      <c r="U169" s="11" t="str">
        <f>IF(P169&gt;=100,"High","Low")</f>
        <v>High</v>
      </c>
      <c r="V169" s="28">
        <f t="shared" si="4"/>
        <v>713.3</v>
      </c>
      <c r="W169" s="29">
        <f t="shared" si="5"/>
        <v>613.16546762589917</v>
      </c>
    </row>
    <row r="170" spans="1:23" x14ac:dyDescent="0.3">
      <c r="A170" s="1" t="s">
        <v>581</v>
      </c>
      <c r="B170" s="1" t="s">
        <v>582</v>
      </c>
      <c r="C170" s="1" t="s">
        <v>46</v>
      </c>
      <c r="D170" s="1" t="s">
        <v>37</v>
      </c>
      <c r="E170" s="1">
        <v>2014</v>
      </c>
      <c r="F170" s="1" t="s">
        <v>95</v>
      </c>
      <c r="G170" s="1" t="s">
        <v>583</v>
      </c>
      <c r="H170" s="1">
        <v>54</v>
      </c>
      <c r="I170" s="1" t="s">
        <v>50</v>
      </c>
      <c r="J170" s="1">
        <v>8.5</v>
      </c>
      <c r="K170" s="1">
        <v>387.3</v>
      </c>
      <c r="L170" s="1" t="s">
        <v>41</v>
      </c>
      <c r="M170" s="1" t="s">
        <v>33</v>
      </c>
      <c r="N170" s="1" t="s">
        <v>158</v>
      </c>
      <c r="O170" s="1">
        <v>8</v>
      </c>
      <c r="P170" s="1">
        <v>142</v>
      </c>
      <c r="Q170" s="1">
        <v>659.9</v>
      </c>
      <c r="R170" s="8" t="str">
        <f>_xlfn.IFS(J170&gt;=8,"Hit",J170&gt;=6,"Average",J170&lt;6,"Flop")</f>
        <v>Hit</v>
      </c>
      <c r="S170" s="9" t="str">
        <f>_xlfn.IFS(K170&gt;=400,"Blockbuster",K170&gt;=200,"Popular",K170&lt;200,"Normal")</f>
        <v>Popular</v>
      </c>
      <c r="T170" s="10" t="str">
        <f>IF(OR(I170="PG",I170="G"),"Yes","No")</f>
        <v>Yes</v>
      </c>
      <c r="U170" s="11" t="str">
        <f>IF(P170&gt;=100,"High","Low")</f>
        <v>High</v>
      </c>
      <c r="V170" s="28">
        <f t="shared" si="4"/>
        <v>517.9</v>
      </c>
      <c r="W170" s="29">
        <f t="shared" si="5"/>
        <v>464.71830985915494</v>
      </c>
    </row>
    <row r="171" spans="1:23" x14ac:dyDescent="0.3">
      <c r="A171" s="1" t="s">
        <v>584</v>
      </c>
      <c r="B171" s="1" t="s">
        <v>585</v>
      </c>
      <c r="C171" s="1" t="s">
        <v>46</v>
      </c>
      <c r="D171" s="1" t="s">
        <v>28</v>
      </c>
      <c r="E171" s="1">
        <v>2009</v>
      </c>
      <c r="F171" s="1" t="s">
        <v>100</v>
      </c>
      <c r="G171" s="1" t="s">
        <v>586</v>
      </c>
      <c r="H171" s="1">
        <v>58</v>
      </c>
      <c r="I171" s="1" t="s">
        <v>50</v>
      </c>
      <c r="J171" s="1">
        <v>4.8</v>
      </c>
      <c r="K171" s="1">
        <v>296.8</v>
      </c>
      <c r="L171" s="1" t="s">
        <v>171</v>
      </c>
      <c r="M171" s="1" t="s">
        <v>54</v>
      </c>
      <c r="N171" s="1" t="s">
        <v>55</v>
      </c>
      <c r="O171" s="1">
        <v>6</v>
      </c>
      <c r="P171" s="1">
        <v>99</v>
      </c>
      <c r="Q171" s="1">
        <v>305.2</v>
      </c>
      <c r="R171" s="8" t="str">
        <f>_xlfn.IFS(J171&gt;=8,"Hit",J171&gt;=6,"Average",J171&lt;6,"Flop")</f>
        <v>Flop</v>
      </c>
      <c r="S171" s="9" t="str">
        <f>_xlfn.IFS(K171&gt;=400,"Blockbuster",K171&gt;=200,"Popular",K171&lt;200,"Normal")</f>
        <v>Popular</v>
      </c>
      <c r="T171" s="10" t="str">
        <f>IF(OR(I171="PG",I171="G"),"Yes","No")</f>
        <v>Yes</v>
      </c>
      <c r="U171" s="11" t="str">
        <f>IF(P171&gt;=100,"High","Low")</f>
        <v>Low</v>
      </c>
      <c r="V171" s="28">
        <f t="shared" si="4"/>
        <v>206.2</v>
      </c>
      <c r="W171" s="29">
        <f t="shared" si="5"/>
        <v>308.28282828282829</v>
      </c>
    </row>
    <row r="172" spans="1:23" x14ac:dyDescent="0.3">
      <c r="A172" s="1" t="s">
        <v>587</v>
      </c>
      <c r="B172" s="1" t="s">
        <v>588</v>
      </c>
      <c r="C172" s="1" t="s">
        <v>46</v>
      </c>
      <c r="D172" s="1" t="s">
        <v>117</v>
      </c>
      <c r="E172" s="1">
        <v>2011</v>
      </c>
      <c r="F172" s="1" t="s">
        <v>48</v>
      </c>
      <c r="G172" s="1" t="s">
        <v>461</v>
      </c>
      <c r="H172" s="1">
        <v>34</v>
      </c>
      <c r="I172" s="1" t="s">
        <v>22</v>
      </c>
      <c r="J172" s="1">
        <v>4.9000000000000004</v>
      </c>
      <c r="K172" s="1">
        <v>502</v>
      </c>
      <c r="L172" s="1" t="s">
        <v>32</v>
      </c>
      <c r="M172" s="1" t="s">
        <v>97</v>
      </c>
      <c r="N172" s="1" t="s">
        <v>119</v>
      </c>
      <c r="O172" s="1">
        <v>7</v>
      </c>
      <c r="P172" s="1">
        <v>131</v>
      </c>
      <c r="Q172" s="1">
        <v>446.3</v>
      </c>
      <c r="R172" s="8" t="str">
        <f>_xlfn.IFS(J172&gt;=8,"Hit",J172&gt;=6,"Average",J172&lt;6,"Flop")</f>
        <v>Flop</v>
      </c>
      <c r="S172" s="9" t="str">
        <f>_xlfn.IFS(K172&gt;=400,"Blockbuster",K172&gt;=200,"Popular",K172&lt;200,"Normal")</f>
        <v>Blockbuster</v>
      </c>
      <c r="T172" s="10" t="str">
        <f>IF(OR(I172="PG",I172="G"),"Yes","No")</f>
        <v>No</v>
      </c>
      <c r="U172" s="11" t="str">
        <f>IF(P172&gt;=100,"High","Low")</f>
        <v>High</v>
      </c>
      <c r="V172" s="28">
        <f t="shared" si="4"/>
        <v>315.3</v>
      </c>
      <c r="W172" s="29">
        <f t="shared" si="5"/>
        <v>340.6870229007634</v>
      </c>
    </row>
    <row r="173" spans="1:23" x14ac:dyDescent="0.3">
      <c r="A173" s="1" t="s">
        <v>589</v>
      </c>
      <c r="B173" s="1" t="s">
        <v>590</v>
      </c>
      <c r="C173" s="1" t="s">
        <v>18</v>
      </c>
      <c r="D173" s="1" t="s">
        <v>75</v>
      </c>
      <c r="E173" s="1">
        <v>2023</v>
      </c>
      <c r="F173" s="1" t="s">
        <v>181</v>
      </c>
      <c r="G173" s="1" t="s">
        <v>591</v>
      </c>
      <c r="H173" s="1">
        <v>137</v>
      </c>
      <c r="I173" s="1" t="s">
        <v>110</v>
      </c>
      <c r="J173" s="1">
        <v>7</v>
      </c>
      <c r="K173" s="1">
        <v>187.2</v>
      </c>
      <c r="L173" s="1" t="s">
        <v>65</v>
      </c>
      <c r="M173" s="1" t="s">
        <v>78</v>
      </c>
      <c r="N173" s="1" t="s">
        <v>86</v>
      </c>
      <c r="O173" s="1"/>
      <c r="P173" s="1">
        <v>110</v>
      </c>
      <c r="Q173" s="1">
        <v>628.29999999999995</v>
      </c>
      <c r="R173" s="8" t="str">
        <f>_xlfn.IFS(J173&gt;=8,"Hit",J173&gt;=6,"Average",J173&lt;6,"Flop")</f>
        <v>Average</v>
      </c>
      <c r="S173" s="9" t="str">
        <f>_xlfn.IFS(K173&gt;=400,"Blockbuster",K173&gt;=200,"Popular",K173&lt;200,"Normal")</f>
        <v>Normal</v>
      </c>
      <c r="T173" s="10" t="str">
        <f>IF(OR(I173="PG",I173="G"),"Yes","No")</f>
        <v>No</v>
      </c>
      <c r="U173" s="11" t="str">
        <f>IF(P173&gt;=100,"High","Low")</f>
        <v>High</v>
      </c>
      <c r="V173" s="28">
        <f t="shared" si="4"/>
        <v>518.29999999999995</v>
      </c>
      <c r="W173" s="29">
        <f t="shared" si="5"/>
        <v>571.18181818181813</v>
      </c>
    </row>
    <row r="174" spans="1:23" x14ac:dyDescent="0.3">
      <c r="A174" s="1" t="s">
        <v>592</v>
      </c>
      <c r="B174" s="1" t="s">
        <v>593</v>
      </c>
      <c r="C174" s="1" t="s">
        <v>46</v>
      </c>
      <c r="D174" s="1" t="s">
        <v>94</v>
      </c>
      <c r="E174" s="1">
        <v>2022</v>
      </c>
      <c r="F174" s="1" t="s">
        <v>29</v>
      </c>
      <c r="G174" s="1" t="s">
        <v>594</v>
      </c>
      <c r="H174" s="1">
        <v>47</v>
      </c>
      <c r="I174" s="1" t="s">
        <v>40</v>
      </c>
      <c r="J174" s="1">
        <v>7.7</v>
      </c>
      <c r="K174" s="1">
        <v>570.5</v>
      </c>
      <c r="L174" s="1" t="s">
        <v>23</v>
      </c>
      <c r="M174" s="1" t="s">
        <v>124</v>
      </c>
      <c r="N174" s="1" t="s">
        <v>153</v>
      </c>
      <c r="O174" s="1">
        <v>5</v>
      </c>
      <c r="P174" s="1">
        <v>128</v>
      </c>
      <c r="Q174" s="1">
        <v>724.1</v>
      </c>
      <c r="R174" s="8" t="str">
        <f>_xlfn.IFS(J174&gt;=8,"Hit",J174&gt;=6,"Average",J174&lt;6,"Flop")</f>
        <v>Average</v>
      </c>
      <c r="S174" s="9" t="str">
        <f>_xlfn.IFS(K174&gt;=400,"Blockbuster",K174&gt;=200,"Popular",K174&lt;200,"Normal")</f>
        <v>Blockbuster</v>
      </c>
      <c r="T174" s="10" t="str">
        <f>IF(OR(I174="PG",I174="G"),"Yes","No")</f>
        <v>Yes</v>
      </c>
      <c r="U174" s="11" t="str">
        <f>IF(P174&gt;=100,"High","Low")</f>
        <v>High</v>
      </c>
      <c r="V174" s="28">
        <f t="shared" si="4"/>
        <v>596.1</v>
      </c>
      <c r="W174" s="29">
        <f t="shared" si="5"/>
        <v>565.703125</v>
      </c>
    </row>
    <row r="175" spans="1:23" x14ac:dyDescent="0.3">
      <c r="A175" s="1" t="s">
        <v>595</v>
      </c>
      <c r="B175" s="1" t="s">
        <v>596</v>
      </c>
      <c r="C175" s="1" t="s">
        <v>46</v>
      </c>
      <c r="D175" s="1" t="s">
        <v>141</v>
      </c>
      <c r="E175" s="1">
        <v>2015</v>
      </c>
      <c r="F175" s="1" t="s">
        <v>100</v>
      </c>
      <c r="G175" s="1" t="s">
        <v>597</v>
      </c>
      <c r="H175" s="1">
        <v>47</v>
      </c>
      <c r="I175" s="1" t="s">
        <v>50</v>
      </c>
      <c r="J175" s="1">
        <v>6</v>
      </c>
      <c r="K175" s="1">
        <v>143.30000000000001</v>
      </c>
      <c r="L175" s="1" t="s">
        <v>90</v>
      </c>
      <c r="M175" s="1" t="s">
        <v>132</v>
      </c>
      <c r="N175" s="1" t="s">
        <v>178</v>
      </c>
      <c r="O175" s="1">
        <v>5</v>
      </c>
      <c r="P175" s="1">
        <v>5</v>
      </c>
      <c r="Q175" s="1">
        <v>9.6</v>
      </c>
      <c r="R175" s="8" t="str">
        <f>_xlfn.IFS(J175&gt;=8,"Hit",J175&gt;=6,"Average",J175&lt;6,"Flop")</f>
        <v>Average</v>
      </c>
      <c r="S175" s="9" t="str">
        <f>_xlfn.IFS(K175&gt;=400,"Blockbuster",K175&gt;=200,"Popular",K175&lt;200,"Normal")</f>
        <v>Normal</v>
      </c>
      <c r="T175" s="10" t="str">
        <f>IF(OR(I175="PG",I175="G"),"Yes","No")</f>
        <v>Yes</v>
      </c>
      <c r="U175" s="11" t="str">
        <f>IF(P175&gt;=100,"High","Low")</f>
        <v>Low</v>
      </c>
      <c r="V175" s="28">
        <f t="shared" si="4"/>
        <v>4.5999999999999996</v>
      </c>
      <c r="W175" s="29">
        <f t="shared" si="5"/>
        <v>192</v>
      </c>
    </row>
    <row r="176" spans="1:23" x14ac:dyDescent="0.3">
      <c r="A176" s="1" t="s">
        <v>598</v>
      </c>
      <c r="B176" s="1" t="s">
        <v>599</v>
      </c>
      <c r="C176" s="1" t="s">
        <v>18</v>
      </c>
      <c r="D176" s="1" t="s">
        <v>117</v>
      </c>
      <c r="E176" s="1">
        <v>2005</v>
      </c>
      <c r="F176" s="1" t="s">
        <v>29</v>
      </c>
      <c r="G176" s="1" t="s">
        <v>600</v>
      </c>
      <c r="H176" s="1">
        <v>171</v>
      </c>
      <c r="I176" s="1" t="s">
        <v>22</v>
      </c>
      <c r="J176" s="1">
        <v>4.7</v>
      </c>
      <c r="K176" s="1">
        <v>60.5</v>
      </c>
      <c r="L176" s="1" t="s">
        <v>32</v>
      </c>
      <c r="M176" s="1" t="s">
        <v>24</v>
      </c>
      <c r="N176" s="1" t="s">
        <v>158</v>
      </c>
      <c r="O176" s="1"/>
      <c r="P176" s="1">
        <v>73</v>
      </c>
      <c r="Q176" s="1">
        <v>148.5</v>
      </c>
      <c r="R176" s="8" t="str">
        <f>_xlfn.IFS(J176&gt;=8,"Hit",J176&gt;=6,"Average",J176&lt;6,"Flop")</f>
        <v>Flop</v>
      </c>
      <c r="S176" s="9" t="str">
        <f>_xlfn.IFS(K176&gt;=400,"Blockbuster",K176&gt;=200,"Popular",K176&lt;200,"Normal")</f>
        <v>Normal</v>
      </c>
      <c r="T176" s="10" t="str">
        <f>IF(OR(I176="PG",I176="G"),"Yes","No")</f>
        <v>No</v>
      </c>
      <c r="U176" s="11" t="str">
        <f>IF(P176&gt;=100,"High","Low")</f>
        <v>Low</v>
      </c>
      <c r="V176" s="28">
        <f t="shared" si="4"/>
        <v>75.5</v>
      </c>
      <c r="W176" s="29">
        <f t="shared" si="5"/>
        <v>203.42465753424656</v>
      </c>
    </row>
    <row r="177" spans="1:23" x14ac:dyDescent="0.3">
      <c r="A177" s="1" t="s">
        <v>601</v>
      </c>
      <c r="B177" s="1" t="s">
        <v>602</v>
      </c>
      <c r="C177" s="1" t="s">
        <v>18</v>
      </c>
      <c r="D177" s="1" t="s">
        <v>58</v>
      </c>
      <c r="E177" s="1">
        <v>2019</v>
      </c>
      <c r="F177" s="1" t="s">
        <v>38</v>
      </c>
      <c r="G177" s="1" t="s">
        <v>603</v>
      </c>
      <c r="H177" s="1">
        <v>150</v>
      </c>
      <c r="I177" s="1" t="s">
        <v>22</v>
      </c>
      <c r="J177" s="1">
        <v>8.1999999999999993</v>
      </c>
      <c r="K177" s="1">
        <v>395.9</v>
      </c>
      <c r="L177" s="1" t="s">
        <v>90</v>
      </c>
      <c r="M177" s="1" t="s">
        <v>66</v>
      </c>
      <c r="N177" s="1" t="s">
        <v>60</v>
      </c>
      <c r="O177" s="1"/>
      <c r="P177" s="1">
        <v>17</v>
      </c>
      <c r="Q177" s="1">
        <v>93.6</v>
      </c>
      <c r="R177" s="8" t="str">
        <f>_xlfn.IFS(J177&gt;=8,"Hit",J177&gt;=6,"Average",J177&lt;6,"Flop")</f>
        <v>Hit</v>
      </c>
      <c r="S177" s="9" t="str">
        <f>_xlfn.IFS(K177&gt;=400,"Blockbuster",K177&gt;=200,"Popular",K177&lt;200,"Normal")</f>
        <v>Popular</v>
      </c>
      <c r="T177" s="10" t="str">
        <f>IF(OR(I177="PG",I177="G"),"Yes","No")</f>
        <v>No</v>
      </c>
      <c r="U177" s="11" t="str">
        <f>IF(P177&gt;=100,"High","Low")</f>
        <v>Low</v>
      </c>
      <c r="V177" s="28">
        <f t="shared" si="4"/>
        <v>76.599999999999994</v>
      </c>
      <c r="W177" s="29">
        <f t="shared" si="5"/>
        <v>550.58823529411768</v>
      </c>
    </row>
    <row r="178" spans="1:23" x14ac:dyDescent="0.3">
      <c r="A178" s="1" t="s">
        <v>604</v>
      </c>
      <c r="B178" s="1" t="s">
        <v>605</v>
      </c>
      <c r="C178" s="1" t="s">
        <v>46</v>
      </c>
      <c r="D178" s="1" t="s">
        <v>75</v>
      </c>
      <c r="E178" s="1">
        <v>2025</v>
      </c>
      <c r="F178" s="1" t="s">
        <v>181</v>
      </c>
      <c r="G178" s="1" t="s">
        <v>606</v>
      </c>
      <c r="H178" s="1">
        <v>40</v>
      </c>
      <c r="I178" s="1" t="s">
        <v>31</v>
      </c>
      <c r="J178" s="1">
        <v>6</v>
      </c>
      <c r="K178" s="1">
        <v>95.1</v>
      </c>
      <c r="L178" s="1" t="s">
        <v>41</v>
      </c>
      <c r="M178" s="1" t="s">
        <v>54</v>
      </c>
      <c r="N178" s="1" t="s">
        <v>153</v>
      </c>
      <c r="O178" s="1">
        <v>7</v>
      </c>
      <c r="P178" s="1">
        <v>122</v>
      </c>
      <c r="Q178" s="1">
        <v>280.5</v>
      </c>
      <c r="R178" s="8" t="str">
        <f>_xlfn.IFS(J178&gt;=8,"Hit",J178&gt;=6,"Average",J178&lt;6,"Flop")</f>
        <v>Average</v>
      </c>
      <c r="S178" s="9" t="str">
        <f>_xlfn.IFS(K178&gt;=400,"Blockbuster",K178&gt;=200,"Popular",K178&lt;200,"Normal")</f>
        <v>Normal</v>
      </c>
      <c r="T178" s="10" t="str">
        <f>IF(OR(I178="PG",I178="G"),"Yes","No")</f>
        <v>No</v>
      </c>
      <c r="U178" s="11" t="str">
        <f>IF(P178&gt;=100,"High","Low")</f>
        <v>High</v>
      </c>
      <c r="V178" s="28">
        <f t="shared" si="4"/>
        <v>158.5</v>
      </c>
      <c r="W178" s="29">
        <f t="shared" si="5"/>
        <v>229.91803278688522</v>
      </c>
    </row>
    <row r="179" spans="1:23" x14ac:dyDescent="0.3">
      <c r="A179" s="1" t="s">
        <v>607</v>
      </c>
      <c r="B179" s="1" t="s">
        <v>608</v>
      </c>
      <c r="C179" s="1" t="s">
        <v>46</v>
      </c>
      <c r="D179" s="1" t="s">
        <v>63</v>
      </c>
      <c r="E179" s="1">
        <v>2016</v>
      </c>
      <c r="F179" s="1" t="s">
        <v>38</v>
      </c>
      <c r="G179" s="1" t="s">
        <v>609</v>
      </c>
      <c r="H179" s="1">
        <v>40</v>
      </c>
      <c r="I179" s="1" t="s">
        <v>50</v>
      </c>
      <c r="J179" s="1">
        <v>5.0999999999999996</v>
      </c>
      <c r="K179" s="1">
        <v>319.5</v>
      </c>
      <c r="L179" s="1" t="s">
        <v>171</v>
      </c>
      <c r="M179" s="1" t="s">
        <v>157</v>
      </c>
      <c r="N179" s="1" t="s">
        <v>34</v>
      </c>
      <c r="O179" s="1">
        <v>5</v>
      </c>
      <c r="P179" s="1">
        <v>175</v>
      </c>
      <c r="Q179" s="1">
        <v>569.6</v>
      </c>
      <c r="R179" s="8" t="str">
        <f>_xlfn.IFS(J179&gt;=8,"Hit",J179&gt;=6,"Average",J179&lt;6,"Flop")</f>
        <v>Flop</v>
      </c>
      <c r="S179" s="9" t="str">
        <f>_xlfn.IFS(K179&gt;=400,"Blockbuster",K179&gt;=200,"Popular",K179&lt;200,"Normal")</f>
        <v>Popular</v>
      </c>
      <c r="T179" s="10" t="str">
        <f>IF(OR(I179="PG",I179="G"),"Yes","No")</f>
        <v>Yes</v>
      </c>
      <c r="U179" s="11" t="str">
        <f>IF(P179&gt;=100,"High","Low")</f>
        <v>High</v>
      </c>
      <c r="V179" s="28">
        <f t="shared" si="4"/>
        <v>394.6</v>
      </c>
      <c r="W179" s="29">
        <f t="shared" si="5"/>
        <v>325.48571428571427</v>
      </c>
    </row>
    <row r="180" spans="1:23" x14ac:dyDescent="0.3">
      <c r="A180" s="1" t="s">
        <v>610</v>
      </c>
      <c r="B180" s="1" t="s">
        <v>611</v>
      </c>
      <c r="C180" s="1" t="s">
        <v>46</v>
      </c>
      <c r="D180" s="1" t="s">
        <v>141</v>
      </c>
      <c r="E180" s="1">
        <v>2019</v>
      </c>
      <c r="F180" s="1" t="s">
        <v>38</v>
      </c>
      <c r="G180" s="1" t="s">
        <v>612</v>
      </c>
      <c r="H180" s="1">
        <v>58</v>
      </c>
      <c r="I180" s="1" t="s">
        <v>110</v>
      </c>
      <c r="J180" s="1">
        <v>7.9</v>
      </c>
      <c r="K180" s="1">
        <v>167.9</v>
      </c>
      <c r="L180" s="1" t="s">
        <v>32</v>
      </c>
      <c r="M180" s="1" t="s">
        <v>111</v>
      </c>
      <c r="N180" s="1" t="s">
        <v>25</v>
      </c>
      <c r="O180" s="1">
        <v>6</v>
      </c>
      <c r="P180" s="1">
        <v>10</v>
      </c>
      <c r="Q180" s="1">
        <v>30.3</v>
      </c>
      <c r="R180" s="8" t="str">
        <f>_xlfn.IFS(J180&gt;=8,"Hit",J180&gt;=6,"Average",J180&lt;6,"Flop")</f>
        <v>Average</v>
      </c>
      <c r="S180" s="9" t="str">
        <f>_xlfn.IFS(K180&gt;=400,"Blockbuster",K180&gt;=200,"Popular",K180&lt;200,"Normal")</f>
        <v>Normal</v>
      </c>
      <c r="T180" s="10" t="str">
        <f>IF(OR(I180="PG",I180="G"),"Yes","No")</f>
        <v>No</v>
      </c>
      <c r="U180" s="11" t="str">
        <f>IF(P180&gt;=100,"High","Low")</f>
        <v>Low</v>
      </c>
      <c r="V180" s="28">
        <f t="shared" si="4"/>
        <v>20.3</v>
      </c>
      <c r="W180" s="29">
        <f t="shared" si="5"/>
        <v>303</v>
      </c>
    </row>
    <row r="181" spans="1:23" x14ac:dyDescent="0.3">
      <c r="A181" s="1" t="s">
        <v>613</v>
      </c>
      <c r="B181" s="1" t="s">
        <v>614</v>
      </c>
      <c r="C181" s="1" t="s">
        <v>46</v>
      </c>
      <c r="D181" s="1" t="s">
        <v>58</v>
      </c>
      <c r="E181" s="1">
        <v>2009</v>
      </c>
      <c r="F181" s="1" t="s">
        <v>83</v>
      </c>
      <c r="G181" s="1" t="s">
        <v>615</v>
      </c>
      <c r="H181" s="1">
        <v>59</v>
      </c>
      <c r="I181" s="1" t="s">
        <v>31</v>
      </c>
      <c r="J181" s="1">
        <v>6.1</v>
      </c>
      <c r="K181" s="1">
        <v>211.5</v>
      </c>
      <c r="L181" s="1" t="s">
        <v>171</v>
      </c>
      <c r="M181" s="1" t="s">
        <v>24</v>
      </c>
      <c r="N181" s="1" t="s">
        <v>67</v>
      </c>
      <c r="O181" s="1">
        <v>5</v>
      </c>
      <c r="P181" s="1">
        <v>195</v>
      </c>
      <c r="Q181" s="1">
        <v>544</v>
      </c>
      <c r="R181" s="8" t="str">
        <f>_xlfn.IFS(J181&gt;=8,"Hit",J181&gt;=6,"Average",J181&lt;6,"Flop")</f>
        <v>Average</v>
      </c>
      <c r="S181" s="9" t="str">
        <f>_xlfn.IFS(K181&gt;=400,"Blockbuster",K181&gt;=200,"Popular",K181&lt;200,"Normal")</f>
        <v>Popular</v>
      </c>
      <c r="T181" s="10" t="str">
        <f>IF(OR(I181="PG",I181="G"),"Yes","No")</f>
        <v>No</v>
      </c>
      <c r="U181" s="11" t="str">
        <f>IF(P181&gt;=100,"High","Low")</f>
        <v>High</v>
      </c>
      <c r="V181" s="28">
        <f t="shared" si="4"/>
        <v>349</v>
      </c>
      <c r="W181" s="29">
        <f t="shared" si="5"/>
        <v>278.97435897435895</v>
      </c>
    </row>
    <row r="182" spans="1:23" x14ac:dyDescent="0.3">
      <c r="A182" s="1" t="s">
        <v>616</v>
      </c>
      <c r="B182" s="1" t="s">
        <v>617</v>
      </c>
      <c r="C182" s="1" t="s">
        <v>18</v>
      </c>
      <c r="D182" s="1" t="s">
        <v>75</v>
      </c>
      <c r="E182" s="1">
        <v>2007</v>
      </c>
      <c r="F182" s="1" t="s">
        <v>76</v>
      </c>
      <c r="G182" s="1" t="s">
        <v>618</v>
      </c>
      <c r="H182" s="1">
        <v>176</v>
      </c>
      <c r="I182" s="1" t="s">
        <v>110</v>
      </c>
      <c r="J182" s="1">
        <v>5.4</v>
      </c>
      <c r="K182" s="1">
        <v>73.8</v>
      </c>
      <c r="L182" s="1" t="s">
        <v>171</v>
      </c>
      <c r="M182" s="1" t="s">
        <v>72</v>
      </c>
      <c r="N182" s="1" t="s">
        <v>102</v>
      </c>
      <c r="O182" s="1"/>
      <c r="P182" s="1">
        <v>124</v>
      </c>
      <c r="Q182" s="1">
        <v>368.4</v>
      </c>
      <c r="R182" s="8" t="str">
        <f>_xlfn.IFS(J182&gt;=8,"Hit",J182&gt;=6,"Average",J182&lt;6,"Flop")</f>
        <v>Flop</v>
      </c>
      <c r="S182" s="9" t="str">
        <f>_xlfn.IFS(K182&gt;=400,"Blockbuster",K182&gt;=200,"Popular",K182&lt;200,"Normal")</f>
        <v>Normal</v>
      </c>
      <c r="T182" s="10" t="str">
        <f>IF(OR(I182="PG",I182="G"),"Yes","No")</f>
        <v>No</v>
      </c>
      <c r="U182" s="11" t="str">
        <f>IF(P182&gt;=100,"High","Low")</f>
        <v>High</v>
      </c>
      <c r="V182" s="28">
        <f t="shared" si="4"/>
        <v>244.39999999999998</v>
      </c>
      <c r="W182" s="29">
        <f t="shared" si="5"/>
        <v>297.09677419354836</v>
      </c>
    </row>
    <row r="183" spans="1:23" x14ac:dyDescent="0.3">
      <c r="A183" s="1" t="s">
        <v>619</v>
      </c>
      <c r="B183" s="1" t="s">
        <v>620</v>
      </c>
      <c r="C183" s="1" t="s">
        <v>46</v>
      </c>
      <c r="D183" s="1" t="s">
        <v>141</v>
      </c>
      <c r="E183" s="1">
        <v>2003</v>
      </c>
      <c r="F183" s="1" t="s">
        <v>181</v>
      </c>
      <c r="G183" s="1" t="s">
        <v>621</v>
      </c>
      <c r="H183" s="1">
        <v>47</v>
      </c>
      <c r="I183" s="1" t="s">
        <v>22</v>
      </c>
      <c r="J183" s="1">
        <v>6.4</v>
      </c>
      <c r="K183" s="1">
        <v>287.60000000000002</v>
      </c>
      <c r="L183" s="1" t="s">
        <v>90</v>
      </c>
      <c r="M183" s="1" t="s">
        <v>106</v>
      </c>
      <c r="N183" s="1" t="s">
        <v>55</v>
      </c>
      <c r="O183" s="1">
        <v>8</v>
      </c>
      <c r="P183" s="1">
        <v>135</v>
      </c>
      <c r="Q183" s="1">
        <v>758.9</v>
      </c>
      <c r="R183" s="8" t="str">
        <f>_xlfn.IFS(J183&gt;=8,"Hit",J183&gt;=6,"Average",J183&lt;6,"Flop")</f>
        <v>Average</v>
      </c>
      <c r="S183" s="9" t="str">
        <f>_xlfn.IFS(K183&gt;=400,"Blockbuster",K183&gt;=200,"Popular",K183&lt;200,"Normal")</f>
        <v>Popular</v>
      </c>
      <c r="T183" s="10" t="str">
        <f>IF(OR(I183="PG",I183="G"),"Yes","No")</f>
        <v>No</v>
      </c>
      <c r="U183" s="11" t="str">
        <f>IF(P183&gt;=100,"High","Low")</f>
        <v>High</v>
      </c>
      <c r="V183" s="28">
        <f t="shared" si="4"/>
        <v>623.9</v>
      </c>
      <c r="W183" s="29">
        <f t="shared" si="5"/>
        <v>562.14814814814815</v>
      </c>
    </row>
    <row r="184" spans="1:23" x14ac:dyDescent="0.3">
      <c r="A184" s="1" t="s">
        <v>622</v>
      </c>
      <c r="B184" s="1" t="s">
        <v>623</v>
      </c>
      <c r="C184" s="1" t="s">
        <v>46</v>
      </c>
      <c r="D184" s="1" t="s">
        <v>19</v>
      </c>
      <c r="E184" s="1">
        <v>2010</v>
      </c>
      <c r="F184" s="1" t="s">
        <v>48</v>
      </c>
      <c r="G184" s="1" t="s">
        <v>624</v>
      </c>
      <c r="H184" s="1">
        <v>52</v>
      </c>
      <c r="I184" s="1" t="s">
        <v>31</v>
      </c>
      <c r="J184" s="1">
        <v>5.9</v>
      </c>
      <c r="K184" s="1">
        <v>231.6</v>
      </c>
      <c r="L184" s="1" t="s">
        <v>41</v>
      </c>
      <c r="M184" s="1" t="s">
        <v>66</v>
      </c>
      <c r="N184" s="1" t="s">
        <v>25</v>
      </c>
      <c r="O184" s="1">
        <v>7</v>
      </c>
      <c r="P184" s="1">
        <v>135</v>
      </c>
      <c r="Q184" s="1">
        <v>727.7</v>
      </c>
      <c r="R184" s="8" t="str">
        <f>_xlfn.IFS(J184&gt;=8,"Hit",J184&gt;=6,"Average",J184&lt;6,"Flop")</f>
        <v>Flop</v>
      </c>
      <c r="S184" s="9" t="str">
        <f>_xlfn.IFS(K184&gt;=400,"Blockbuster",K184&gt;=200,"Popular",K184&lt;200,"Normal")</f>
        <v>Popular</v>
      </c>
      <c r="T184" s="10" t="str">
        <f>IF(OR(I184="PG",I184="G"),"Yes","No")</f>
        <v>No</v>
      </c>
      <c r="U184" s="11" t="str">
        <f>IF(P184&gt;=100,"High","Low")</f>
        <v>High</v>
      </c>
      <c r="V184" s="28">
        <f t="shared" si="4"/>
        <v>592.70000000000005</v>
      </c>
      <c r="W184" s="29">
        <f t="shared" si="5"/>
        <v>539.03703703703707</v>
      </c>
    </row>
    <row r="185" spans="1:23" x14ac:dyDescent="0.3">
      <c r="A185" s="1" t="s">
        <v>625</v>
      </c>
      <c r="B185" s="1" t="s">
        <v>626</v>
      </c>
      <c r="C185" s="1" t="s">
        <v>18</v>
      </c>
      <c r="D185" s="1" t="s">
        <v>82</v>
      </c>
      <c r="E185" s="1">
        <v>2007</v>
      </c>
      <c r="F185" s="1" t="s">
        <v>95</v>
      </c>
      <c r="G185" s="1" t="s">
        <v>627</v>
      </c>
      <c r="H185" s="1">
        <v>96</v>
      </c>
      <c r="I185" s="1" t="s">
        <v>110</v>
      </c>
      <c r="J185" s="1">
        <v>8</v>
      </c>
      <c r="K185" s="1">
        <v>517</v>
      </c>
      <c r="L185" s="1" t="s">
        <v>171</v>
      </c>
      <c r="M185" s="1" t="s">
        <v>66</v>
      </c>
      <c r="N185" s="1" t="s">
        <v>60</v>
      </c>
      <c r="O185" s="1"/>
      <c r="P185" s="1">
        <v>22</v>
      </c>
      <c r="Q185" s="1">
        <v>37.6</v>
      </c>
      <c r="R185" s="8" t="str">
        <f>_xlfn.IFS(J185&gt;=8,"Hit",J185&gt;=6,"Average",J185&lt;6,"Flop")</f>
        <v>Hit</v>
      </c>
      <c r="S185" s="9" t="str">
        <f>_xlfn.IFS(K185&gt;=400,"Blockbuster",K185&gt;=200,"Popular",K185&lt;200,"Normal")</f>
        <v>Blockbuster</v>
      </c>
      <c r="T185" s="10" t="str">
        <f>IF(OR(I185="PG",I185="G"),"Yes","No")</f>
        <v>No</v>
      </c>
      <c r="U185" s="11" t="str">
        <f>IF(P185&gt;=100,"High","Low")</f>
        <v>Low</v>
      </c>
      <c r="V185" s="28">
        <f t="shared" si="4"/>
        <v>15.600000000000001</v>
      </c>
      <c r="W185" s="29">
        <f t="shared" si="5"/>
        <v>170.90909090909093</v>
      </c>
    </row>
    <row r="186" spans="1:23" x14ac:dyDescent="0.3">
      <c r="A186" s="1" t="s">
        <v>628</v>
      </c>
      <c r="B186" s="1" t="s">
        <v>629</v>
      </c>
      <c r="C186" s="1" t="s">
        <v>46</v>
      </c>
      <c r="D186" s="1" t="s">
        <v>141</v>
      </c>
      <c r="E186" s="1">
        <v>2014</v>
      </c>
      <c r="F186" s="1" t="s">
        <v>95</v>
      </c>
      <c r="G186" s="1" t="s">
        <v>630</v>
      </c>
      <c r="H186" s="1">
        <v>53</v>
      </c>
      <c r="I186" s="1" t="s">
        <v>31</v>
      </c>
      <c r="J186" s="1">
        <v>6.3</v>
      </c>
      <c r="K186" s="1">
        <v>442.9</v>
      </c>
      <c r="L186" s="1" t="s">
        <v>90</v>
      </c>
      <c r="M186" s="1" t="s">
        <v>157</v>
      </c>
      <c r="N186" s="1" t="s">
        <v>128</v>
      </c>
      <c r="O186" s="1">
        <v>7</v>
      </c>
      <c r="P186" s="1">
        <v>156</v>
      </c>
      <c r="Q186" s="1">
        <v>852.6</v>
      </c>
      <c r="R186" s="8" t="str">
        <f>_xlfn.IFS(J186&gt;=8,"Hit",J186&gt;=6,"Average",J186&lt;6,"Flop")</f>
        <v>Average</v>
      </c>
      <c r="S186" s="9" t="str">
        <f>_xlfn.IFS(K186&gt;=400,"Blockbuster",K186&gt;=200,"Popular",K186&lt;200,"Normal")</f>
        <v>Blockbuster</v>
      </c>
      <c r="T186" s="10" t="str">
        <f>IF(OR(I186="PG",I186="G"),"Yes","No")</f>
        <v>No</v>
      </c>
      <c r="U186" s="11" t="str">
        <f>IF(P186&gt;=100,"High","Low")</f>
        <v>High</v>
      </c>
      <c r="V186" s="28">
        <f t="shared" si="4"/>
        <v>696.6</v>
      </c>
      <c r="W186" s="29">
        <f t="shared" si="5"/>
        <v>546.53846153846155</v>
      </c>
    </row>
    <row r="187" spans="1:23" x14ac:dyDescent="0.3">
      <c r="A187" s="1" t="s">
        <v>631</v>
      </c>
      <c r="B187" s="1" t="s">
        <v>632</v>
      </c>
      <c r="C187" s="1" t="s">
        <v>18</v>
      </c>
      <c r="D187" s="1" t="s">
        <v>82</v>
      </c>
      <c r="E187" s="1">
        <v>2021</v>
      </c>
      <c r="F187" s="1" t="s">
        <v>20</v>
      </c>
      <c r="G187" s="1" t="s">
        <v>633</v>
      </c>
      <c r="H187" s="1">
        <v>108</v>
      </c>
      <c r="I187" s="1" t="s">
        <v>40</v>
      </c>
      <c r="J187" s="1">
        <v>8.3000000000000007</v>
      </c>
      <c r="K187" s="1">
        <v>268.7</v>
      </c>
      <c r="L187" s="1" t="s">
        <v>90</v>
      </c>
      <c r="M187" s="1" t="s">
        <v>85</v>
      </c>
      <c r="N187" s="1" t="s">
        <v>91</v>
      </c>
      <c r="O187" s="1"/>
      <c r="P187" s="1">
        <v>83</v>
      </c>
      <c r="Q187" s="1">
        <v>505.2</v>
      </c>
      <c r="R187" s="8" t="str">
        <f>_xlfn.IFS(J187&gt;=8,"Hit",J187&gt;=6,"Average",J187&lt;6,"Flop")</f>
        <v>Hit</v>
      </c>
      <c r="S187" s="9" t="str">
        <f>_xlfn.IFS(K187&gt;=400,"Blockbuster",K187&gt;=200,"Popular",K187&lt;200,"Normal")</f>
        <v>Popular</v>
      </c>
      <c r="T187" s="10" t="str">
        <f>IF(OR(I187="PG",I187="G"),"Yes","No")</f>
        <v>Yes</v>
      </c>
      <c r="U187" s="11" t="str">
        <f>IF(P187&gt;=100,"High","Low")</f>
        <v>Low</v>
      </c>
      <c r="V187" s="28">
        <f t="shared" si="4"/>
        <v>422.2</v>
      </c>
      <c r="W187" s="29">
        <f t="shared" si="5"/>
        <v>608.67469879518069</v>
      </c>
    </row>
    <row r="188" spans="1:23" x14ac:dyDescent="0.3">
      <c r="A188" s="1" t="s">
        <v>634</v>
      </c>
      <c r="B188" s="1" t="s">
        <v>635</v>
      </c>
      <c r="C188" s="1" t="s">
        <v>18</v>
      </c>
      <c r="D188" s="1" t="s">
        <v>75</v>
      </c>
      <c r="E188" s="1">
        <v>2019</v>
      </c>
      <c r="F188" s="1" t="s">
        <v>122</v>
      </c>
      <c r="G188" s="1" t="s">
        <v>636</v>
      </c>
      <c r="H188" s="1">
        <v>176</v>
      </c>
      <c r="I188" s="1" t="s">
        <v>50</v>
      </c>
      <c r="J188" s="1">
        <v>7.1</v>
      </c>
      <c r="K188" s="1">
        <v>392.4</v>
      </c>
      <c r="L188" s="1" t="s">
        <v>41</v>
      </c>
      <c r="M188" s="1" t="s">
        <v>146</v>
      </c>
      <c r="N188" s="1" t="s">
        <v>128</v>
      </c>
      <c r="O188" s="1"/>
      <c r="P188" s="1">
        <v>200</v>
      </c>
      <c r="Q188" s="1">
        <v>687.7</v>
      </c>
      <c r="R188" s="8" t="str">
        <f>_xlfn.IFS(J188&gt;=8,"Hit",J188&gt;=6,"Average",J188&lt;6,"Flop")</f>
        <v>Average</v>
      </c>
      <c r="S188" s="9" t="str">
        <f>_xlfn.IFS(K188&gt;=400,"Blockbuster",K188&gt;=200,"Popular",K188&lt;200,"Normal")</f>
        <v>Popular</v>
      </c>
      <c r="T188" s="10" t="str">
        <f>IF(OR(I188="PG",I188="G"),"Yes","No")</f>
        <v>Yes</v>
      </c>
      <c r="U188" s="11" t="str">
        <f>IF(P188&gt;=100,"High","Low")</f>
        <v>High</v>
      </c>
      <c r="V188" s="28">
        <f t="shared" si="4"/>
        <v>487.70000000000005</v>
      </c>
      <c r="W188" s="29">
        <f t="shared" si="5"/>
        <v>343.85</v>
      </c>
    </row>
    <row r="189" spans="1:23" x14ac:dyDescent="0.3">
      <c r="A189" s="1" t="s">
        <v>637</v>
      </c>
      <c r="B189" s="1" t="s">
        <v>638</v>
      </c>
      <c r="C189" s="1" t="s">
        <v>46</v>
      </c>
      <c r="D189" s="1" t="s">
        <v>28</v>
      </c>
      <c r="E189" s="1">
        <v>2006</v>
      </c>
      <c r="F189" s="1" t="s">
        <v>29</v>
      </c>
      <c r="G189" s="1" t="s">
        <v>639</v>
      </c>
      <c r="H189" s="1">
        <v>37</v>
      </c>
      <c r="I189" s="1" t="s">
        <v>110</v>
      </c>
      <c r="J189" s="1">
        <v>7.5</v>
      </c>
      <c r="K189" s="1">
        <v>251.4</v>
      </c>
      <c r="L189" s="1" t="s">
        <v>32</v>
      </c>
      <c r="M189" s="1" t="s">
        <v>85</v>
      </c>
      <c r="N189" s="1" t="s">
        <v>34</v>
      </c>
      <c r="O189" s="1">
        <v>2</v>
      </c>
      <c r="P189" s="1">
        <v>190</v>
      </c>
      <c r="Q189" s="1">
        <v>1023.7</v>
      </c>
      <c r="R189" s="8" t="str">
        <f>_xlfn.IFS(J189&gt;=8,"Hit",J189&gt;=6,"Average",J189&lt;6,"Flop")</f>
        <v>Average</v>
      </c>
      <c r="S189" s="9" t="str">
        <f>_xlfn.IFS(K189&gt;=400,"Blockbuster",K189&gt;=200,"Popular",K189&lt;200,"Normal")</f>
        <v>Popular</v>
      </c>
      <c r="T189" s="10" t="str">
        <f>IF(OR(I189="PG",I189="G"),"Yes","No")</f>
        <v>No</v>
      </c>
      <c r="U189" s="11" t="str">
        <f>IF(P189&gt;=100,"High","Low")</f>
        <v>High</v>
      </c>
      <c r="V189" s="28">
        <f t="shared" si="4"/>
        <v>833.7</v>
      </c>
      <c r="W189" s="29">
        <f t="shared" si="5"/>
        <v>538.78947368421052</v>
      </c>
    </row>
    <row r="190" spans="1:23" x14ac:dyDescent="0.3">
      <c r="A190" s="1" t="s">
        <v>640</v>
      </c>
      <c r="B190" s="1" t="s">
        <v>641</v>
      </c>
      <c r="C190" s="1" t="s">
        <v>18</v>
      </c>
      <c r="D190" s="1" t="s">
        <v>28</v>
      </c>
      <c r="E190" s="1">
        <v>2001</v>
      </c>
      <c r="F190" s="1" t="s">
        <v>48</v>
      </c>
      <c r="G190" s="1" t="s">
        <v>642</v>
      </c>
      <c r="H190" s="1">
        <v>112</v>
      </c>
      <c r="I190" s="1" t="s">
        <v>31</v>
      </c>
      <c r="J190" s="1">
        <v>5</v>
      </c>
      <c r="K190" s="1">
        <v>419.6</v>
      </c>
      <c r="L190" s="1" t="s">
        <v>23</v>
      </c>
      <c r="M190" s="1" t="s">
        <v>157</v>
      </c>
      <c r="N190" s="1" t="s">
        <v>91</v>
      </c>
      <c r="O190" s="1"/>
      <c r="P190" s="1">
        <v>40</v>
      </c>
      <c r="Q190" s="1">
        <v>195.7</v>
      </c>
      <c r="R190" s="8" t="str">
        <f>_xlfn.IFS(J190&gt;=8,"Hit",J190&gt;=6,"Average",J190&lt;6,"Flop")</f>
        <v>Flop</v>
      </c>
      <c r="S190" s="9" t="str">
        <f>_xlfn.IFS(K190&gt;=400,"Blockbuster",K190&gt;=200,"Popular",K190&lt;200,"Normal")</f>
        <v>Blockbuster</v>
      </c>
      <c r="T190" s="10" t="str">
        <f>IF(OR(I190="PG",I190="G"),"Yes","No")</f>
        <v>No</v>
      </c>
      <c r="U190" s="11" t="str">
        <f>IF(P190&gt;=100,"High","Low")</f>
        <v>Low</v>
      </c>
      <c r="V190" s="28">
        <f t="shared" si="4"/>
        <v>155.69999999999999</v>
      </c>
      <c r="W190" s="29">
        <f t="shared" si="5"/>
        <v>489.25</v>
      </c>
    </row>
    <row r="191" spans="1:23" x14ac:dyDescent="0.3">
      <c r="A191" s="1" t="s">
        <v>643</v>
      </c>
      <c r="B191" s="1" t="s">
        <v>644</v>
      </c>
      <c r="C191" s="1" t="s">
        <v>18</v>
      </c>
      <c r="D191" s="1" t="s">
        <v>82</v>
      </c>
      <c r="E191" s="1">
        <v>2004</v>
      </c>
      <c r="F191" s="1" t="s">
        <v>48</v>
      </c>
      <c r="G191" s="1" t="s">
        <v>550</v>
      </c>
      <c r="H191" s="1">
        <v>133</v>
      </c>
      <c r="I191" s="1" t="s">
        <v>110</v>
      </c>
      <c r="J191" s="1">
        <v>7.2</v>
      </c>
      <c r="K191" s="1">
        <v>163.19999999999999</v>
      </c>
      <c r="L191" s="1" t="s">
        <v>71</v>
      </c>
      <c r="M191" s="1" t="s">
        <v>24</v>
      </c>
      <c r="N191" s="1" t="s">
        <v>102</v>
      </c>
      <c r="O191" s="1"/>
      <c r="P191" s="1">
        <v>87</v>
      </c>
      <c r="Q191" s="1">
        <v>550.20000000000005</v>
      </c>
      <c r="R191" s="8" t="str">
        <f>_xlfn.IFS(J191&gt;=8,"Hit",J191&gt;=6,"Average",J191&lt;6,"Flop")</f>
        <v>Average</v>
      </c>
      <c r="S191" s="9" t="str">
        <f>_xlfn.IFS(K191&gt;=400,"Blockbuster",K191&gt;=200,"Popular",K191&lt;200,"Normal")</f>
        <v>Normal</v>
      </c>
      <c r="T191" s="10" t="str">
        <f>IF(OR(I191="PG",I191="G"),"Yes","No")</f>
        <v>No</v>
      </c>
      <c r="U191" s="11" t="str">
        <f>IF(P191&gt;=100,"High","Low")</f>
        <v>Low</v>
      </c>
      <c r="V191" s="28">
        <f t="shared" si="4"/>
        <v>463.20000000000005</v>
      </c>
      <c r="W191" s="29">
        <f t="shared" si="5"/>
        <v>632.41379310344837</v>
      </c>
    </row>
    <row r="192" spans="1:23" x14ac:dyDescent="0.3">
      <c r="A192" s="1" t="s">
        <v>645</v>
      </c>
      <c r="B192" s="1" t="s">
        <v>646</v>
      </c>
      <c r="C192" s="1" t="s">
        <v>46</v>
      </c>
      <c r="D192" s="1" t="s">
        <v>63</v>
      </c>
      <c r="E192" s="1">
        <v>2007</v>
      </c>
      <c r="F192" s="1" t="s">
        <v>76</v>
      </c>
      <c r="G192" s="1" t="s">
        <v>647</v>
      </c>
      <c r="H192" s="1">
        <v>42</v>
      </c>
      <c r="I192" s="1" t="s">
        <v>22</v>
      </c>
      <c r="J192" s="1">
        <v>6.1</v>
      </c>
      <c r="K192" s="1">
        <v>132.9</v>
      </c>
      <c r="L192" s="1" t="s">
        <v>32</v>
      </c>
      <c r="M192" s="1" t="s">
        <v>111</v>
      </c>
      <c r="N192" s="1" t="s">
        <v>86</v>
      </c>
      <c r="O192" s="1">
        <v>7</v>
      </c>
      <c r="P192" s="1">
        <v>10</v>
      </c>
      <c r="Q192" s="1">
        <v>56.2</v>
      </c>
      <c r="R192" s="8" t="str">
        <f>_xlfn.IFS(J192&gt;=8,"Hit",J192&gt;=6,"Average",J192&lt;6,"Flop")</f>
        <v>Average</v>
      </c>
      <c r="S192" s="9" t="str">
        <f>_xlfn.IFS(K192&gt;=400,"Blockbuster",K192&gt;=200,"Popular",K192&lt;200,"Normal")</f>
        <v>Normal</v>
      </c>
      <c r="T192" s="10" t="str">
        <f>IF(OR(I192="PG",I192="G"),"Yes","No")</f>
        <v>No</v>
      </c>
      <c r="U192" s="11" t="str">
        <f>IF(P192&gt;=100,"High","Low")</f>
        <v>Low</v>
      </c>
      <c r="V192" s="28">
        <f t="shared" si="4"/>
        <v>46.2</v>
      </c>
      <c r="W192" s="29">
        <f t="shared" si="5"/>
        <v>562</v>
      </c>
    </row>
    <row r="193" spans="1:23" x14ac:dyDescent="0.3">
      <c r="A193" s="1" t="s">
        <v>648</v>
      </c>
      <c r="B193" s="1" t="s">
        <v>649</v>
      </c>
      <c r="C193" s="1" t="s">
        <v>18</v>
      </c>
      <c r="D193" s="1" t="s">
        <v>58</v>
      </c>
      <c r="E193" s="1">
        <v>2002</v>
      </c>
      <c r="F193" s="1" t="s">
        <v>38</v>
      </c>
      <c r="G193" s="1" t="s">
        <v>650</v>
      </c>
      <c r="H193" s="1">
        <v>161</v>
      </c>
      <c r="I193" s="1" t="s">
        <v>40</v>
      </c>
      <c r="J193" s="1">
        <v>5.5</v>
      </c>
      <c r="K193" s="1">
        <v>517.9</v>
      </c>
      <c r="L193" s="1" t="s">
        <v>90</v>
      </c>
      <c r="M193" s="1" t="s">
        <v>146</v>
      </c>
      <c r="N193" s="1" t="s">
        <v>158</v>
      </c>
      <c r="O193" s="1"/>
      <c r="P193" s="1">
        <v>165</v>
      </c>
      <c r="Q193" s="1">
        <v>875.5</v>
      </c>
      <c r="R193" s="8" t="str">
        <f>_xlfn.IFS(J193&gt;=8,"Hit",J193&gt;=6,"Average",J193&lt;6,"Flop")</f>
        <v>Flop</v>
      </c>
      <c r="S193" s="9" t="str">
        <f>_xlfn.IFS(K193&gt;=400,"Blockbuster",K193&gt;=200,"Popular",K193&lt;200,"Normal")</f>
        <v>Blockbuster</v>
      </c>
      <c r="T193" s="10" t="str">
        <f>IF(OR(I193="PG",I193="G"),"Yes","No")</f>
        <v>Yes</v>
      </c>
      <c r="U193" s="11" t="str">
        <f>IF(P193&gt;=100,"High","Low")</f>
        <v>High</v>
      </c>
      <c r="V193" s="28">
        <f t="shared" si="4"/>
        <v>710.5</v>
      </c>
      <c r="W193" s="29">
        <f t="shared" si="5"/>
        <v>530.60606060606062</v>
      </c>
    </row>
    <row r="194" spans="1:23" x14ac:dyDescent="0.3">
      <c r="A194" s="1" t="s">
        <v>651</v>
      </c>
      <c r="B194" s="1" t="s">
        <v>652</v>
      </c>
      <c r="C194" s="1" t="s">
        <v>46</v>
      </c>
      <c r="D194" s="1" t="s">
        <v>37</v>
      </c>
      <c r="E194" s="1">
        <v>2006</v>
      </c>
      <c r="F194" s="1" t="s">
        <v>95</v>
      </c>
      <c r="G194" s="1" t="s">
        <v>653</v>
      </c>
      <c r="H194" s="1">
        <v>34</v>
      </c>
      <c r="I194" s="1" t="s">
        <v>22</v>
      </c>
      <c r="J194" s="1">
        <v>6.3</v>
      </c>
      <c r="K194" s="1">
        <v>52.1</v>
      </c>
      <c r="L194" s="1" t="s">
        <v>41</v>
      </c>
      <c r="M194" s="1" t="s">
        <v>33</v>
      </c>
      <c r="N194" s="1" t="s">
        <v>55</v>
      </c>
      <c r="O194" s="1">
        <v>4</v>
      </c>
      <c r="P194" s="1">
        <v>131</v>
      </c>
      <c r="Q194" s="1">
        <v>158.6</v>
      </c>
      <c r="R194" s="8" t="str">
        <f>_xlfn.IFS(J194&gt;=8,"Hit",J194&gt;=6,"Average",J194&lt;6,"Flop")</f>
        <v>Average</v>
      </c>
      <c r="S194" s="9" t="str">
        <f>_xlfn.IFS(K194&gt;=400,"Blockbuster",K194&gt;=200,"Popular",K194&lt;200,"Normal")</f>
        <v>Normal</v>
      </c>
      <c r="T194" s="10" t="str">
        <f>IF(OR(I194="PG",I194="G"),"Yes","No")</f>
        <v>No</v>
      </c>
      <c r="U194" s="11" t="str">
        <f>IF(P194&gt;=100,"High","Low")</f>
        <v>High</v>
      </c>
      <c r="V194" s="28">
        <f t="shared" si="4"/>
        <v>27.599999999999994</v>
      </c>
      <c r="W194" s="29">
        <f t="shared" si="5"/>
        <v>121.06870229007633</v>
      </c>
    </row>
    <row r="195" spans="1:23" x14ac:dyDescent="0.3">
      <c r="A195" s="1" t="s">
        <v>654</v>
      </c>
      <c r="B195" s="1" t="s">
        <v>655</v>
      </c>
      <c r="C195" s="1" t="s">
        <v>46</v>
      </c>
      <c r="D195" s="1" t="s">
        <v>19</v>
      </c>
      <c r="E195" s="1">
        <v>2004</v>
      </c>
      <c r="F195" s="1" t="s">
        <v>181</v>
      </c>
      <c r="G195" s="1" t="s">
        <v>656</v>
      </c>
      <c r="H195" s="1">
        <v>59</v>
      </c>
      <c r="I195" s="1" t="s">
        <v>110</v>
      </c>
      <c r="J195" s="1">
        <v>6.7</v>
      </c>
      <c r="K195" s="1">
        <v>549.5</v>
      </c>
      <c r="L195" s="1" t="s">
        <v>65</v>
      </c>
      <c r="M195" s="1" t="s">
        <v>97</v>
      </c>
      <c r="N195" s="1" t="s">
        <v>86</v>
      </c>
      <c r="O195" s="1">
        <v>4</v>
      </c>
      <c r="P195" s="1">
        <v>123</v>
      </c>
      <c r="Q195" s="1">
        <v>397</v>
      </c>
      <c r="R195" s="8" t="str">
        <f>_xlfn.IFS(J195&gt;=8,"Hit",J195&gt;=6,"Average",J195&lt;6,"Flop")</f>
        <v>Average</v>
      </c>
      <c r="S195" s="9" t="str">
        <f>_xlfn.IFS(K195&gt;=400,"Blockbuster",K195&gt;=200,"Popular",K195&lt;200,"Normal")</f>
        <v>Blockbuster</v>
      </c>
      <c r="T195" s="10" t="str">
        <f>IF(OR(I195="PG",I195="G"),"Yes","No")</f>
        <v>No</v>
      </c>
      <c r="U195" s="11" t="str">
        <f>IF(P195&gt;=100,"High","Low")</f>
        <v>High</v>
      </c>
      <c r="V195" s="28">
        <f t="shared" ref="V195:V258" si="6">Q195-P195</f>
        <v>274</v>
      </c>
      <c r="W195" s="29">
        <f t="shared" ref="W195:W258" si="7">(Q195/P195)*100</f>
        <v>322.76422764227641</v>
      </c>
    </row>
    <row r="196" spans="1:23" x14ac:dyDescent="0.3">
      <c r="A196" s="1" t="s">
        <v>657</v>
      </c>
      <c r="B196" s="1" t="s">
        <v>658</v>
      </c>
      <c r="C196" s="1" t="s">
        <v>46</v>
      </c>
      <c r="D196" s="1" t="s">
        <v>28</v>
      </c>
      <c r="E196" s="1">
        <v>2014</v>
      </c>
      <c r="F196" s="1" t="s">
        <v>38</v>
      </c>
      <c r="G196" s="1" t="s">
        <v>659</v>
      </c>
      <c r="H196" s="1">
        <v>58</v>
      </c>
      <c r="I196" s="1" t="s">
        <v>40</v>
      </c>
      <c r="J196" s="1">
        <v>8.3000000000000007</v>
      </c>
      <c r="K196" s="1">
        <v>254.9</v>
      </c>
      <c r="L196" s="1" t="s">
        <v>90</v>
      </c>
      <c r="M196" s="1" t="s">
        <v>72</v>
      </c>
      <c r="N196" s="1" t="s">
        <v>178</v>
      </c>
      <c r="O196" s="1">
        <v>2</v>
      </c>
      <c r="P196" s="1">
        <v>16</v>
      </c>
      <c r="Q196" s="1">
        <v>21.9</v>
      </c>
      <c r="R196" s="8" t="str">
        <f>_xlfn.IFS(J196&gt;=8,"Hit",J196&gt;=6,"Average",J196&lt;6,"Flop")</f>
        <v>Hit</v>
      </c>
      <c r="S196" s="9" t="str">
        <f>_xlfn.IFS(K196&gt;=400,"Blockbuster",K196&gt;=200,"Popular",K196&lt;200,"Normal")</f>
        <v>Popular</v>
      </c>
      <c r="T196" s="10" t="str">
        <f>IF(OR(I196="PG",I196="G"),"Yes","No")</f>
        <v>Yes</v>
      </c>
      <c r="U196" s="11" t="str">
        <f>IF(P196&gt;=100,"High","Low")</f>
        <v>Low</v>
      </c>
      <c r="V196" s="28">
        <f t="shared" si="6"/>
        <v>5.8999999999999986</v>
      </c>
      <c r="W196" s="29">
        <f t="shared" si="7"/>
        <v>136.875</v>
      </c>
    </row>
    <row r="197" spans="1:23" x14ac:dyDescent="0.3">
      <c r="A197" s="1" t="s">
        <v>660</v>
      </c>
      <c r="B197" s="1" t="s">
        <v>661</v>
      </c>
      <c r="C197" s="1" t="s">
        <v>18</v>
      </c>
      <c r="D197" s="1" t="s">
        <v>63</v>
      </c>
      <c r="E197" s="1">
        <v>2007</v>
      </c>
      <c r="F197" s="1" t="s">
        <v>95</v>
      </c>
      <c r="G197" s="1" t="s">
        <v>662</v>
      </c>
      <c r="H197" s="1">
        <v>135</v>
      </c>
      <c r="I197" s="1" t="s">
        <v>31</v>
      </c>
      <c r="J197" s="1">
        <v>7.9</v>
      </c>
      <c r="K197" s="1">
        <v>528.29999999999995</v>
      </c>
      <c r="L197" s="1" t="s">
        <v>90</v>
      </c>
      <c r="M197" s="1" t="s">
        <v>146</v>
      </c>
      <c r="N197" s="1" t="s">
        <v>55</v>
      </c>
      <c r="O197" s="1"/>
      <c r="P197" s="1">
        <v>109</v>
      </c>
      <c r="Q197" s="1">
        <v>464</v>
      </c>
      <c r="R197" s="8" t="str">
        <f>_xlfn.IFS(J197&gt;=8,"Hit",J197&gt;=6,"Average",J197&lt;6,"Flop")</f>
        <v>Average</v>
      </c>
      <c r="S197" s="9" t="str">
        <f>_xlfn.IFS(K197&gt;=400,"Blockbuster",K197&gt;=200,"Popular",K197&lt;200,"Normal")</f>
        <v>Blockbuster</v>
      </c>
      <c r="T197" s="10" t="str">
        <f>IF(OR(I197="PG",I197="G"),"Yes","No")</f>
        <v>No</v>
      </c>
      <c r="U197" s="11" t="str">
        <f>IF(P197&gt;=100,"High","Low")</f>
        <v>High</v>
      </c>
      <c r="V197" s="28">
        <f t="shared" si="6"/>
        <v>355</v>
      </c>
      <c r="W197" s="29">
        <f t="shared" si="7"/>
        <v>425.68807339449546</v>
      </c>
    </row>
    <row r="198" spans="1:23" x14ac:dyDescent="0.3">
      <c r="A198" s="1" t="s">
        <v>663</v>
      </c>
      <c r="B198" s="1" t="s">
        <v>664</v>
      </c>
      <c r="C198" s="1" t="s">
        <v>18</v>
      </c>
      <c r="D198" s="1" t="s">
        <v>28</v>
      </c>
      <c r="E198" s="1">
        <v>2013</v>
      </c>
      <c r="F198" s="1" t="s">
        <v>38</v>
      </c>
      <c r="G198" s="1" t="s">
        <v>665</v>
      </c>
      <c r="H198" s="1">
        <v>88</v>
      </c>
      <c r="I198" s="1" t="s">
        <v>40</v>
      </c>
      <c r="J198" s="1">
        <v>4.9000000000000004</v>
      </c>
      <c r="K198" s="1">
        <v>102.7</v>
      </c>
      <c r="L198" s="1" t="s">
        <v>32</v>
      </c>
      <c r="M198" s="1" t="s">
        <v>97</v>
      </c>
      <c r="N198" s="1" t="s">
        <v>86</v>
      </c>
      <c r="O198" s="1"/>
      <c r="P198" s="1">
        <v>78</v>
      </c>
      <c r="Q198" s="1">
        <v>142.6</v>
      </c>
      <c r="R198" s="8" t="str">
        <f>_xlfn.IFS(J198&gt;=8,"Hit",J198&gt;=6,"Average",J198&lt;6,"Flop")</f>
        <v>Flop</v>
      </c>
      <c r="S198" s="9" t="str">
        <f>_xlfn.IFS(K198&gt;=400,"Blockbuster",K198&gt;=200,"Popular",K198&lt;200,"Normal")</f>
        <v>Normal</v>
      </c>
      <c r="T198" s="10" t="str">
        <f>IF(OR(I198="PG",I198="G"),"Yes","No")</f>
        <v>Yes</v>
      </c>
      <c r="U198" s="11" t="str">
        <f>IF(P198&gt;=100,"High","Low")</f>
        <v>Low</v>
      </c>
      <c r="V198" s="28">
        <f t="shared" si="6"/>
        <v>64.599999999999994</v>
      </c>
      <c r="W198" s="29">
        <f t="shared" si="7"/>
        <v>182.82051282051282</v>
      </c>
    </row>
    <row r="199" spans="1:23" x14ac:dyDescent="0.3">
      <c r="A199" s="1" t="s">
        <v>666</v>
      </c>
      <c r="B199" s="1" t="s">
        <v>667</v>
      </c>
      <c r="C199" s="1" t="s">
        <v>46</v>
      </c>
      <c r="D199" s="1" t="s">
        <v>58</v>
      </c>
      <c r="E199" s="1">
        <v>2000</v>
      </c>
      <c r="F199" s="1" t="s">
        <v>181</v>
      </c>
      <c r="G199" s="1" t="s">
        <v>668</v>
      </c>
      <c r="H199" s="1">
        <v>42</v>
      </c>
      <c r="I199" s="1" t="s">
        <v>22</v>
      </c>
      <c r="J199" s="1">
        <v>6.1</v>
      </c>
      <c r="K199" s="1">
        <v>423.6</v>
      </c>
      <c r="L199" s="1" t="s">
        <v>65</v>
      </c>
      <c r="M199" s="1" t="s">
        <v>66</v>
      </c>
      <c r="N199" s="1" t="s">
        <v>91</v>
      </c>
      <c r="O199" s="1">
        <v>5</v>
      </c>
      <c r="P199" s="1">
        <v>13</v>
      </c>
      <c r="Q199" s="1">
        <v>31.5</v>
      </c>
      <c r="R199" s="8" t="str">
        <f>_xlfn.IFS(J199&gt;=8,"Hit",J199&gt;=6,"Average",J199&lt;6,"Flop")</f>
        <v>Average</v>
      </c>
      <c r="S199" s="9" t="str">
        <f>_xlfn.IFS(K199&gt;=400,"Blockbuster",K199&gt;=200,"Popular",K199&lt;200,"Normal")</f>
        <v>Blockbuster</v>
      </c>
      <c r="T199" s="10" t="str">
        <f>IF(OR(I199="PG",I199="G"),"Yes","No")</f>
        <v>No</v>
      </c>
      <c r="U199" s="11" t="str">
        <f>IF(P199&gt;=100,"High","Low")</f>
        <v>Low</v>
      </c>
      <c r="V199" s="28">
        <f t="shared" si="6"/>
        <v>18.5</v>
      </c>
      <c r="W199" s="29">
        <f t="shared" si="7"/>
        <v>242.30769230769229</v>
      </c>
    </row>
    <row r="200" spans="1:23" x14ac:dyDescent="0.3">
      <c r="A200" s="1" t="s">
        <v>669</v>
      </c>
      <c r="B200" s="1" t="s">
        <v>670</v>
      </c>
      <c r="C200" s="1" t="s">
        <v>18</v>
      </c>
      <c r="D200" s="1" t="s">
        <v>47</v>
      </c>
      <c r="E200" s="1">
        <v>2014</v>
      </c>
      <c r="F200" s="1" t="s">
        <v>122</v>
      </c>
      <c r="G200" s="1" t="s">
        <v>671</v>
      </c>
      <c r="H200" s="1">
        <v>136</v>
      </c>
      <c r="I200" s="1" t="s">
        <v>31</v>
      </c>
      <c r="J200" s="1">
        <v>6.3</v>
      </c>
      <c r="K200" s="1">
        <v>28.3</v>
      </c>
      <c r="L200" s="1" t="s">
        <v>71</v>
      </c>
      <c r="M200" s="1" t="s">
        <v>146</v>
      </c>
      <c r="N200" s="1" t="s">
        <v>55</v>
      </c>
      <c r="O200" s="1"/>
      <c r="P200" s="1">
        <v>132</v>
      </c>
      <c r="Q200" s="1">
        <v>821.9</v>
      </c>
      <c r="R200" s="8" t="str">
        <f>_xlfn.IFS(J200&gt;=8,"Hit",J200&gt;=6,"Average",J200&lt;6,"Flop")</f>
        <v>Average</v>
      </c>
      <c r="S200" s="9" t="str">
        <f>_xlfn.IFS(K200&gt;=400,"Blockbuster",K200&gt;=200,"Popular",K200&lt;200,"Normal")</f>
        <v>Normal</v>
      </c>
      <c r="T200" s="10" t="str">
        <f>IF(OR(I200="PG",I200="G"),"Yes","No")</f>
        <v>No</v>
      </c>
      <c r="U200" s="11" t="str">
        <f>IF(P200&gt;=100,"High","Low")</f>
        <v>High</v>
      </c>
      <c r="V200" s="28">
        <f t="shared" si="6"/>
        <v>689.9</v>
      </c>
      <c r="W200" s="29">
        <f t="shared" si="7"/>
        <v>622.65151515151513</v>
      </c>
    </row>
    <row r="201" spans="1:23" x14ac:dyDescent="0.3">
      <c r="A201" s="1" t="s">
        <v>672</v>
      </c>
      <c r="B201" s="1" t="s">
        <v>673</v>
      </c>
      <c r="C201" s="1" t="s">
        <v>46</v>
      </c>
      <c r="D201" s="1" t="s">
        <v>94</v>
      </c>
      <c r="E201" s="1">
        <v>2002</v>
      </c>
      <c r="F201" s="1" t="s">
        <v>20</v>
      </c>
      <c r="G201" s="1" t="s">
        <v>674</v>
      </c>
      <c r="H201" s="1">
        <v>30</v>
      </c>
      <c r="I201" s="1" t="s">
        <v>50</v>
      </c>
      <c r="J201" s="1">
        <v>9.5</v>
      </c>
      <c r="K201" s="1">
        <v>298</v>
      </c>
      <c r="L201" s="1" t="s">
        <v>90</v>
      </c>
      <c r="M201" s="1" t="s">
        <v>157</v>
      </c>
      <c r="N201" s="1" t="s">
        <v>178</v>
      </c>
      <c r="O201" s="1">
        <v>3</v>
      </c>
      <c r="P201" s="1">
        <v>69</v>
      </c>
      <c r="Q201" s="1">
        <v>357</v>
      </c>
      <c r="R201" s="8" t="str">
        <f>_xlfn.IFS(J201&gt;=8,"Hit",J201&gt;=6,"Average",J201&lt;6,"Flop")</f>
        <v>Hit</v>
      </c>
      <c r="S201" s="9" t="str">
        <f>_xlfn.IFS(K201&gt;=400,"Blockbuster",K201&gt;=200,"Popular",K201&lt;200,"Normal")</f>
        <v>Popular</v>
      </c>
      <c r="T201" s="10" t="str">
        <f>IF(OR(I201="PG",I201="G"),"Yes","No")</f>
        <v>Yes</v>
      </c>
      <c r="U201" s="11" t="str">
        <f>IF(P201&gt;=100,"High","Low")</f>
        <v>Low</v>
      </c>
      <c r="V201" s="28">
        <f t="shared" si="6"/>
        <v>288</v>
      </c>
      <c r="W201" s="29">
        <f t="shared" si="7"/>
        <v>517.39130434782612</v>
      </c>
    </row>
    <row r="202" spans="1:23" x14ac:dyDescent="0.3">
      <c r="A202" s="1" t="s">
        <v>675</v>
      </c>
      <c r="B202" s="1" t="s">
        <v>676</v>
      </c>
      <c r="C202" s="1" t="s">
        <v>46</v>
      </c>
      <c r="D202" s="1" t="s">
        <v>37</v>
      </c>
      <c r="E202" s="1">
        <v>2024</v>
      </c>
      <c r="F202" s="1" t="s">
        <v>38</v>
      </c>
      <c r="G202" s="1" t="s">
        <v>677</v>
      </c>
      <c r="H202" s="1">
        <v>45</v>
      </c>
      <c r="I202" s="1" t="s">
        <v>40</v>
      </c>
      <c r="J202" s="1">
        <v>6.7</v>
      </c>
      <c r="K202" s="1">
        <v>304.39999999999998</v>
      </c>
      <c r="L202" s="1" t="s">
        <v>71</v>
      </c>
      <c r="M202" s="1" t="s">
        <v>146</v>
      </c>
      <c r="N202" s="1" t="s">
        <v>119</v>
      </c>
      <c r="O202" s="1">
        <v>4</v>
      </c>
      <c r="P202" s="1">
        <v>104</v>
      </c>
      <c r="Q202" s="1">
        <v>259.39999999999998</v>
      </c>
      <c r="R202" s="8" t="str">
        <f>_xlfn.IFS(J202&gt;=8,"Hit",J202&gt;=6,"Average",J202&lt;6,"Flop")</f>
        <v>Average</v>
      </c>
      <c r="S202" s="9" t="str">
        <f>_xlfn.IFS(K202&gt;=400,"Blockbuster",K202&gt;=200,"Popular",K202&lt;200,"Normal")</f>
        <v>Popular</v>
      </c>
      <c r="T202" s="10" t="str">
        <f>IF(OR(I202="PG",I202="G"),"Yes","No")</f>
        <v>Yes</v>
      </c>
      <c r="U202" s="11" t="str">
        <f>IF(P202&gt;=100,"High","Low")</f>
        <v>High</v>
      </c>
      <c r="V202" s="28">
        <f t="shared" si="6"/>
        <v>155.39999999999998</v>
      </c>
      <c r="W202" s="29">
        <f t="shared" si="7"/>
        <v>249.42307692307688</v>
      </c>
    </row>
    <row r="203" spans="1:23" x14ac:dyDescent="0.3">
      <c r="A203" s="1" t="s">
        <v>678</v>
      </c>
      <c r="B203" s="1" t="s">
        <v>679</v>
      </c>
      <c r="C203" s="1" t="s">
        <v>46</v>
      </c>
      <c r="D203" s="1" t="s">
        <v>94</v>
      </c>
      <c r="E203" s="1">
        <v>2020</v>
      </c>
      <c r="F203" s="1" t="s">
        <v>100</v>
      </c>
      <c r="G203" s="1" t="s">
        <v>680</v>
      </c>
      <c r="H203" s="1">
        <v>42</v>
      </c>
      <c r="I203" s="1" t="s">
        <v>31</v>
      </c>
      <c r="J203" s="1">
        <v>6.3</v>
      </c>
      <c r="K203" s="1">
        <v>124</v>
      </c>
      <c r="L203" s="1" t="s">
        <v>41</v>
      </c>
      <c r="M203" s="1" t="s">
        <v>124</v>
      </c>
      <c r="N203" s="1" t="s">
        <v>60</v>
      </c>
      <c r="O203" s="1">
        <v>7</v>
      </c>
      <c r="P203" s="1">
        <v>63</v>
      </c>
      <c r="Q203" s="1">
        <v>271.5</v>
      </c>
      <c r="R203" s="8" t="str">
        <f>_xlfn.IFS(J203&gt;=8,"Hit",J203&gt;=6,"Average",J203&lt;6,"Flop")</f>
        <v>Average</v>
      </c>
      <c r="S203" s="9" t="str">
        <f>_xlfn.IFS(K203&gt;=400,"Blockbuster",K203&gt;=200,"Popular",K203&lt;200,"Normal")</f>
        <v>Normal</v>
      </c>
      <c r="T203" s="10" t="str">
        <f>IF(OR(I203="PG",I203="G"),"Yes","No")</f>
        <v>No</v>
      </c>
      <c r="U203" s="11" t="str">
        <f>IF(P203&gt;=100,"High","Low")</f>
        <v>Low</v>
      </c>
      <c r="V203" s="28">
        <f t="shared" si="6"/>
        <v>208.5</v>
      </c>
      <c r="W203" s="29">
        <f t="shared" si="7"/>
        <v>430.95238095238091</v>
      </c>
    </row>
    <row r="204" spans="1:23" x14ac:dyDescent="0.3">
      <c r="A204" s="1" t="s">
        <v>681</v>
      </c>
      <c r="B204" s="1" t="s">
        <v>682</v>
      </c>
      <c r="C204" s="1" t="s">
        <v>18</v>
      </c>
      <c r="D204" s="1" t="s">
        <v>94</v>
      </c>
      <c r="E204" s="1">
        <v>2023</v>
      </c>
      <c r="F204" s="1" t="s">
        <v>181</v>
      </c>
      <c r="G204" s="1" t="s">
        <v>683</v>
      </c>
      <c r="H204" s="1">
        <v>135</v>
      </c>
      <c r="I204" s="1" t="s">
        <v>50</v>
      </c>
      <c r="J204" s="1">
        <v>4.8</v>
      </c>
      <c r="K204" s="1">
        <v>136.69999999999999</v>
      </c>
      <c r="L204" s="1" t="s">
        <v>23</v>
      </c>
      <c r="M204" s="1" t="s">
        <v>33</v>
      </c>
      <c r="N204" s="1" t="s">
        <v>158</v>
      </c>
      <c r="O204" s="1"/>
      <c r="P204" s="1">
        <v>198</v>
      </c>
      <c r="Q204" s="1">
        <v>1004.3</v>
      </c>
      <c r="R204" s="8" t="str">
        <f>_xlfn.IFS(J204&gt;=8,"Hit",J204&gt;=6,"Average",J204&lt;6,"Flop")</f>
        <v>Flop</v>
      </c>
      <c r="S204" s="9" t="str">
        <f>_xlfn.IFS(K204&gt;=400,"Blockbuster",K204&gt;=200,"Popular",K204&lt;200,"Normal")</f>
        <v>Normal</v>
      </c>
      <c r="T204" s="10" t="str">
        <f>IF(OR(I204="PG",I204="G"),"Yes","No")</f>
        <v>Yes</v>
      </c>
      <c r="U204" s="11" t="str">
        <f>IF(P204&gt;=100,"High","Low")</f>
        <v>High</v>
      </c>
      <c r="V204" s="28">
        <f t="shared" si="6"/>
        <v>806.3</v>
      </c>
      <c r="W204" s="29">
        <f t="shared" si="7"/>
        <v>507.22222222222217</v>
      </c>
    </row>
    <row r="205" spans="1:23" x14ac:dyDescent="0.3">
      <c r="A205" s="1" t="s">
        <v>684</v>
      </c>
      <c r="B205" s="1" t="s">
        <v>685</v>
      </c>
      <c r="C205" s="1" t="s">
        <v>46</v>
      </c>
      <c r="D205" s="1" t="s">
        <v>63</v>
      </c>
      <c r="E205" s="1">
        <v>2014</v>
      </c>
      <c r="F205" s="1" t="s">
        <v>181</v>
      </c>
      <c r="G205" s="1" t="s">
        <v>686</v>
      </c>
      <c r="H205" s="1">
        <v>36</v>
      </c>
      <c r="I205" s="1" t="s">
        <v>31</v>
      </c>
      <c r="J205" s="1">
        <v>5.9</v>
      </c>
      <c r="K205" s="1">
        <v>161.1</v>
      </c>
      <c r="L205" s="1" t="s">
        <v>171</v>
      </c>
      <c r="M205" s="1" t="s">
        <v>146</v>
      </c>
      <c r="N205" s="1" t="s">
        <v>119</v>
      </c>
      <c r="O205" s="1">
        <v>8</v>
      </c>
      <c r="P205" s="1">
        <v>130</v>
      </c>
      <c r="Q205" s="1">
        <v>720.8</v>
      </c>
      <c r="R205" s="8" t="str">
        <f>_xlfn.IFS(J205&gt;=8,"Hit",J205&gt;=6,"Average",J205&lt;6,"Flop")</f>
        <v>Flop</v>
      </c>
      <c r="S205" s="9" t="str">
        <f>_xlfn.IFS(K205&gt;=400,"Blockbuster",K205&gt;=200,"Popular",K205&lt;200,"Normal")</f>
        <v>Normal</v>
      </c>
      <c r="T205" s="10" t="str">
        <f>IF(OR(I205="PG",I205="G"),"Yes","No")</f>
        <v>No</v>
      </c>
      <c r="U205" s="11" t="str">
        <f>IF(P205&gt;=100,"High","Low")</f>
        <v>High</v>
      </c>
      <c r="V205" s="28">
        <f t="shared" si="6"/>
        <v>590.79999999999995</v>
      </c>
      <c r="W205" s="29">
        <f t="shared" si="7"/>
        <v>554.46153846153845</v>
      </c>
    </row>
    <row r="206" spans="1:23" x14ac:dyDescent="0.3">
      <c r="A206" s="1" t="s">
        <v>687</v>
      </c>
      <c r="B206" s="1" t="s">
        <v>688</v>
      </c>
      <c r="C206" s="1" t="s">
        <v>18</v>
      </c>
      <c r="D206" s="1" t="s">
        <v>117</v>
      </c>
      <c r="E206" s="1">
        <v>2004</v>
      </c>
      <c r="F206" s="1" t="s">
        <v>100</v>
      </c>
      <c r="G206" s="1" t="s">
        <v>689</v>
      </c>
      <c r="H206" s="1">
        <v>138</v>
      </c>
      <c r="I206" s="1" t="s">
        <v>31</v>
      </c>
      <c r="J206" s="1">
        <v>9.3000000000000007</v>
      </c>
      <c r="K206" s="1">
        <v>592.70000000000005</v>
      </c>
      <c r="L206" s="1" t="s">
        <v>71</v>
      </c>
      <c r="M206" s="1" t="s">
        <v>42</v>
      </c>
      <c r="N206" s="1" t="s">
        <v>60</v>
      </c>
      <c r="O206" s="1"/>
      <c r="P206" s="1">
        <v>158</v>
      </c>
      <c r="Q206" s="1">
        <v>797.8</v>
      </c>
      <c r="R206" s="8" t="str">
        <f>_xlfn.IFS(J206&gt;=8,"Hit",J206&gt;=6,"Average",J206&lt;6,"Flop")</f>
        <v>Hit</v>
      </c>
      <c r="S206" s="9" t="str">
        <f>_xlfn.IFS(K206&gt;=400,"Blockbuster",K206&gt;=200,"Popular",K206&lt;200,"Normal")</f>
        <v>Blockbuster</v>
      </c>
      <c r="T206" s="10" t="str">
        <f>IF(OR(I206="PG",I206="G"),"Yes","No")</f>
        <v>No</v>
      </c>
      <c r="U206" s="11" t="str">
        <f>IF(P206&gt;=100,"High","Low")</f>
        <v>High</v>
      </c>
      <c r="V206" s="28">
        <f t="shared" si="6"/>
        <v>639.79999999999995</v>
      </c>
      <c r="W206" s="29">
        <f t="shared" si="7"/>
        <v>504.93670886075944</v>
      </c>
    </row>
    <row r="207" spans="1:23" x14ac:dyDescent="0.3">
      <c r="A207" s="1" t="s">
        <v>690</v>
      </c>
      <c r="B207" s="1" t="s">
        <v>691</v>
      </c>
      <c r="C207" s="1" t="s">
        <v>18</v>
      </c>
      <c r="D207" s="1" t="s">
        <v>58</v>
      </c>
      <c r="E207" s="1">
        <v>2020</v>
      </c>
      <c r="F207" s="1" t="s">
        <v>83</v>
      </c>
      <c r="G207" s="1" t="s">
        <v>692</v>
      </c>
      <c r="H207" s="1">
        <v>167</v>
      </c>
      <c r="I207" s="1" t="s">
        <v>31</v>
      </c>
      <c r="J207" s="1">
        <v>5.5</v>
      </c>
      <c r="K207" s="1">
        <v>445.1</v>
      </c>
      <c r="L207" s="1" t="s">
        <v>171</v>
      </c>
      <c r="M207" s="1" t="s">
        <v>66</v>
      </c>
      <c r="N207" s="1" t="s">
        <v>158</v>
      </c>
      <c r="O207" s="1"/>
      <c r="P207" s="1">
        <v>149</v>
      </c>
      <c r="Q207" s="1">
        <v>447.4</v>
      </c>
      <c r="R207" s="8" t="str">
        <f>_xlfn.IFS(J207&gt;=8,"Hit",J207&gt;=6,"Average",J207&lt;6,"Flop")</f>
        <v>Flop</v>
      </c>
      <c r="S207" s="9" t="str">
        <f>_xlfn.IFS(K207&gt;=400,"Blockbuster",K207&gt;=200,"Popular",K207&lt;200,"Normal")</f>
        <v>Blockbuster</v>
      </c>
      <c r="T207" s="10" t="str">
        <f>IF(OR(I207="PG",I207="G"),"Yes","No")</f>
        <v>No</v>
      </c>
      <c r="U207" s="11" t="str">
        <f>IF(P207&gt;=100,"High","Low")</f>
        <v>High</v>
      </c>
      <c r="V207" s="28">
        <f t="shared" si="6"/>
        <v>298.39999999999998</v>
      </c>
      <c r="W207" s="29">
        <f t="shared" si="7"/>
        <v>300.26845637583892</v>
      </c>
    </row>
    <row r="208" spans="1:23" x14ac:dyDescent="0.3">
      <c r="A208" s="1" t="s">
        <v>693</v>
      </c>
      <c r="B208" s="1" t="s">
        <v>694</v>
      </c>
      <c r="C208" s="1" t="s">
        <v>18</v>
      </c>
      <c r="D208" s="1" t="s">
        <v>94</v>
      </c>
      <c r="E208" s="1">
        <v>2018</v>
      </c>
      <c r="F208" s="1" t="s">
        <v>100</v>
      </c>
      <c r="G208" s="1" t="s">
        <v>695</v>
      </c>
      <c r="H208" s="1">
        <v>121</v>
      </c>
      <c r="I208" s="1" t="s">
        <v>50</v>
      </c>
      <c r="J208" s="1">
        <v>8.1999999999999993</v>
      </c>
      <c r="K208" s="1">
        <v>543.79999999999995</v>
      </c>
      <c r="L208" s="1" t="s">
        <v>41</v>
      </c>
      <c r="M208" s="1" t="s">
        <v>124</v>
      </c>
      <c r="N208" s="1" t="s">
        <v>153</v>
      </c>
      <c r="O208" s="1"/>
      <c r="P208" s="1">
        <v>14</v>
      </c>
      <c r="Q208" s="1">
        <v>54.5</v>
      </c>
      <c r="R208" s="8" t="str">
        <f>_xlfn.IFS(J208&gt;=8,"Hit",J208&gt;=6,"Average",J208&lt;6,"Flop")</f>
        <v>Hit</v>
      </c>
      <c r="S208" s="9" t="str">
        <f>_xlfn.IFS(K208&gt;=400,"Blockbuster",K208&gt;=200,"Popular",K208&lt;200,"Normal")</f>
        <v>Blockbuster</v>
      </c>
      <c r="T208" s="10" t="str">
        <f>IF(OR(I208="PG",I208="G"),"Yes","No")</f>
        <v>Yes</v>
      </c>
      <c r="U208" s="11" t="str">
        <f>IF(P208&gt;=100,"High","Low")</f>
        <v>Low</v>
      </c>
      <c r="V208" s="28">
        <f t="shared" si="6"/>
        <v>40.5</v>
      </c>
      <c r="W208" s="29">
        <f t="shared" si="7"/>
        <v>389.28571428571428</v>
      </c>
    </row>
    <row r="209" spans="1:23" x14ac:dyDescent="0.3">
      <c r="A209" s="1" t="s">
        <v>696</v>
      </c>
      <c r="B209" s="1" t="s">
        <v>697</v>
      </c>
      <c r="C209" s="1" t="s">
        <v>18</v>
      </c>
      <c r="D209" s="1" t="s">
        <v>141</v>
      </c>
      <c r="E209" s="1">
        <v>2004</v>
      </c>
      <c r="F209" s="1" t="s">
        <v>48</v>
      </c>
      <c r="G209" s="1" t="s">
        <v>698</v>
      </c>
      <c r="H209" s="1">
        <v>121</v>
      </c>
      <c r="I209" s="1" t="s">
        <v>110</v>
      </c>
      <c r="J209" s="1">
        <v>5.7</v>
      </c>
      <c r="K209" s="1">
        <v>343.3</v>
      </c>
      <c r="L209" s="1" t="s">
        <v>41</v>
      </c>
      <c r="M209" s="1" t="s">
        <v>72</v>
      </c>
      <c r="N209" s="1" t="s">
        <v>60</v>
      </c>
      <c r="O209" s="1"/>
      <c r="P209" s="1">
        <v>115</v>
      </c>
      <c r="Q209" s="1">
        <v>280.10000000000002</v>
      </c>
      <c r="R209" s="8" t="str">
        <f>_xlfn.IFS(J209&gt;=8,"Hit",J209&gt;=6,"Average",J209&lt;6,"Flop")</f>
        <v>Flop</v>
      </c>
      <c r="S209" s="9" t="str">
        <f>_xlfn.IFS(K209&gt;=400,"Blockbuster",K209&gt;=200,"Popular",K209&lt;200,"Normal")</f>
        <v>Popular</v>
      </c>
      <c r="T209" s="10" t="str">
        <f>IF(OR(I209="PG",I209="G"),"Yes","No")</f>
        <v>No</v>
      </c>
      <c r="U209" s="11" t="str">
        <f>IF(P209&gt;=100,"High","Low")</f>
        <v>High</v>
      </c>
      <c r="V209" s="28">
        <f t="shared" si="6"/>
        <v>165.10000000000002</v>
      </c>
      <c r="W209" s="29">
        <f t="shared" si="7"/>
        <v>243.56521739130437</v>
      </c>
    </row>
    <row r="210" spans="1:23" x14ac:dyDescent="0.3">
      <c r="A210" s="1" t="s">
        <v>699</v>
      </c>
      <c r="B210" s="1" t="s">
        <v>700</v>
      </c>
      <c r="C210" s="1" t="s">
        <v>46</v>
      </c>
      <c r="D210" s="1" t="s">
        <v>47</v>
      </c>
      <c r="E210" s="1">
        <v>2008</v>
      </c>
      <c r="F210" s="1" t="s">
        <v>76</v>
      </c>
      <c r="G210" s="1" t="s">
        <v>701</v>
      </c>
      <c r="H210" s="1">
        <v>56</v>
      </c>
      <c r="I210" s="1" t="s">
        <v>110</v>
      </c>
      <c r="J210" s="1">
        <v>6.1</v>
      </c>
      <c r="K210" s="1">
        <v>452.9</v>
      </c>
      <c r="L210" s="1" t="s">
        <v>32</v>
      </c>
      <c r="M210" s="1" t="s">
        <v>146</v>
      </c>
      <c r="N210" s="1" t="s">
        <v>178</v>
      </c>
      <c r="O210" s="1">
        <v>2</v>
      </c>
      <c r="P210" s="1">
        <v>59</v>
      </c>
      <c r="Q210" s="1">
        <v>173.3</v>
      </c>
      <c r="R210" s="8" t="str">
        <f>_xlfn.IFS(J210&gt;=8,"Hit",J210&gt;=6,"Average",J210&lt;6,"Flop")</f>
        <v>Average</v>
      </c>
      <c r="S210" s="9" t="str">
        <f>_xlfn.IFS(K210&gt;=400,"Blockbuster",K210&gt;=200,"Popular",K210&lt;200,"Normal")</f>
        <v>Blockbuster</v>
      </c>
      <c r="T210" s="10" t="str">
        <f>IF(OR(I210="PG",I210="G"),"Yes","No")</f>
        <v>No</v>
      </c>
      <c r="U210" s="11" t="str">
        <f>IF(P210&gt;=100,"High","Low")</f>
        <v>Low</v>
      </c>
      <c r="V210" s="28">
        <f t="shared" si="6"/>
        <v>114.30000000000001</v>
      </c>
      <c r="W210" s="29">
        <f t="shared" si="7"/>
        <v>293.72881355932202</v>
      </c>
    </row>
    <row r="211" spans="1:23" x14ac:dyDescent="0.3">
      <c r="A211" s="1" t="s">
        <v>702</v>
      </c>
      <c r="B211" s="1" t="s">
        <v>703</v>
      </c>
      <c r="C211" s="1" t="s">
        <v>18</v>
      </c>
      <c r="D211" s="1" t="s">
        <v>28</v>
      </c>
      <c r="E211" s="1">
        <v>2003</v>
      </c>
      <c r="F211" s="1" t="s">
        <v>181</v>
      </c>
      <c r="G211" s="1" t="s">
        <v>704</v>
      </c>
      <c r="H211" s="1">
        <v>87</v>
      </c>
      <c r="I211" s="1" t="s">
        <v>50</v>
      </c>
      <c r="J211" s="1">
        <v>6.1</v>
      </c>
      <c r="K211" s="1">
        <v>385.8</v>
      </c>
      <c r="L211" s="1" t="s">
        <v>65</v>
      </c>
      <c r="M211" s="1" t="s">
        <v>24</v>
      </c>
      <c r="N211" s="1" t="s">
        <v>60</v>
      </c>
      <c r="O211" s="1"/>
      <c r="P211" s="1">
        <v>127</v>
      </c>
      <c r="Q211" s="1">
        <v>246.5</v>
      </c>
      <c r="R211" s="8" t="str">
        <f>_xlfn.IFS(J211&gt;=8,"Hit",J211&gt;=6,"Average",J211&lt;6,"Flop")</f>
        <v>Average</v>
      </c>
      <c r="S211" s="9" t="str">
        <f>_xlfn.IFS(K211&gt;=400,"Blockbuster",K211&gt;=200,"Popular",K211&lt;200,"Normal")</f>
        <v>Popular</v>
      </c>
      <c r="T211" s="10" t="str">
        <f>IF(OR(I211="PG",I211="G"),"Yes","No")</f>
        <v>Yes</v>
      </c>
      <c r="U211" s="11" t="str">
        <f>IF(P211&gt;=100,"High","Low")</f>
        <v>High</v>
      </c>
      <c r="V211" s="28">
        <f t="shared" si="6"/>
        <v>119.5</v>
      </c>
      <c r="W211" s="29">
        <f t="shared" si="7"/>
        <v>194.09448818897638</v>
      </c>
    </row>
    <row r="212" spans="1:23" x14ac:dyDescent="0.3">
      <c r="A212" s="1" t="s">
        <v>705</v>
      </c>
      <c r="B212" s="1" t="s">
        <v>706</v>
      </c>
      <c r="C212" s="1" t="s">
        <v>18</v>
      </c>
      <c r="D212" s="1" t="s">
        <v>82</v>
      </c>
      <c r="E212" s="1">
        <v>2003</v>
      </c>
      <c r="F212" s="1" t="s">
        <v>181</v>
      </c>
      <c r="G212" s="1" t="s">
        <v>707</v>
      </c>
      <c r="H212" s="1">
        <v>110</v>
      </c>
      <c r="I212" s="1" t="s">
        <v>110</v>
      </c>
      <c r="J212" s="1">
        <v>4.8</v>
      </c>
      <c r="K212" s="1">
        <v>460.9</v>
      </c>
      <c r="L212" s="1" t="s">
        <v>90</v>
      </c>
      <c r="M212" s="1" t="s">
        <v>54</v>
      </c>
      <c r="N212" s="1" t="s">
        <v>91</v>
      </c>
      <c r="O212" s="1"/>
      <c r="P212" s="1">
        <v>44</v>
      </c>
      <c r="Q212" s="1">
        <v>226.3</v>
      </c>
      <c r="R212" s="8" t="str">
        <f>_xlfn.IFS(J212&gt;=8,"Hit",J212&gt;=6,"Average",J212&lt;6,"Flop")</f>
        <v>Flop</v>
      </c>
      <c r="S212" s="9" t="str">
        <f>_xlfn.IFS(K212&gt;=400,"Blockbuster",K212&gt;=200,"Popular",K212&lt;200,"Normal")</f>
        <v>Blockbuster</v>
      </c>
      <c r="T212" s="10" t="str">
        <f>IF(OR(I212="PG",I212="G"),"Yes","No")</f>
        <v>No</v>
      </c>
      <c r="U212" s="11" t="str">
        <f>IF(P212&gt;=100,"High","Low")</f>
        <v>Low</v>
      </c>
      <c r="V212" s="28">
        <f t="shared" si="6"/>
        <v>182.3</v>
      </c>
      <c r="W212" s="29">
        <f t="shared" si="7"/>
        <v>514.31818181818187</v>
      </c>
    </row>
    <row r="213" spans="1:23" x14ac:dyDescent="0.3">
      <c r="A213" s="1" t="s">
        <v>708</v>
      </c>
      <c r="B213" s="1" t="s">
        <v>709</v>
      </c>
      <c r="C213" s="1" t="s">
        <v>18</v>
      </c>
      <c r="D213" s="1" t="s">
        <v>58</v>
      </c>
      <c r="E213" s="1">
        <v>2007</v>
      </c>
      <c r="F213" s="1" t="s">
        <v>76</v>
      </c>
      <c r="G213" s="1" t="s">
        <v>710</v>
      </c>
      <c r="H213" s="1">
        <v>166</v>
      </c>
      <c r="I213" s="1" t="s">
        <v>40</v>
      </c>
      <c r="J213" s="1">
        <v>8.3000000000000007</v>
      </c>
      <c r="K213" s="1">
        <v>499.9</v>
      </c>
      <c r="L213" s="1" t="s">
        <v>65</v>
      </c>
      <c r="M213" s="1" t="s">
        <v>124</v>
      </c>
      <c r="N213" s="1" t="s">
        <v>25</v>
      </c>
      <c r="O213" s="1"/>
      <c r="P213" s="1">
        <v>124</v>
      </c>
      <c r="Q213" s="1">
        <v>226.8</v>
      </c>
      <c r="R213" s="8" t="str">
        <f>_xlfn.IFS(J213&gt;=8,"Hit",J213&gt;=6,"Average",J213&lt;6,"Flop")</f>
        <v>Hit</v>
      </c>
      <c r="S213" s="9" t="str">
        <f>_xlfn.IFS(K213&gt;=400,"Blockbuster",K213&gt;=200,"Popular",K213&lt;200,"Normal")</f>
        <v>Blockbuster</v>
      </c>
      <c r="T213" s="10" t="str">
        <f>IF(OR(I213="PG",I213="G"),"Yes","No")</f>
        <v>Yes</v>
      </c>
      <c r="U213" s="11" t="str">
        <f>IF(P213&gt;=100,"High","Low")</f>
        <v>High</v>
      </c>
      <c r="V213" s="28">
        <f t="shared" si="6"/>
        <v>102.80000000000001</v>
      </c>
      <c r="W213" s="29">
        <f t="shared" si="7"/>
        <v>182.90322580645162</v>
      </c>
    </row>
    <row r="214" spans="1:23" x14ac:dyDescent="0.3">
      <c r="A214" s="1" t="s">
        <v>711</v>
      </c>
      <c r="B214" s="1" t="s">
        <v>712</v>
      </c>
      <c r="C214" s="1" t="s">
        <v>18</v>
      </c>
      <c r="D214" s="1" t="s">
        <v>94</v>
      </c>
      <c r="E214" s="1">
        <v>2024</v>
      </c>
      <c r="F214" s="1" t="s">
        <v>83</v>
      </c>
      <c r="G214" s="1" t="s">
        <v>713</v>
      </c>
      <c r="H214" s="1">
        <v>142</v>
      </c>
      <c r="I214" s="1" t="s">
        <v>31</v>
      </c>
      <c r="J214" s="1">
        <v>4.7</v>
      </c>
      <c r="K214" s="1">
        <v>298.7</v>
      </c>
      <c r="L214" s="1" t="s">
        <v>41</v>
      </c>
      <c r="M214" s="1" t="s">
        <v>85</v>
      </c>
      <c r="N214" s="1" t="s">
        <v>128</v>
      </c>
      <c r="O214" s="1"/>
      <c r="P214" s="1">
        <v>47</v>
      </c>
      <c r="Q214" s="1">
        <v>90.1</v>
      </c>
      <c r="R214" s="8" t="str">
        <f>_xlfn.IFS(J214&gt;=8,"Hit",J214&gt;=6,"Average",J214&lt;6,"Flop")</f>
        <v>Flop</v>
      </c>
      <c r="S214" s="9" t="str">
        <f>_xlfn.IFS(K214&gt;=400,"Blockbuster",K214&gt;=200,"Popular",K214&lt;200,"Normal")</f>
        <v>Popular</v>
      </c>
      <c r="T214" s="10" t="str">
        <f>IF(OR(I214="PG",I214="G"),"Yes","No")</f>
        <v>No</v>
      </c>
      <c r="U214" s="11" t="str">
        <f>IF(P214&gt;=100,"High","Low")</f>
        <v>Low</v>
      </c>
      <c r="V214" s="28">
        <f t="shared" si="6"/>
        <v>43.099999999999994</v>
      </c>
      <c r="W214" s="29">
        <f t="shared" si="7"/>
        <v>191.70212765957447</v>
      </c>
    </row>
    <row r="215" spans="1:23" x14ac:dyDescent="0.3">
      <c r="A215" s="1" t="s">
        <v>714</v>
      </c>
      <c r="B215" s="1" t="s">
        <v>715</v>
      </c>
      <c r="C215" s="1" t="s">
        <v>46</v>
      </c>
      <c r="D215" s="1" t="s">
        <v>58</v>
      </c>
      <c r="E215" s="1">
        <v>2002</v>
      </c>
      <c r="F215" s="1" t="s">
        <v>100</v>
      </c>
      <c r="G215" s="1" t="s">
        <v>716</v>
      </c>
      <c r="H215" s="1">
        <v>39</v>
      </c>
      <c r="I215" s="1" t="s">
        <v>50</v>
      </c>
      <c r="J215" s="1">
        <v>6.2</v>
      </c>
      <c r="K215" s="1">
        <v>198.1</v>
      </c>
      <c r="L215" s="1" t="s">
        <v>32</v>
      </c>
      <c r="M215" s="1" t="s">
        <v>111</v>
      </c>
      <c r="N215" s="1" t="s">
        <v>34</v>
      </c>
      <c r="O215" s="1">
        <v>4</v>
      </c>
      <c r="P215" s="1">
        <v>171</v>
      </c>
      <c r="Q215" s="1">
        <v>901.1</v>
      </c>
      <c r="R215" s="8" t="str">
        <f>_xlfn.IFS(J215&gt;=8,"Hit",J215&gt;=6,"Average",J215&lt;6,"Flop")</f>
        <v>Average</v>
      </c>
      <c r="S215" s="9" t="str">
        <f>_xlfn.IFS(K215&gt;=400,"Blockbuster",K215&gt;=200,"Popular",K215&lt;200,"Normal")</f>
        <v>Normal</v>
      </c>
      <c r="T215" s="10" t="str">
        <f>IF(OR(I215="PG",I215="G"),"Yes","No")</f>
        <v>Yes</v>
      </c>
      <c r="U215" s="11" t="str">
        <f>IF(P215&gt;=100,"High","Low")</f>
        <v>High</v>
      </c>
      <c r="V215" s="28">
        <f t="shared" si="6"/>
        <v>730.1</v>
      </c>
      <c r="W215" s="29">
        <f t="shared" si="7"/>
        <v>526.95906432748541</v>
      </c>
    </row>
    <row r="216" spans="1:23" x14ac:dyDescent="0.3">
      <c r="A216" s="1" t="s">
        <v>717</v>
      </c>
      <c r="B216" s="1" t="s">
        <v>718</v>
      </c>
      <c r="C216" s="1" t="s">
        <v>46</v>
      </c>
      <c r="D216" s="1" t="s">
        <v>19</v>
      </c>
      <c r="E216" s="1">
        <v>2009</v>
      </c>
      <c r="F216" s="1" t="s">
        <v>122</v>
      </c>
      <c r="G216" s="1" t="s">
        <v>719</v>
      </c>
      <c r="H216" s="1">
        <v>48</v>
      </c>
      <c r="I216" s="1" t="s">
        <v>50</v>
      </c>
      <c r="J216" s="1">
        <v>4.5999999999999996</v>
      </c>
      <c r="K216" s="1">
        <v>224.8</v>
      </c>
      <c r="L216" s="1" t="s">
        <v>71</v>
      </c>
      <c r="M216" s="1" t="s">
        <v>157</v>
      </c>
      <c r="N216" s="1" t="s">
        <v>178</v>
      </c>
      <c r="O216" s="1">
        <v>2</v>
      </c>
      <c r="P216" s="1">
        <v>49</v>
      </c>
      <c r="Q216" s="1">
        <v>295.8</v>
      </c>
      <c r="R216" s="8" t="str">
        <f>_xlfn.IFS(J216&gt;=8,"Hit",J216&gt;=6,"Average",J216&lt;6,"Flop")</f>
        <v>Flop</v>
      </c>
      <c r="S216" s="9" t="str">
        <f>_xlfn.IFS(K216&gt;=400,"Blockbuster",K216&gt;=200,"Popular",K216&lt;200,"Normal")</f>
        <v>Popular</v>
      </c>
      <c r="T216" s="10" t="str">
        <f>IF(OR(I216="PG",I216="G"),"Yes","No")</f>
        <v>Yes</v>
      </c>
      <c r="U216" s="11" t="str">
        <f>IF(P216&gt;=100,"High","Low")</f>
        <v>Low</v>
      </c>
      <c r="V216" s="28">
        <f t="shared" si="6"/>
        <v>246.8</v>
      </c>
      <c r="W216" s="29">
        <f t="shared" si="7"/>
        <v>603.67346938775506</v>
      </c>
    </row>
    <row r="217" spans="1:23" x14ac:dyDescent="0.3">
      <c r="A217" s="1" t="s">
        <v>720</v>
      </c>
      <c r="B217" s="1" t="s">
        <v>721</v>
      </c>
      <c r="C217" s="1" t="s">
        <v>18</v>
      </c>
      <c r="D217" s="1" t="s">
        <v>141</v>
      </c>
      <c r="E217" s="1">
        <v>2010</v>
      </c>
      <c r="F217" s="1" t="s">
        <v>76</v>
      </c>
      <c r="G217" s="1" t="s">
        <v>722</v>
      </c>
      <c r="H217" s="1">
        <v>120</v>
      </c>
      <c r="I217" s="1" t="s">
        <v>31</v>
      </c>
      <c r="J217" s="1">
        <v>6.9</v>
      </c>
      <c r="K217" s="1">
        <v>230.5</v>
      </c>
      <c r="L217" s="1" t="s">
        <v>171</v>
      </c>
      <c r="M217" s="1" t="s">
        <v>42</v>
      </c>
      <c r="N217" s="1" t="s">
        <v>55</v>
      </c>
      <c r="O217" s="1"/>
      <c r="P217" s="1">
        <v>117</v>
      </c>
      <c r="Q217" s="1">
        <v>538.79999999999995</v>
      </c>
      <c r="R217" s="8" t="str">
        <f>_xlfn.IFS(J217&gt;=8,"Hit",J217&gt;=6,"Average",J217&lt;6,"Flop")</f>
        <v>Average</v>
      </c>
      <c r="S217" s="9" t="str">
        <f>_xlfn.IFS(K217&gt;=400,"Blockbuster",K217&gt;=200,"Popular",K217&lt;200,"Normal")</f>
        <v>Popular</v>
      </c>
      <c r="T217" s="10" t="str">
        <f>IF(OR(I217="PG",I217="G"),"Yes","No")</f>
        <v>No</v>
      </c>
      <c r="U217" s="11" t="str">
        <f>IF(P217&gt;=100,"High","Low")</f>
        <v>High</v>
      </c>
      <c r="V217" s="28">
        <f t="shared" si="6"/>
        <v>421.79999999999995</v>
      </c>
      <c r="W217" s="29">
        <f t="shared" si="7"/>
        <v>460.5128205128205</v>
      </c>
    </row>
    <row r="218" spans="1:23" x14ac:dyDescent="0.3">
      <c r="A218" s="1" t="s">
        <v>723</v>
      </c>
      <c r="B218" s="1" t="s">
        <v>724</v>
      </c>
      <c r="C218" s="1" t="s">
        <v>18</v>
      </c>
      <c r="D218" s="1" t="s">
        <v>94</v>
      </c>
      <c r="E218" s="1">
        <v>2000</v>
      </c>
      <c r="F218" s="1" t="s">
        <v>29</v>
      </c>
      <c r="G218" s="1" t="s">
        <v>725</v>
      </c>
      <c r="H218" s="1">
        <v>179</v>
      </c>
      <c r="I218" s="1" t="s">
        <v>40</v>
      </c>
      <c r="J218" s="1">
        <v>5.9</v>
      </c>
      <c r="K218" s="1">
        <v>528.70000000000005</v>
      </c>
      <c r="L218" s="1" t="s">
        <v>71</v>
      </c>
      <c r="M218" s="1" t="s">
        <v>85</v>
      </c>
      <c r="N218" s="1" t="s">
        <v>86</v>
      </c>
      <c r="O218" s="1"/>
      <c r="P218" s="1">
        <v>22</v>
      </c>
      <c r="Q218" s="1">
        <v>83.2</v>
      </c>
      <c r="R218" s="8" t="str">
        <f>_xlfn.IFS(J218&gt;=8,"Hit",J218&gt;=6,"Average",J218&lt;6,"Flop")</f>
        <v>Flop</v>
      </c>
      <c r="S218" s="9" t="str">
        <f>_xlfn.IFS(K218&gt;=400,"Blockbuster",K218&gt;=200,"Popular",K218&lt;200,"Normal")</f>
        <v>Blockbuster</v>
      </c>
      <c r="T218" s="10" t="str">
        <f>IF(OR(I218="PG",I218="G"),"Yes","No")</f>
        <v>Yes</v>
      </c>
      <c r="U218" s="11" t="str">
        <f>IF(P218&gt;=100,"High","Low")</f>
        <v>Low</v>
      </c>
      <c r="V218" s="28">
        <f t="shared" si="6"/>
        <v>61.2</v>
      </c>
      <c r="W218" s="29">
        <f t="shared" si="7"/>
        <v>378.18181818181819</v>
      </c>
    </row>
    <row r="219" spans="1:23" x14ac:dyDescent="0.3">
      <c r="A219" s="1" t="s">
        <v>726</v>
      </c>
      <c r="B219" s="1" t="s">
        <v>727</v>
      </c>
      <c r="C219" s="1" t="s">
        <v>18</v>
      </c>
      <c r="D219" s="1" t="s">
        <v>28</v>
      </c>
      <c r="E219" s="1">
        <v>2007</v>
      </c>
      <c r="F219" s="1" t="s">
        <v>76</v>
      </c>
      <c r="G219" s="1" t="s">
        <v>728</v>
      </c>
      <c r="H219" s="1">
        <v>165</v>
      </c>
      <c r="I219" s="1" t="s">
        <v>31</v>
      </c>
      <c r="J219" s="1">
        <v>8.8000000000000007</v>
      </c>
      <c r="K219" s="1">
        <v>332</v>
      </c>
      <c r="L219" s="1" t="s">
        <v>41</v>
      </c>
      <c r="M219" s="1" t="s">
        <v>132</v>
      </c>
      <c r="N219" s="1" t="s">
        <v>79</v>
      </c>
      <c r="O219" s="1"/>
      <c r="P219" s="1">
        <v>21</v>
      </c>
      <c r="Q219" s="1">
        <v>120.5</v>
      </c>
      <c r="R219" s="8" t="str">
        <f>_xlfn.IFS(J219&gt;=8,"Hit",J219&gt;=6,"Average",J219&lt;6,"Flop")</f>
        <v>Hit</v>
      </c>
      <c r="S219" s="9" t="str">
        <f>_xlfn.IFS(K219&gt;=400,"Blockbuster",K219&gt;=200,"Popular",K219&lt;200,"Normal")</f>
        <v>Popular</v>
      </c>
      <c r="T219" s="10" t="str">
        <f>IF(OR(I219="PG",I219="G"),"Yes","No")</f>
        <v>No</v>
      </c>
      <c r="U219" s="11" t="str">
        <f>IF(P219&gt;=100,"High","Low")</f>
        <v>Low</v>
      </c>
      <c r="V219" s="28">
        <f t="shared" si="6"/>
        <v>99.5</v>
      </c>
      <c r="W219" s="29">
        <f t="shared" si="7"/>
        <v>573.80952380952385</v>
      </c>
    </row>
    <row r="220" spans="1:23" x14ac:dyDescent="0.3">
      <c r="A220" s="1" t="s">
        <v>729</v>
      </c>
      <c r="B220" s="1" t="s">
        <v>730</v>
      </c>
      <c r="C220" s="1" t="s">
        <v>46</v>
      </c>
      <c r="D220" s="1" t="s">
        <v>117</v>
      </c>
      <c r="E220" s="1">
        <v>2022</v>
      </c>
      <c r="F220" s="1" t="s">
        <v>38</v>
      </c>
      <c r="G220" s="1" t="s">
        <v>731</v>
      </c>
      <c r="H220" s="1">
        <v>38</v>
      </c>
      <c r="I220" s="1" t="s">
        <v>31</v>
      </c>
      <c r="J220" s="1">
        <v>8.9</v>
      </c>
      <c r="K220" s="1">
        <v>180.7</v>
      </c>
      <c r="L220" s="1" t="s">
        <v>171</v>
      </c>
      <c r="M220" s="1" t="s">
        <v>146</v>
      </c>
      <c r="N220" s="1" t="s">
        <v>34</v>
      </c>
      <c r="O220" s="1">
        <v>1</v>
      </c>
      <c r="P220" s="1">
        <v>104</v>
      </c>
      <c r="Q220" s="1">
        <v>151.19999999999999</v>
      </c>
      <c r="R220" s="8" t="str">
        <f>_xlfn.IFS(J220&gt;=8,"Hit",J220&gt;=6,"Average",J220&lt;6,"Flop")</f>
        <v>Hit</v>
      </c>
      <c r="S220" s="9" t="str">
        <f>_xlfn.IFS(K220&gt;=400,"Blockbuster",K220&gt;=200,"Popular",K220&lt;200,"Normal")</f>
        <v>Normal</v>
      </c>
      <c r="T220" s="10" t="str">
        <f>IF(OR(I220="PG",I220="G"),"Yes","No")</f>
        <v>No</v>
      </c>
      <c r="U220" s="11" t="str">
        <f>IF(P220&gt;=100,"High","Low")</f>
        <v>High</v>
      </c>
      <c r="V220" s="28">
        <f t="shared" si="6"/>
        <v>47.199999999999989</v>
      </c>
      <c r="W220" s="29">
        <f t="shared" si="7"/>
        <v>145.38461538461539</v>
      </c>
    </row>
    <row r="221" spans="1:23" x14ac:dyDescent="0.3">
      <c r="A221" s="1" t="s">
        <v>732</v>
      </c>
      <c r="B221" s="1" t="s">
        <v>733</v>
      </c>
      <c r="C221" s="1" t="s">
        <v>18</v>
      </c>
      <c r="D221" s="1" t="s">
        <v>47</v>
      </c>
      <c r="E221" s="1">
        <v>2006</v>
      </c>
      <c r="F221" s="1" t="s">
        <v>29</v>
      </c>
      <c r="G221" s="1" t="s">
        <v>734</v>
      </c>
      <c r="H221" s="1">
        <v>169</v>
      </c>
      <c r="I221" s="1" t="s">
        <v>110</v>
      </c>
      <c r="J221" s="1">
        <v>9.6</v>
      </c>
      <c r="K221" s="1">
        <v>149</v>
      </c>
      <c r="L221" s="1" t="s">
        <v>90</v>
      </c>
      <c r="M221" s="1" t="s">
        <v>72</v>
      </c>
      <c r="N221" s="1" t="s">
        <v>79</v>
      </c>
      <c r="O221" s="1"/>
      <c r="P221" s="1">
        <v>97</v>
      </c>
      <c r="Q221" s="1">
        <v>546.20000000000005</v>
      </c>
      <c r="R221" s="8" t="str">
        <f>_xlfn.IFS(J221&gt;=8,"Hit",J221&gt;=6,"Average",J221&lt;6,"Flop")</f>
        <v>Hit</v>
      </c>
      <c r="S221" s="9" t="str">
        <f>_xlfn.IFS(K221&gt;=400,"Blockbuster",K221&gt;=200,"Popular",K221&lt;200,"Normal")</f>
        <v>Normal</v>
      </c>
      <c r="T221" s="10" t="str">
        <f>IF(OR(I221="PG",I221="G"),"Yes","No")</f>
        <v>No</v>
      </c>
      <c r="U221" s="11" t="str">
        <f>IF(P221&gt;=100,"High","Low")</f>
        <v>Low</v>
      </c>
      <c r="V221" s="28">
        <f t="shared" si="6"/>
        <v>449.20000000000005</v>
      </c>
      <c r="W221" s="29">
        <f t="shared" si="7"/>
        <v>563.09278350515467</v>
      </c>
    </row>
    <row r="222" spans="1:23" x14ac:dyDescent="0.3">
      <c r="A222" s="1" t="s">
        <v>735</v>
      </c>
      <c r="B222" s="1" t="s">
        <v>736</v>
      </c>
      <c r="C222" s="1" t="s">
        <v>18</v>
      </c>
      <c r="D222" s="1" t="s">
        <v>47</v>
      </c>
      <c r="E222" s="1">
        <v>2022</v>
      </c>
      <c r="F222" s="1" t="s">
        <v>83</v>
      </c>
      <c r="G222" s="1" t="s">
        <v>737</v>
      </c>
      <c r="H222" s="1">
        <v>175</v>
      </c>
      <c r="I222" s="1" t="s">
        <v>31</v>
      </c>
      <c r="J222" s="1">
        <v>8.3000000000000007</v>
      </c>
      <c r="K222" s="1">
        <v>216.9</v>
      </c>
      <c r="L222" s="1" t="s">
        <v>41</v>
      </c>
      <c r="M222" s="1" t="s">
        <v>85</v>
      </c>
      <c r="N222" s="1" t="s">
        <v>79</v>
      </c>
      <c r="O222" s="1"/>
      <c r="P222" s="1">
        <v>59</v>
      </c>
      <c r="Q222" s="1">
        <v>351.7</v>
      </c>
      <c r="R222" s="8" t="str">
        <f>_xlfn.IFS(J222&gt;=8,"Hit",J222&gt;=6,"Average",J222&lt;6,"Flop")</f>
        <v>Hit</v>
      </c>
      <c r="S222" s="9" t="str">
        <f>_xlfn.IFS(K222&gt;=400,"Blockbuster",K222&gt;=200,"Popular",K222&lt;200,"Normal")</f>
        <v>Popular</v>
      </c>
      <c r="T222" s="10" t="str">
        <f>IF(OR(I222="PG",I222="G"),"Yes","No")</f>
        <v>No</v>
      </c>
      <c r="U222" s="11" t="str">
        <f>IF(P222&gt;=100,"High","Low")</f>
        <v>Low</v>
      </c>
      <c r="V222" s="28">
        <f t="shared" si="6"/>
        <v>292.7</v>
      </c>
      <c r="W222" s="29">
        <f t="shared" si="7"/>
        <v>596.10169491525426</v>
      </c>
    </row>
    <row r="223" spans="1:23" x14ac:dyDescent="0.3">
      <c r="A223" s="1" t="s">
        <v>738</v>
      </c>
      <c r="B223" s="1" t="s">
        <v>739</v>
      </c>
      <c r="C223" s="1" t="s">
        <v>18</v>
      </c>
      <c r="D223" s="1" t="s">
        <v>117</v>
      </c>
      <c r="E223" s="1">
        <v>2003</v>
      </c>
      <c r="F223" s="1" t="s">
        <v>38</v>
      </c>
      <c r="G223" s="1" t="s">
        <v>740</v>
      </c>
      <c r="H223" s="1">
        <v>131</v>
      </c>
      <c r="I223" s="1" t="s">
        <v>110</v>
      </c>
      <c r="J223" s="1">
        <v>6.1</v>
      </c>
      <c r="K223" s="1">
        <v>384.6</v>
      </c>
      <c r="L223" s="1" t="s">
        <v>41</v>
      </c>
      <c r="M223" s="1" t="s">
        <v>42</v>
      </c>
      <c r="N223" s="1" t="s">
        <v>128</v>
      </c>
      <c r="O223" s="1"/>
      <c r="P223" s="1">
        <v>138</v>
      </c>
      <c r="Q223" s="1">
        <v>817.6</v>
      </c>
      <c r="R223" s="8" t="str">
        <f>_xlfn.IFS(J223&gt;=8,"Hit",J223&gt;=6,"Average",J223&lt;6,"Flop")</f>
        <v>Average</v>
      </c>
      <c r="S223" s="9" t="str">
        <f>_xlfn.IFS(K223&gt;=400,"Blockbuster",K223&gt;=200,"Popular",K223&lt;200,"Normal")</f>
        <v>Popular</v>
      </c>
      <c r="T223" s="10" t="str">
        <f>IF(OR(I223="PG",I223="G"),"Yes","No")</f>
        <v>No</v>
      </c>
      <c r="U223" s="11" t="str">
        <f>IF(P223&gt;=100,"High","Low")</f>
        <v>High</v>
      </c>
      <c r="V223" s="28">
        <f t="shared" si="6"/>
        <v>679.6</v>
      </c>
      <c r="W223" s="29">
        <f t="shared" si="7"/>
        <v>592.463768115942</v>
      </c>
    </row>
    <row r="224" spans="1:23" x14ac:dyDescent="0.3">
      <c r="A224" s="1" t="s">
        <v>741</v>
      </c>
      <c r="B224" s="1" t="s">
        <v>742</v>
      </c>
      <c r="C224" s="1" t="s">
        <v>46</v>
      </c>
      <c r="D224" s="1" t="s">
        <v>63</v>
      </c>
      <c r="E224" s="1">
        <v>2010</v>
      </c>
      <c r="F224" s="1" t="s">
        <v>95</v>
      </c>
      <c r="G224" s="1" t="s">
        <v>571</v>
      </c>
      <c r="H224" s="1">
        <v>36</v>
      </c>
      <c r="I224" s="1" t="s">
        <v>22</v>
      </c>
      <c r="J224" s="1">
        <v>5.3</v>
      </c>
      <c r="K224" s="1">
        <v>174.5</v>
      </c>
      <c r="L224" s="1" t="s">
        <v>32</v>
      </c>
      <c r="M224" s="1" t="s">
        <v>124</v>
      </c>
      <c r="N224" s="1" t="s">
        <v>158</v>
      </c>
      <c r="O224" s="1">
        <v>1</v>
      </c>
      <c r="P224" s="1">
        <v>124</v>
      </c>
      <c r="Q224" s="1">
        <v>707.9</v>
      </c>
      <c r="R224" s="8" t="str">
        <f>_xlfn.IFS(J224&gt;=8,"Hit",J224&gt;=6,"Average",J224&lt;6,"Flop")</f>
        <v>Flop</v>
      </c>
      <c r="S224" s="9" t="str">
        <f>_xlfn.IFS(K224&gt;=400,"Blockbuster",K224&gt;=200,"Popular",K224&lt;200,"Normal")</f>
        <v>Normal</v>
      </c>
      <c r="T224" s="10" t="str">
        <f>IF(OR(I224="PG",I224="G"),"Yes","No")</f>
        <v>No</v>
      </c>
      <c r="U224" s="11" t="str">
        <f>IF(P224&gt;=100,"High","Low")</f>
        <v>High</v>
      </c>
      <c r="V224" s="28">
        <f t="shared" si="6"/>
        <v>583.9</v>
      </c>
      <c r="W224" s="29">
        <f t="shared" si="7"/>
        <v>570.88709677419354</v>
      </c>
    </row>
    <row r="225" spans="1:23" x14ac:dyDescent="0.3">
      <c r="A225" s="1" t="s">
        <v>743</v>
      </c>
      <c r="B225" s="1" t="s">
        <v>744</v>
      </c>
      <c r="C225" s="1" t="s">
        <v>18</v>
      </c>
      <c r="D225" s="1" t="s">
        <v>75</v>
      </c>
      <c r="E225" s="1">
        <v>2011</v>
      </c>
      <c r="F225" s="1" t="s">
        <v>76</v>
      </c>
      <c r="G225" s="1" t="s">
        <v>745</v>
      </c>
      <c r="H225" s="1">
        <v>143</v>
      </c>
      <c r="I225" s="1" t="s">
        <v>50</v>
      </c>
      <c r="J225" s="1">
        <v>4.7</v>
      </c>
      <c r="K225" s="1">
        <v>30.1</v>
      </c>
      <c r="L225" s="1" t="s">
        <v>41</v>
      </c>
      <c r="M225" s="1" t="s">
        <v>78</v>
      </c>
      <c r="N225" s="1" t="s">
        <v>60</v>
      </c>
      <c r="O225" s="1"/>
      <c r="P225" s="1">
        <v>105</v>
      </c>
      <c r="Q225" s="1">
        <v>442.1</v>
      </c>
      <c r="R225" s="8" t="str">
        <f>_xlfn.IFS(J225&gt;=8,"Hit",J225&gt;=6,"Average",J225&lt;6,"Flop")</f>
        <v>Flop</v>
      </c>
      <c r="S225" s="9" t="str">
        <f>_xlfn.IFS(K225&gt;=400,"Blockbuster",K225&gt;=200,"Popular",K225&lt;200,"Normal")</f>
        <v>Normal</v>
      </c>
      <c r="T225" s="10" t="str">
        <f>IF(OR(I225="PG",I225="G"),"Yes","No")</f>
        <v>Yes</v>
      </c>
      <c r="U225" s="11" t="str">
        <f>IF(P225&gt;=100,"High","Low")</f>
        <v>High</v>
      </c>
      <c r="V225" s="28">
        <f t="shared" si="6"/>
        <v>337.1</v>
      </c>
      <c r="W225" s="29">
        <f t="shared" si="7"/>
        <v>421.04761904761904</v>
      </c>
    </row>
    <row r="226" spans="1:23" x14ac:dyDescent="0.3">
      <c r="A226" s="1" t="s">
        <v>746</v>
      </c>
      <c r="B226" s="1" t="s">
        <v>747</v>
      </c>
      <c r="C226" s="1" t="s">
        <v>46</v>
      </c>
      <c r="D226" s="1" t="s">
        <v>117</v>
      </c>
      <c r="E226" s="1">
        <v>2004</v>
      </c>
      <c r="F226" s="1" t="s">
        <v>181</v>
      </c>
      <c r="G226" s="1" t="s">
        <v>748</v>
      </c>
      <c r="H226" s="1">
        <v>52</v>
      </c>
      <c r="I226" s="1" t="s">
        <v>50</v>
      </c>
      <c r="J226" s="1">
        <v>9.1999999999999993</v>
      </c>
      <c r="K226" s="1">
        <v>424.6</v>
      </c>
      <c r="L226" s="1" t="s">
        <v>32</v>
      </c>
      <c r="M226" s="1" t="s">
        <v>97</v>
      </c>
      <c r="N226" s="1" t="s">
        <v>178</v>
      </c>
      <c r="O226" s="1">
        <v>3</v>
      </c>
      <c r="P226" s="1">
        <v>136</v>
      </c>
      <c r="Q226" s="1">
        <v>737.9</v>
      </c>
      <c r="R226" s="8" t="str">
        <f>_xlfn.IFS(J226&gt;=8,"Hit",J226&gt;=6,"Average",J226&lt;6,"Flop")</f>
        <v>Hit</v>
      </c>
      <c r="S226" s="9" t="str">
        <f>_xlfn.IFS(K226&gt;=400,"Blockbuster",K226&gt;=200,"Popular",K226&lt;200,"Normal")</f>
        <v>Blockbuster</v>
      </c>
      <c r="T226" s="10" t="str">
        <f>IF(OR(I226="PG",I226="G"),"Yes","No")</f>
        <v>Yes</v>
      </c>
      <c r="U226" s="11" t="str">
        <f>IF(P226&gt;=100,"High","Low")</f>
        <v>High</v>
      </c>
      <c r="V226" s="28">
        <f t="shared" si="6"/>
        <v>601.9</v>
      </c>
      <c r="W226" s="29">
        <f t="shared" si="7"/>
        <v>542.57352941176475</v>
      </c>
    </row>
    <row r="227" spans="1:23" x14ac:dyDescent="0.3">
      <c r="A227" s="1" t="s">
        <v>749</v>
      </c>
      <c r="B227" s="1" t="s">
        <v>750</v>
      </c>
      <c r="C227" s="1" t="s">
        <v>46</v>
      </c>
      <c r="D227" s="1" t="s">
        <v>19</v>
      </c>
      <c r="E227" s="1">
        <v>2024</v>
      </c>
      <c r="F227" s="1" t="s">
        <v>100</v>
      </c>
      <c r="G227" s="1" t="s">
        <v>751</v>
      </c>
      <c r="H227" s="1">
        <v>53</v>
      </c>
      <c r="I227" s="1" t="s">
        <v>22</v>
      </c>
      <c r="J227" s="1">
        <v>8.8000000000000007</v>
      </c>
      <c r="K227" s="1">
        <v>55.2</v>
      </c>
      <c r="L227" s="1" t="s">
        <v>171</v>
      </c>
      <c r="M227" s="1" t="s">
        <v>24</v>
      </c>
      <c r="N227" s="1" t="s">
        <v>55</v>
      </c>
      <c r="O227" s="1">
        <v>4</v>
      </c>
      <c r="P227" s="1">
        <v>174</v>
      </c>
      <c r="Q227" s="1">
        <v>342.4</v>
      </c>
      <c r="R227" s="8" t="str">
        <f>_xlfn.IFS(J227&gt;=8,"Hit",J227&gt;=6,"Average",J227&lt;6,"Flop")</f>
        <v>Hit</v>
      </c>
      <c r="S227" s="9" t="str">
        <f>_xlfn.IFS(K227&gt;=400,"Blockbuster",K227&gt;=200,"Popular",K227&lt;200,"Normal")</f>
        <v>Normal</v>
      </c>
      <c r="T227" s="10" t="str">
        <f>IF(OR(I227="PG",I227="G"),"Yes","No")</f>
        <v>No</v>
      </c>
      <c r="U227" s="11" t="str">
        <f>IF(P227&gt;=100,"High","Low")</f>
        <v>High</v>
      </c>
      <c r="V227" s="28">
        <f t="shared" si="6"/>
        <v>168.39999999999998</v>
      </c>
      <c r="W227" s="29">
        <f t="shared" si="7"/>
        <v>196.7816091954023</v>
      </c>
    </row>
    <row r="228" spans="1:23" x14ac:dyDescent="0.3">
      <c r="A228" s="1" t="s">
        <v>752</v>
      </c>
      <c r="B228" s="1" t="s">
        <v>753</v>
      </c>
      <c r="C228" s="1" t="s">
        <v>18</v>
      </c>
      <c r="D228" s="1" t="s">
        <v>75</v>
      </c>
      <c r="E228" s="1">
        <v>2006</v>
      </c>
      <c r="F228" s="1" t="s">
        <v>48</v>
      </c>
      <c r="G228" s="1" t="s">
        <v>754</v>
      </c>
      <c r="H228" s="1">
        <v>169</v>
      </c>
      <c r="I228" s="1" t="s">
        <v>22</v>
      </c>
      <c r="J228" s="1">
        <v>4.9000000000000004</v>
      </c>
      <c r="K228" s="1">
        <v>141.9</v>
      </c>
      <c r="L228" s="1" t="s">
        <v>171</v>
      </c>
      <c r="M228" s="1" t="s">
        <v>146</v>
      </c>
      <c r="N228" s="1" t="s">
        <v>86</v>
      </c>
      <c r="O228" s="1"/>
      <c r="P228" s="1">
        <v>121</v>
      </c>
      <c r="Q228" s="1">
        <v>372.3</v>
      </c>
      <c r="R228" s="8" t="str">
        <f>_xlfn.IFS(J228&gt;=8,"Hit",J228&gt;=6,"Average",J228&lt;6,"Flop")</f>
        <v>Flop</v>
      </c>
      <c r="S228" s="9" t="str">
        <f>_xlfn.IFS(K228&gt;=400,"Blockbuster",K228&gt;=200,"Popular",K228&lt;200,"Normal")</f>
        <v>Normal</v>
      </c>
      <c r="T228" s="10" t="str">
        <f>IF(OR(I228="PG",I228="G"),"Yes","No")</f>
        <v>No</v>
      </c>
      <c r="U228" s="11" t="str">
        <f>IF(P228&gt;=100,"High","Low")</f>
        <v>High</v>
      </c>
      <c r="V228" s="28">
        <f t="shared" si="6"/>
        <v>251.3</v>
      </c>
      <c r="W228" s="29">
        <f t="shared" si="7"/>
        <v>307.68595041322311</v>
      </c>
    </row>
    <row r="229" spans="1:23" x14ac:dyDescent="0.3">
      <c r="A229" s="1" t="s">
        <v>755</v>
      </c>
      <c r="B229" s="1" t="s">
        <v>756</v>
      </c>
      <c r="C229" s="1" t="s">
        <v>18</v>
      </c>
      <c r="D229" s="1" t="s">
        <v>94</v>
      </c>
      <c r="E229" s="1">
        <v>2019</v>
      </c>
      <c r="F229" s="1" t="s">
        <v>20</v>
      </c>
      <c r="G229" s="1" t="s">
        <v>757</v>
      </c>
      <c r="H229" s="1">
        <v>168</v>
      </c>
      <c r="I229" s="1" t="s">
        <v>50</v>
      </c>
      <c r="J229" s="1">
        <v>4.5999999999999996</v>
      </c>
      <c r="K229" s="1">
        <v>461.6</v>
      </c>
      <c r="L229" s="1" t="s">
        <v>32</v>
      </c>
      <c r="M229" s="1" t="s">
        <v>146</v>
      </c>
      <c r="N229" s="1" t="s">
        <v>86</v>
      </c>
      <c r="O229" s="1"/>
      <c r="P229" s="1">
        <v>173</v>
      </c>
      <c r="Q229" s="1">
        <v>436.3</v>
      </c>
      <c r="R229" s="8" t="str">
        <f>_xlfn.IFS(J229&gt;=8,"Hit",J229&gt;=6,"Average",J229&lt;6,"Flop")</f>
        <v>Flop</v>
      </c>
      <c r="S229" s="9" t="str">
        <f>_xlfn.IFS(K229&gt;=400,"Blockbuster",K229&gt;=200,"Popular",K229&lt;200,"Normal")</f>
        <v>Blockbuster</v>
      </c>
      <c r="T229" s="10" t="str">
        <f>IF(OR(I229="PG",I229="G"),"Yes","No")</f>
        <v>Yes</v>
      </c>
      <c r="U229" s="11" t="str">
        <f>IF(P229&gt;=100,"High","Low")</f>
        <v>High</v>
      </c>
      <c r="V229" s="28">
        <f t="shared" si="6"/>
        <v>263.3</v>
      </c>
      <c r="W229" s="29">
        <f t="shared" si="7"/>
        <v>252.19653179190752</v>
      </c>
    </row>
    <row r="230" spans="1:23" x14ac:dyDescent="0.3">
      <c r="A230" s="1" t="s">
        <v>758</v>
      </c>
      <c r="B230" s="1" t="s">
        <v>759</v>
      </c>
      <c r="C230" s="1" t="s">
        <v>46</v>
      </c>
      <c r="D230" s="1" t="s">
        <v>28</v>
      </c>
      <c r="E230" s="1">
        <v>2014</v>
      </c>
      <c r="F230" s="1" t="s">
        <v>122</v>
      </c>
      <c r="G230" s="1" t="s">
        <v>760</v>
      </c>
      <c r="H230" s="1">
        <v>42</v>
      </c>
      <c r="I230" s="1" t="s">
        <v>22</v>
      </c>
      <c r="J230" s="1">
        <v>8.5</v>
      </c>
      <c r="K230" s="1">
        <v>354.5</v>
      </c>
      <c r="L230" s="1" t="s">
        <v>65</v>
      </c>
      <c r="M230" s="1" t="s">
        <v>54</v>
      </c>
      <c r="N230" s="1" t="s">
        <v>55</v>
      </c>
      <c r="O230" s="1">
        <v>2</v>
      </c>
      <c r="P230" s="1">
        <v>155</v>
      </c>
      <c r="Q230" s="1">
        <v>946.6</v>
      </c>
      <c r="R230" s="8" t="str">
        <f>_xlfn.IFS(J230&gt;=8,"Hit",J230&gt;=6,"Average",J230&lt;6,"Flop")</f>
        <v>Hit</v>
      </c>
      <c r="S230" s="9" t="str">
        <f>_xlfn.IFS(K230&gt;=400,"Blockbuster",K230&gt;=200,"Popular",K230&lt;200,"Normal")</f>
        <v>Popular</v>
      </c>
      <c r="T230" s="10" t="str">
        <f>IF(OR(I230="PG",I230="G"),"Yes","No")</f>
        <v>No</v>
      </c>
      <c r="U230" s="11" t="str">
        <f>IF(P230&gt;=100,"High","Low")</f>
        <v>High</v>
      </c>
      <c r="V230" s="28">
        <f t="shared" si="6"/>
        <v>791.6</v>
      </c>
      <c r="W230" s="29">
        <f t="shared" si="7"/>
        <v>610.70967741935488</v>
      </c>
    </row>
    <row r="231" spans="1:23" x14ac:dyDescent="0.3">
      <c r="A231" s="1" t="s">
        <v>761</v>
      </c>
      <c r="B231" s="1" t="s">
        <v>762</v>
      </c>
      <c r="C231" s="1" t="s">
        <v>46</v>
      </c>
      <c r="D231" s="1" t="s">
        <v>58</v>
      </c>
      <c r="E231" s="1">
        <v>2006</v>
      </c>
      <c r="F231" s="1" t="s">
        <v>122</v>
      </c>
      <c r="G231" s="1" t="s">
        <v>763</v>
      </c>
      <c r="H231" s="1">
        <v>42</v>
      </c>
      <c r="I231" s="1" t="s">
        <v>110</v>
      </c>
      <c r="J231" s="1">
        <v>5.2</v>
      </c>
      <c r="K231" s="1">
        <v>513.1</v>
      </c>
      <c r="L231" s="1" t="s">
        <v>90</v>
      </c>
      <c r="M231" s="1" t="s">
        <v>33</v>
      </c>
      <c r="N231" s="1" t="s">
        <v>86</v>
      </c>
      <c r="O231" s="1">
        <v>4</v>
      </c>
      <c r="P231" s="1">
        <v>105</v>
      </c>
      <c r="Q231" s="1">
        <v>175.3</v>
      </c>
      <c r="R231" s="8" t="str">
        <f>_xlfn.IFS(J231&gt;=8,"Hit",J231&gt;=6,"Average",J231&lt;6,"Flop")</f>
        <v>Flop</v>
      </c>
      <c r="S231" s="9" t="str">
        <f>_xlfn.IFS(K231&gt;=400,"Blockbuster",K231&gt;=200,"Popular",K231&lt;200,"Normal")</f>
        <v>Blockbuster</v>
      </c>
      <c r="T231" s="10" t="str">
        <f>IF(OR(I231="PG",I231="G"),"Yes","No")</f>
        <v>No</v>
      </c>
      <c r="U231" s="11" t="str">
        <f>IF(P231&gt;=100,"High","Low")</f>
        <v>High</v>
      </c>
      <c r="V231" s="28">
        <f t="shared" si="6"/>
        <v>70.300000000000011</v>
      </c>
      <c r="W231" s="29">
        <f t="shared" si="7"/>
        <v>166.95238095238096</v>
      </c>
    </row>
    <row r="232" spans="1:23" x14ac:dyDescent="0.3">
      <c r="A232" s="1" t="s">
        <v>764</v>
      </c>
      <c r="B232" s="1" t="s">
        <v>765</v>
      </c>
      <c r="C232" s="1" t="s">
        <v>18</v>
      </c>
      <c r="D232" s="1" t="s">
        <v>82</v>
      </c>
      <c r="E232" s="1">
        <v>2003</v>
      </c>
      <c r="F232" s="1" t="s">
        <v>48</v>
      </c>
      <c r="G232" s="1" t="s">
        <v>766</v>
      </c>
      <c r="H232" s="1">
        <v>109</v>
      </c>
      <c r="I232" s="1" t="s">
        <v>40</v>
      </c>
      <c r="J232" s="1">
        <v>8.8000000000000007</v>
      </c>
      <c r="K232" s="1">
        <v>243.9</v>
      </c>
      <c r="L232" s="1" t="s">
        <v>41</v>
      </c>
      <c r="M232" s="1" t="s">
        <v>24</v>
      </c>
      <c r="N232" s="1" t="s">
        <v>34</v>
      </c>
      <c r="O232" s="1"/>
      <c r="P232" s="1">
        <v>32</v>
      </c>
      <c r="Q232" s="1">
        <v>131.80000000000001</v>
      </c>
      <c r="R232" s="8" t="str">
        <f>_xlfn.IFS(J232&gt;=8,"Hit",J232&gt;=6,"Average",J232&lt;6,"Flop")</f>
        <v>Hit</v>
      </c>
      <c r="S232" s="9" t="str">
        <f>_xlfn.IFS(K232&gt;=400,"Blockbuster",K232&gt;=200,"Popular",K232&lt;200,"Normal")</f>
        <v>Popular</v>
      </c>
      <c r="T232" s="10" t="str">
        <f>IF(OR(I232="PG",I232="G"),"Yes","No")</f>
        <v>Yes</v>
      </c>
      <c r="U232" s="11" t="str">
        <f>IF(P232&gt;=100,"High","Low")</f>
        <v>Low</v>
      </c>
      <c r="V232" s="28">
        <f t="shared" si="6"/>
        <v>99.800000000000011</v>
      </c>
      <c r="W232" s="29">
        <f t="shared" si="7"/>
        <v>411.87500000000006</v>
      </c>
    </row>
    <row r="233" spans="1:23" x14ac:dyDescent="0.3">
      <c r="A233" s="1" t="s">
        <v>767</v>
      </c>
      <c r="B233" s="1" t="s">
        <v>768</v>
      </c>
      <c r="C233" s="1" t="s">
        <v>18</v>
      </c>
      <c r="D233" s="1" t="s">
        <v>94</v>
      </c>
      <c r="E233" s="1">
        <v>2017</v>
      </c>
      <c r="F233" s="1" t="s">
        <v>83</v>
      </c>
      <c r="G233" s="1" t="s">
        <v>769</v>
      </c>
      <c r="H233" s="1">
        <v>168</v>
      </c>
      <c r="I233" s="1" t="s">
        <v>110</v>
      </c>
      <c r="J233" s="1">
        <v>4.7</v>
      </c>
      <c r="K233" s="1">
        <v>487.1</v>
      </c>
      <c r="L233" s="1" t="s">
        <v>90</v>
      </c>
      <c r="M233" s="1" t="s">
        <v>72</v>
      </c>
      <c r="N233" s="1" t="s">
        <v>86</v>
      </c>
      <c r="O233" s="1"/>
      <c r="P233" s="1">
        <v>99</v>
      </c>
      <c r="Q233" s="1">
        <v>436.6</v>
      </c>
      <c r="R233" s="8" t="str">
        <f>_xlfn.IFS(J233&gt;=8,"Hit",J233&gt;=6,"Average",J233&lt;6,"Flop")</f>
        <v>Flop</v>
      </c>
      <c r="S233" s="9" t="str">
        <f>_xlfn.IFS(K233&gt;=400,"Blockbuster",K233&gt;=200,"Popular",K233&lt;200,"Normal")</f>
        <v>Blockbuster</v>
      </c>
      <c r="T233" s="10" t="str">
        <f>IF(OR(I233="PG",I233="G"),"Yes","No")</f>
        <v>No</v>
      </c>
      <c r="U233" s="11" t="str">
        <f>IF(P233&gt;=100,"High","Low")</f>
        <v>Low</v>
      </c>
      <c r="V233" s="28">
        <f t="shared" si="6"/>
        <v>337.6</v>
      </c>
      <c r="W233" s="29">
        <f t="shared" si="7"/>
        <v>441.0101010101011</v>
      </c>
    </row>
    <row r="234" spans="1:23" x14ac:dyDescent="0.3">
      <c r="A234" s="1" t="s">
        <v>770</v>
      </c>
      <c r="B234" s="1" t="s">
        <v>771</v>
      </c>
      <c r="C234" s="1" t="s">
        <v>46</v>
      </c>
      <c r="D234" s="1" t="s">
        <v>47</v>
      </c>
      <c r="E234" s="1">
        <v>2023</v>
      </c>
      <c r="F234" s="1" t="s">
        <v>83</v>
      </c>
      <c r="G234" s="1" t="s">
        <v>772</v>
      </c>
      <c r="H234" s="1">
        <v>38</v>
      </c>
      <c r="I234" s="1" t="s">
        <v>22</v>
      </c>
      <c r="J234" s="1">
        <v>4.5</v>
      </c>
      <c r="K234" s="1">
        <v>524.9</v>
      </c>
      <c r="L234" s="1" t="s">
        <v>23</v>
      </c>
      <c r="M234" s="1" t="s">
        <v>132</v>
      </c>
      <c r="N234" s="1" t="s">
        <v>153</v>
      </c>
      <c r="O234" s="1">
        <v>1</v>
      </c>
      <c r="P234" s="1">
        <v>167</v>
      </c>
      <c r="Q234" s="1">
        <v>260.7</v>
      </c>
      <c r="R234" s="8" t="str">
        <f>_xlfn.IFS(J234&gt;=8,"Hit",J234&gt;=6,"Average",J234&lt;6,"Flop")</f>
        <v>Flop</v>
      </c>
      <c r="S234" s="9" t="str">
        <f>_xlfn.IFS(K234&gt;=400,"Blockbuster",K234&gt;=200,"Popular",K234&lt;200,"Normal")</f>
        <v>Blockbuster</v>
      </c>
      <c r="T234" s="10" t="str">
        <f>IF(OR(I234="PG",I234="G"),"Yes","No")</f>
        <v>No</v>
      </c>
      <c r="U234" s="11" t="str">
        <f>IF(P234&gt;=100,"High","Low")</f>
        <v>High</v>
      </c>
      <c r="V234" s="28">
        <f t="shared" si="6"/>
        <v>93.699999999999989</v>
      </c>
      <c r="W234" s="29">
        <f t="shared" si="7"/>
        <v>156.1077844311377</v>
      </c>
    </row>
    <row r="235" spans="1:23" x14ac:dyDescent="0.3">
      <c r="A235" s="1" t="s">
        <v>773</v>
      </c>
      <c r="B235" s="1" t="s">
        <v>774</v>
      </c>
      <c r="C235" s="1" t="s">
        <v>18</v>
      </c>
      <c r="D235" s="1" t="s">
        <v>37</v>
      </c>
      <c r="E235" s="1">
        <v>2016</v>
      </c>
      <c r="F235" s="1" t="s">
        <v>48</v>
      </c>
      <c r="G235" s="1" t="s">
        <v>775</v>
      </c>
      <c r="H235" s="1">
        <v>107</v>
      </c>
      <c r="I235" s="1" t="s">
        <v>50</v>
      </c>
      <c r="J235" s="1">
        <v>6.2</v>
      </c>
      <c r="K235" s="1">
        <v>73.900000000000006</v>
      </c>
      <c r="L235" s="1" t="s">
        <v>41</v>
      </c>
      <c r="M235" s="1" t="s">
        <v>33</v>
      </c>
      <c r="N235" s="1" t="s">
        <v>67</v>
      </c>
      <c r="O235" s="1"/>
      <c r="P235" s="1">
        <v>38</v>
      </c>
      <c r="Q235" s="1">
        <v>119.1</v>
      </c>
      <c r="R235" s="8" t="str">
        <f>_xlfn.IFS(J235&gt;=8,"Hit",J235&gt;=6,"Average",J235&lt;6,"Flop")</f>
        <v>Average</v>
      </c>
      <c r="S235" s="9" t="str">
        <f>_xlfn.IFS(K235&gt;=400,"Blockbuster",K235&gt;=200,"Popular",K235&lt;200,"Normal")</f>
        <v>Normal</v>
      </c>
      <c r="T235" s="10" t="str">
        <f>IF(OR(I235="PG",I235="G"),"Yes","No")</f>
        <v>Yes</v>
      </c>
      <c r="U235" s="11" t="str">
        <f>IF(P235&gt;=100,"High","Low")</f>
        <v>Low</v>
      </c>
      <c r="V235" s="28">
        <f t="shared" si="6"/>
        <v>81.099999999999994</v>
      </c>
      <c r="W235" s="29">
        <f t="shared" si="7"/>
        <v>313.4210526315789</v>
      </c>
    </row>
    <row r="236" spans="1:23" x14ac:dyDescent="0.3">
      <c r="A236" s="1" t="s">
        <v>776</v>
      </c>
      <c r="B236" s="1" t="s">
        <v>777</v>
      </c>
      <c r="C236" s="1" t="s">
        <v>18</v>
      </c>
      <c r="D236" s="1" t="s">
        <v>94</v>
      </c>
      <c r="E236" s="1">
        <v>2025</v>
      </c>
      <c r="F236" s="1" t="s">
        <v>38</v>
      </c>
      <c r="G236" s="1" t="s">
        <v>778</v>
      </c>
      <c r="H236" s="1">
        <v>146</v>
      </c>
      <c r="I236" s="1" t="s">
        <v>110</v>
      </c>
      <c r="J236" s="1">
        <v>5.8</v>
      </c>
      <c r="K236" s="1">
        <v>270.5</v>
      </c>
      <c r="L236" s="1" t="s">
        <v>32</v>
      </c>
      <c r="M236" s="1" t="s">
        <v>97</v>
      </c>
      <c r="N236" s="1" t="s">
        <v>60</v>
      </c>
      <c r="O236" s="1"/>
      <c r="P236" s="1">
        <v>76</v>
      </c>
      <c r="Q236" s="1">
        <v>297.7</v>
      </c>
      <c r="R236" s="8" t="str">
        <f>_xlfn.IFS(J236&gt;=8,"Hit",J236&gt;=6,"Average",J236&lt;6,"Flop")</f>
        <v>Flop</v>
      </c>
      <c r="S236" s="9" t="str">
        <f>_xlfn.IFS(K236&gt;=400,"Blockbuster",K236&gt;=200,"Popular",K236&lt;200,"Normal")</f>
        <v>Popular</v>
      </c>
      <c r="T236" s="10" t="str">
        <f>IF(OR(I236="PG",I236="G"),"Yes","No")</f>
        <v>No</v>
      </c>
      <c r="U236" s="11" t="str">
        <f>IF(P236&gt;=100,"High","Low")</f>
        <v>Low</v>
      </c>
      <c r="V236" s="28">
        <f t="shared" si="6"/>
        <v>221.7</v>
      </c>
      <c r="W236" s="29">
        <f t="shared" si="7"/>
        <v>391.71052631578942</v>
      </c>
    </row>
    <row r="237" spans="1:23" x14ac:dyDescent="0.3">
      <c r="A237" s="1" t="s">
        <v>779</v>
      </c>
      <c r="B237" s="1" t="s">
        <v>780</v>
      </c>
      <c r="C237" s="1" t="s">
        <v>18</v>
      </c>
      <c r="D237" s="1" t="s">
        <v>141</v>
      </c>
      <c r="E237" s="1">
        <v>2015</v>
      </c>
      <c r="F237" s="1" t="s">
        <v>100</v>
      </c>
      <c r="G237" s="1" t="s">
        <v>781</v>
      </c>
      <c r="H237" s="1">
        <v>153</v>
      </c>
      <c r="I237" s="1" t="s">
        <v>110</v>
      </c>
      <c r="J237" s="1">
        <v>7.4</v>
      </c>
      <c r="K237" s="1">
        <v>593</v>
      </c>
      <c r="L237" s="1" t="s">
        <v>41</v>
      </c>
      <c r="M237" s="1" t="s">
        <v>97</v>
      </c>
      <c r="N237" s="1" t="s">
        <v>34</v>
      </c>
      <c r="O237" s="1"/>
      <c r="P237" s="1">
        <v>16</v>
      </c>
      <c r="Q237" s="1">
        <v>100.4</v>
      </c>
      <c r="R237" s="8" t="str">
        <f>_xlfn.IFS(J237&gt;=8,"Hit",J237&gt;=6,"Average",J237&lt;6,"Flop")</f>
        <v>Average</v>
      </c>
      <c r="S237" s="9" t="str">
        <f>_xlfn.IFS(K237&gt;=400,"Blockbuster",K237&gt;=200,"Popular",K237&lt;200,"Normal")</f>
        <v>Blockbuster</v>
      </c>
      <c r="T237" s="10" t="str">
        <f>IF(OR(I237="PG",I237="G"),"Yes","No")</f>
        <v>No</v>
      </c>
      <c r="U237" s="11" t="str">
        <f>IF(P237&gt;=100,"High","Low")</f>
        <v>Low</v>
      </c>
      <c r="V237" s="28">
        <f t="shared" si="6"/>
        <v>84.4</v>
      </c>
      <c r="W237" s="29">
        <f t="shared" si="7"/>
        <v>627.5</v>
      </c>
    </row>
    <row r="238" spans="1:23" x14ac:dyDescent="0.3">
      <c r="A238" s="1" t="s">
        <v>782</v>
      </c>
      <c r="B238" s="1" t="s">
        <v>783</v>
      </c>
      <c r="C238" s="1" t="s">
        <v>46</v>
      </c>
      <c r="D238" s="1" t="s">
        <v>75</v>
      </c>
      <c r="E238" s="1">
        <v>2016</v>
      </c>
      <c r="F238" s="1" t="s">
        <v>48</v>
      </c>
      <c r="G238" s="1" t="s">
        <v>784</v>
      </c>
      <c r="H238" s="1">
        <v>38</v>
      </c>
      <c r="I238" s="1" t="s">
        <v>50</v>
      </c>
      <c r="J238" s="1">
        <v>7.5</v>
      </c>
      <c r="K238" s="1">
        <v>340.2</v>
      </c>
      <c r="L238" s="1" t="s">
        <v>71</v>
      </c>
      <c r="M238" s="1" t="s">
        <v>85</v>
      </c>
      <c r="N238" s="1" t="s">
        <v>60</v>
      </c>
      <c r="O238" s="1">
        <v>8</v>
      </c>
      <c r="P238" s="1">
        <v>125</v>
      </c>
      <c r="Q238" s="1">
        <v>723.5</v>
      </c>
      <c r="R238" s="8" t="str">
        <f>_xlfn.IFS(J238&gt;=8,"Hit",J238&gt;=6,"Average",J238&lt;6,"Flop")</f>
        <v>Average</v>
      </c>
      <c r="S238" s="9" t="str">
        <f>_xlfn.IFS(K238&gt;=400,"Blockbuster",K238&gt;=200,"Popular",K238&lt;200,"Normal")</f>
        <v>Popular</v>
      </c>
      <c r="T238" s="10" t="str">
        <f>IF(OR(I238="PG",I238="G"),"Yes","No")</f>
        <v>Yes</v>
      </c>
      <c r="U238" s="11" t="str">
        <f>IF(P238&gt;=100,"High","Low")</f>
        <v>High</v>
      </c>
      <c r="V238" s="28">
        <f t="shared" si="6"/>
        <v>598.5</v>
      </c>
      <c r="W238" s="29">
        <f t="shared" si="7"/>
        <v>578.80000000000007</v>
      </c>
    </row>
    <row r="239" spans="1:23" x14ac:dyDescent="0.3">
      <c r="A239" s="1" t="s">
        <v>785</v>
      </c>
      <c r="B239" s="1" t="s">
        <v>786</v>
      </c>
      <c r="C239" s="1" t="s">
        <v>46</v>
      </c>
      <c r="D239" s="1" t="s">
        <v>28</v>
      </c>
      <c r="E239" s="1">
        <v>2009</v>
      </c>
      <c r="F239" s="1" t="s">
        <v>20</v>
      </c>
      <c r="G239" s="1" t="s">
        <v>787</v>
      </c>
      <c r="H239" s="1">
        <v>30</v>
      </c>
      <c r="I239" s="1" t="s">
        <v>110</v>
      </c>
      <c r="J239" s="1">
        <v>5.3</v>
      </c>
      <c r="K239" s="1">
        <v>112.4</v>
      </c>
      <c r="L239" s="1" t="s">
        <v>41</v>
      </c>
      <c r="M239" s="1" t="s">
        <v>132</v>
      </c>
      <c r="N239" s="1" t="s">
        <v>153</v>
      </c>
      <c r="O239" s="1">
        <v>6</v>
      </c>
      <c r="P239" s="1">
        <v>99</v>
      </c>
      <c r="Q239" s="1">
        <v>461.7</v>
      </c>
      <c r="R239" s="8" t="str">
        <f>_xlfn.IFS(J239&gt;=8,"Hit",J239&gt;=6,"Average",J239&lt;6,"Flop")</f>
        <v>Flop</v>
      </c>
      <c r="S239" s="9" t="str">
        <f>_xlfn.IFS(K239&gt;=400,"Blockbuster",K239&gt;=200,"Popular",K239&lt;200,"Normal")</f>
        <v>Normal</v>
      </c>
      <c r="T239" s="10" t="str">
        <f>IF(OR(I239="PG",I239="G"),"Yes","No")</f>
        <v>No</v>
      </c>
      <c r="U239" s="11" t="str">
        <f>IF(P239&gt;=100,"High","Low")</f>
        <v>Low</v>
      </c>
      <c r="V239" s="28">
        <f t="shared" si="6"/>
        <v>362.7</v>
      </c>
      <c r="W239" s="29">
        <f t="shared" si="7"/>
        <v>466.36363636363632</v>
      </c>
    </row>
    <row r="240" spans="1:23" x14ac:dyDescent="0.3">
      <c r="A240" s="1" t="s">
        <v>788</v>
      </c>
      <c r="B240" s="1" t="s">
        <v>789</v>
      </c>
      <c r="C240" s="1" t="s">
        <v>46</v>
      </c>
      <c r="D240" s="1" t="s">
        <v>63</v>
      </c>
      <c r="E240" s="1">
        <v>2000</v>
      </c>
      <c r="F240" s="1" t="s">
        <v>20</v>
      </c>
      <c r="G240" s="1" t="s">
        <v>790</v>
      </c>
      <c r="H240" s="1">
        <v>33</v>
      </c>
      <c r="I240" s="1" t="s">
        <v>110</v>
      </c>
      <c r="J240" s="1">
        <v>6.1</v>
      </c>
      <c r="K240" s="1">
        <v>99</v>
      </c>
      <c r="L240" s="1" t="s">
        <v>41</v>
      </c>
      <c r="M240" s="1" t="s">
        <v>124</v>
      </c>
      <c r="N240" s="1" t="s">
        <v>178</v>
      </c>
      <c r="O240" s="1">
        <v>7</v>
      </c>
      <c r="P240" s="1">
        <v>74</v>
      </c>
      <c r="Q240" s="1">
        <v>479.1</v>
      </c>
      <c r="R240" s="8" t="str">
        <f>_xlfn.IFS(J240&gt;=8,"Hit",J240&gt;=6,"Average",J240&lt;6,"Flop")</f>
        <v>Average</v>
      </c>
      <c r="S240" s="9" t="str">
        <f>_xlfn.IFS(K240&gt;=400,"Blockbuster",K240&gt;=200,"Popular",K240&lt;200,"Normal")</f>
        <v>Normal</v>
      </c>
      <c r="T240" s="10" t="str">
        <f>IF(OR(I240="PG",I240="G"),"Yes","No")</f>
        <v>No</v>
      </c>
      <c r="U240" s="11" t="str">
        <f>IF(P240&gt;=100,"High","Low")</f>
        <v>Low</v>
      </c>
      <c r="V240" s="28">
        <f t="shared" si="6"/>
        <v>405.1</v>
      </c>
      <c r="W240" s="29">
        <f t="shared" si="7"/>
        <v>647.43243243243251</v>
      </c>
    </row>
    <row r="241" spans="1:23" x14ac:dyDescent="0.3">
      <c r="A241" s="1" t="s">
        <v>791</v>
      </c>
      <c r="B241" s="1" t="s">
        <v>792</v>
      </c>
      <c r="C241" s="1" t="s">
        <v>46</v>
      </c>
      <c r="D241" s="1" t="s">
        <v>47</v>
      </c>
      <c r="E241" s="1">
        <v>2007</v>
      </c>
      <c r="F241" s="1" t="s">
        <v>20</v>
      </c>
      <c r="G241" s="1" t="s">
        <v>793</v>
      </c>
      <c r="H241" s="1">
        <v>31</v>
      </c>
      <c r="I241" s="1" t="s">
        <v>50</v>
      </c>
      <c r="J241" s="1">
        <v>5.4</v>
      </c>
      <c r="K241" s="1">
        <v>446.5</v>
      </c>
      <c r="L241" s="1" t="s">
        <v>171</v>
      </c>
      <c r="M241" s="1" t="s">
        <v>24</v>
      </c>
      <c r="N241" s="1" t="s">
        <v>158</v>
      </c>
      <c r="O241" s="1">
        <v>7</v>
      </c>
      <c r="P241" s="1">
        <v>61</v>
      </c>
      <c r="Q241" s="1">
        <v>250.3</v>
      </c>
      <c r="R241" s="8" t="str">
        <f>_xlfn.IFS(J241&gt;=8,"Hit",J241&gt;=6,"Average",J241&lt;6,"Flop")</f>
        <v>Flop</v>
      </c>
      <c r="S241" s="9" t="str">
        <f>_xlfn.IFS(K241&gt;=400,"Blockbuster",K241&gt;=200,"Popular",K241&lt;200,"Normal")</f>
        <v>Blockbuster</v>
      </c>
      <c r="T241" s="10" t="str">
        <f>IF(OR(I241="PG",I241="G"),"Yes","No")</f>
        <v>Yes</v>
      </c>
      <c r="U241" s="11" t="str">
        <f>IF(P241&gt;=100,"High","Low")</f>
        <v>Low</v>
      </c>
      <c r="V241" s="28">
        <f t="shared" si="6"/>
        <v>189.3</v>
      </c>
      <c r="W241" s="29">
        <f t="shared" si="7"/>
        <v>410.32786885245906</v>
      </c>
    </row>
    <row r="242" spans="1:23" x14ac:dyDescent="0.3">
      <c r="A242" s="1" t="s">
        <v>794</v>
      </c>
      <c r="B242" s="1" t="s">
        <v>795</v>
      </c>
      <c r="C242" s="1" t="s">
        <v>18</v>
      </c>
      <c r="D242" s="1" t="s">
        <v>19</v>
      </c>
      <c r="E242" s="1">
        <v>2024</v>
      </c>
      <c r="F242" s="1" t="s">
        <v>181</v>
      </c>
      <c r="G242" s="1" t="s">
        <v>796</v>
      </c>
      <c r="H242" s="1">
        <v>99</v>
      </c>
      <c r="I242" s="1" t="s">
        <v>50</v>
      </c>
      <c r="J242" s="1">
        <v>8.1999999999999993</v>
      </c>
      <c r="K242" s="1">
        <v>569.6</v>
      </c>
      <c r="L242" s="1" t="s">
        <v>23</v>
      </c>
      <c r="M242" s="1" t="s">
        <v>132</v>
      </c>
      <c r="N242" s="1" t="s">
        <v>34</v>
      </c>
      <c r="O242" s="1"/>
      <c r="P242" s="1">
        <v>198</v>
      </c>
      <c r="Q242" s="1">
        <v>607.79999999999995</v>
      </c>
      <c r="R242" s="8" t="str">
        <f>_xlfn.IFS(J242&gt;=8,"Hit",J242&gt;=6,"Average",J242&lt;6,"Flop")</f>
        <v>Hit</v>
      </c>
      <c r="S242" s="9" t="str">
        <f>_xlfn.IFS(K242&gt;=400,"Blockbuster",K242&gt;=200,"Popular",K242&lt;200,"Normal")</f>
        <v>Blockbuster</v>
      </c>
      <c r="T242" s="10" t="str">
        <f>IF(OR(I242="PG",I242="G"),"Yes","No")</f>
        <v>Yes</v>
      </c>
      <c r="U242" s="11" t="str">
        <f>IF(P242&gt;=100,"High","Low")</f>
        <v>High</v>
      </c>
      <c r="V242" s="28">
        <f t="shared" si="6"/>
        <v>409.79999999999995</v>
      </c>
      <c r="W242" s="29">
        <f t="shared" si="7"/>
        <v>306.96969696969694</v>
      </c>
    </row>
    <row r="243" spans="1:23" x14ac:dyDescent="0.3">
      <c r="A243" s="1" t="s">
        <v>797</v>
      </c>
      <c r="B243" s="1" t="s">
        <v>798</v>
      </c>
      <c r="C243" s="1" t="s">
        <v>18</v>
      </c>
      <c r="D243" s="1" t="s">
        <v>47</v>
      </c>
      <c r="E243" s="1">
        <v>2011</v>
      </c>
      <c r="F243" s="1" t="s">
        <v>100</v>
      </c>
      <c r="G243" s="1" t="s">
        <v>799</v>
      </c>
      <c r="H243" s="1">
        <v>167</v>
      </c>
      <c r="I243" s="1" t="s">
        <v>110</v>
      </c>
      <c r="J243" s="1">
        <v>9.5</v>
      </c>
      <c r="K243" s="1">
        <v>192.3</v>
      </c>
      <c r="L243" s="1" t="s">
        <v>171</v>
      </c>
      <c r="M243" s="1" t="s">
        <v>157</v>
      </c>
      <c r="N243" s="1" t="s">
        <v>86</v>
      </c>
      <c r="O243" s="1"/>
      <c r="P243" s="1">
        <v>20</v>
      </c>
      <c r="Q243" s="1">
        <v>120.9</v>
      </c>
      <c r="R243" s="8" t="str">
        <f>_xlfn.IFS(J243&gt;=8,"Hit",J243&gt;=6,"Average",J243&lt;6,"Flop")</f>
        <v>Hit</v>
      </c>
      <c r="S243" s="9" t="str">
        <f>_xlfn.IFS(K243&gt;=400,"Blockbuster",K243&gt;=200,"Popular",K243&lt;200,"Normal")</f>
        <v>Normal</v>
      </c>
      <c r="T243" s="10" t="str">
        <f>IF(OR(I243="PG",I243="G"),"Yes","No")</f>
        <v>No</v>
      </c>
      <c r="U243" s="11" t="str">
        <f>IF(P243&gt;=100,"High","Low")</f>
        <v>Low</v>
      </c>
      <c r="V243" s="28">
        <f t="shared" si="6"/>
        <v>100.9</v>
      </c>
      <c r="W243" s="29">
        <f t="shared" si="7"/>
        <v>604.5</v>
      </c>
    </row>
    <row r="244" spans="1:23" x14ac:dyDescent="0.3">
      <c r="A244" s="1" t="s">
        <v>800</v>
      </c>
      <c r="B244" s="1" t="s">
        <v>801</v>
      </c>
      <c r="C244" s="1" t="s">
        <v>46</v>
      </c>
      <c r="D244" s="1" t="s">
        <v>47</v>
      </c>
      <c r="E244" s="1">
        <v>2014</v>
      </c>
      <c r="F244" s="1" t="s">
        <v>48</v>
      </c>
      <c r="G244" s="1" t="s">
        <v>802</v>
      </c>
      <c r="H244" s="1">
        <v>41</v>
      </c>
      <c r="I244" s="1" t="s">
        <v>31</v>
      </c>
      <c r="J244" s="1">
        <v>4.8</v>
      </c>
      <c r="K244" s="1">
        <v>429.9</v>
      </c>
      <c r="L244" s="1" t="s">
        <v>171</v>
      </c>
      <c r="M244" s="1" t="s">
        <v>42</v>
      </c>
      <c r="N244" s="1" t="s">
        <v>153</v>
      </c>
      <c r="O244" s="1">
        <v>1</v>
      </c>
      <c r="P244" s="1">
        <v>92</v>
      </c>
      <c r="Q244" s="1">
        <v>254.8</v>
      </c>
      <c r="R244" s="8" t="str">
        <f>_xlfn.IFS(J244&gt;=8,"Hit",J244&gt;=6,"Average",J244&lt;6,"Flop")</f>
        <v>Flop</v>
      </c>
      <c r="S244" s="9" t="str">
        <f>_xlfn.IFS(K244&gt;=400,"Blockbuster",K244&gt;=200,"Popular",K244&lt;200,"Normal")</f>
        <v>Blockbuster</v>
      </c>
      <c r="T244" s="10" t="str">
        <f>IF(OR(I244="PG",I244="G"),"Yes","No")</f>
        <v>No</v>
      </c>
      <c r="U244" s="11" t="str">
        <f>IF(P244&gt;=100,"High","Low")</f>
        <v>Low</v>
      </c>
      <c r="V244" s="28">
        <f t="shared" si="6"/>
        <v>162.80000000000001</v>
      </c>
      <c r="W244" s="29">
        <f t="shared" si="7"/>
        <v>276.95652173913044</v>
      </c>
    </row>
    <row r="245" spans="1:23" x14ac:dyDescent="0.3">
      <c r="A245" s="1" t="s">
        <v>803</v>
      </c>
      <c r="B245" s="1" t="s">
        <v>804</v>
      </c>
      <c r="C245" s="1" t="s">
        <v>46</v>
      </c>
      <c r="D245" s="1" t="s">
        <v>47</v>
      </c>
      <c r="E245" s="1">
        <v>2009</v>
      </c>
      <c r="F245" s="1" t="s">
        <v>38</v>
      </c>
      <c r="G245" s="1" t="s">
        <v>805</v>
      </c>
      <c r="H245" s="1">
        <v>39</v>
      </c>
      <c r="I245" s="1" t="s">
        <v>31</v>
      </c>
      <c r="J245" s="1">
        <v>6.3</v>
      </c>
      <c r="K245" s="1">
        <v>461.5</v>
      </c>
      <c r="L245" s="1" t="s">
        <v>32</v>
      </c>
      <c r="M245" s="1" t="s">
        <v>146</v>
      </c>
      <c r="N245" s="1" t="s">
        <v>55</v>
      </c>
      <c r="O245" s="1">
        <v>3</v>
      </c>
      <c r="P245" s="1">
        <v>62</v>
      </c>
      <c r="Q245" s="1">
        <v>355.4</v>
      </c>
      <c r="R245" s="8" t="str">
        <f>_xlfn.IFS(J245&gt;=8,"Hit",J245&gt;=6,"Average",J245&lt;6,"Flop")</f>
        <v>Average</v>
      </c>
      <c r="S245" s="9" t="str">
        <f>_xlfn.IFS(K245&gt;=400,"Blockbuster",K245&gt;=200,"Popular",K245&lt;200,"Normal")</f>
        <v>Blockbuster</v>
      </c>
      <c r="T245" s="10" t="str">
        <f>IF(OR(I245="PG",I245="G"),"Yes","No")</f>
        <v>No</v>
      </c>
      <c r="U245" s="11" t="str">
        <f>IF(P245&gt;=100,"High","Low")</f>
        <v>Low</v>
      </c>
      <c r="V245" s="28">
        <f t="shared" si="6"/>
        <v>293.39999999999998</v>
      </c>
      <c r="W245" s="29">
        <f t="shared" si="7"/>
        <v>573.22580645161281</v>
      </c>
    </row>
    <row r="246" spans="1:23" x14ac:dyDescent="0.3">
      <c r="A246" s="1" t="s">
        <v>806</v>
      </c>
      <c r="B246" s="1" t="s">
        <v>807</v>
      </c>
      <c r="C246" s="1" t="s">
        <v>18</v>
      </c>
      <c r="D246" s="1" t="s">
        <v>82</v>
      </c>
      <c r="E246" s="1">
        <v>2023</v>
      </c>
      <c r="F246" s="1" t="s">
        <v>76</v>
      </c>
      <c r="G246" s="1" t="s">
        <v>808</v>
      </c>
      <c r="H246" s="1">
        <v>152</v>
      </c>
      <c r="I246" s="1" t="s">
        <v>22</v>
      </c>
      <c r="J246" s="1">
        <v>6.7</v>
      </c>
      <c r="K246" s="1">
        <v>99.8</v>
      </c>
      <c r="L246" s="1" t="s">
        <v>23</v>
      </c>
      <c r="M246" s="1" t="s">
        <v>111</v>
      </c>
      <c r="N246" s="1" t="s">
        <v>55</v>
      </c>
      <c r="O246" s="1"/>
      <c r="P246" s="1">
        <v>197</v>
      </c>
      <c r="Q246" s="1">
        <v>671.9</v>
      </c>
      <c r="R246" s="8" t="str">
        <f>_xlfn.IFS(J246&gt;=8,"Hit",J246&gt;=6,"Average",J246&lt;6,"Flop")</f>
        <v>Average</v>
      </c>
      <c r="S246" s="9" t="str">
        <f>_xlfn.IFS(K246&gt;=400,"Blockbuster",K246&gt;=200,"Popular",K246&lt;200,"Normal")</f>
        <v>Normal</v>
      </c>
      <c r="T246" s="10" t="str">
        <f>IF(OR(I246="PG",I246="G"),"Yes","No")</f>
        <v>No</v>
      </c>
      <c r="U246" s="11" t="str">
        <f>IF(P246&gt;=100,"High","Low")</f>
        <v>High</v>
      </c>
      <c r="V246" s="28">
        <f t="shared" si="6"/>
        <v>474.9</v>
      </c>
      <c r="W246" s="29">
        <f t="shared" si="7"/>
        <v>341.06598984771574</v>
      </c>
    </row>
    <row r="247" spans="1:23" x14ac:dyDescent="0.3">
      <c r="A247" s="1" t="s">
        <v>809</v>
      </c>
      <c r="B247" s="1" t="s">
        <v>810</v>
      </c>
      <c r="C247" s="1" t="s">
        <v>46</v>
      </c>
      <c r="D247" s="1" t="s">
        <v>28</v>
      </c>
      <c r="E247" s="1">
        <v>2017</v>
      </c>
      <c r="F247" s="1" t="s">
        <v>83</v>
      </c>
      <c r="G247" s="1" t="s">
        <v>811</v>
      </c>
      <c r="H247" s="1">
        <v>51</v>
      </c>
      <c r="I247" s="1" t="s">
        <v>22</v>
      </c>
      <c r="J247" s="1">
        <v>7.7</v>
      </c>
      <c r="K247" s="1">
        <v>262.10000000000002</v>
      </c>
      <c r="L247" s="1" t="s">
        <v>71</v>
      </c>
      <c r="M247" s="1" t="s">
        <v>132</v>
      </c>
      <c r="N247" s="1" t="s">
        <v>102</v>
      </c>
      <c r="O247" s="1">
        <v>5</v>
      </c>
      <c r="P247" s="1">
        <v>130</v>
      </c>
      <c r="Q247" s="1">
        <v>579.29999999999995</v>
      </c>
      <c r="R247" s="8" t="str">
        <f>_xlfn.IFS(J247&gt;=8,"Hit",J247&gt;=6,"Average",J247&lt;6,"Flop")</f>
        <v>Average</v>
      </c>
      <c r="S247" s="9" t="str">
        <f>_xlfn.IFS(K247&gt;=400,"Blockbuster",K247&gt;=200,"Popular",K247&lt;200,"Normal")</f>
        <v>Popular</v>
      </c>
      <c r="T247" s="10" t="str">
        <f>IF(OR(I247="PG",I247="G"),"Yes","No")</f>
        <v>No</v>
      </c>
      <c r="U247" s="11" t="str">
        <f>IF(P247&gt;=100,"High","Low")</f>
        <v>High</v>
      </c>
      <c r="V247" s="28">
        <f t="shared" si="6"/>
        <v>449.29999999999995</v>
      </c>
      <c r="W247" s="29">
        <f t="shared" si="7"/>
        <v>445.61538461538464</v>
      </c>
    </row>
    <row r="248" spans="1:23" x14ac:dyDescent="0.3">
      <c r="A248" s="1" t="s">
        <v>812</v>
      </c>
      <c r="B248" s="1" t="s">
        <v>813</v>
      </c>
      <c r="C248" s="1" t="s">
        <v>18</v>
      </c>
      <c r="D248" s="1" t="s">
        <v>28</v>
      </c>
      <c r="E248" s="1">
        <v>2022</v>
      </c>
      <c r="F248" s="1" t="s">
        <v>122</v>
      </c>
      <c r="G248" s="1" t="s">
        <v>814</v>
      </c>
      <c r="H248" s="1">
        <v>162</v>
      </c>
      <c r="I248" s="1" t="s">
        <v>22</v>
      </c>
      <c r="J248" s="1">
        <v>4.9000000000000004</v>
      </c>
      <c r="K248" s="1">
        <v>41.9</v>
      </c>
      <c r="L248" s="1" t="s">
        <v>23</v>
      </c>
      <c r="M248" s="1" t="s">
        <v>106</v>
      </c>
      <c r="N248" s="1" t="s">
        <v>25</v>
      </c>
      <c r="O248" s="1"/>
      <c r="P248" s="1">
        <v>192</v>
      </c>
      <c r="Q248" s="1">
        <v>906</v>
      </c>
      <c r="R248" s="8" t="str">
        <f>_xlfn.IFS(J248&gt;=8,"Hit",J248&gt;=6,"Average",J248&lt;6,"Flop")</f>
        <v>Flop</v>
      </c>
      <c r="S248" s="9" t="str">
        <f>_xlfn.IFS(K248&gt;=400,"Blockbuster",K248&gt;=200,"Popular",K248&lt;200,"Normal")</f>
        <v>Normal</v>
      </c>
      <c r="T248" s="10" t="str">
        <f>IF(OR(I248="PG",I248="G"),"Yes","No")</f>
        <v>No</v>
      </c>
      <c r="U248" s="11" t="str">
        <f>IF(P248&gt;=100,"High","Low")</f>
        <v>High</v>
      </c>
      <c r="V248" s="28">
        <f t="shared" si="6"/>
        <v>714</v>
      </c>
      <c r="W248" s="29">
        <f t="shared" si="7"/>
        <v>471.875</v>
      </c>
    </row>
    <row r="249" spans="1:23" x14ac:dyDescent="0.3">
      <c r="A249" s="1" t="s">
        <v>815</v>
      </c>
      <c r="B249" s="1" t="s">
        <v>816</v>
      </c>
      <c r="C249" s="1" t="s">
        <v>46</v>
      </c>
      <c r="D249" s="1" t="s">
        <v>37</v>
      </c>
      <c r="E249" s="1">
        <v>2025</v>
      </c>
      <c r="F249" s="1" t="s">
        <v>100</v>
      </c>
      <c r="G249" s="1" t="s">
        <v>817</v>
      </c>
      <c r="H249" s="1">
        <v>36</v>
      </c>
      <c r="I249" s="1" t="s">
        <v>22</v>
      </c>
      <c r="J249" s="1">
        <v>9.1</v>
      </c>
      <c r="K249" s="1">
        <v>328.5</v>
      </c>
      <c r="L249" s="1" t="s">
        <v>90</v>
      </c>
      <c r="M249" s="1" t="s">
        <v>106</v>
      </c>
      <c r="N249" s="1" t="s">
        <v>34</v>
      </c>
      <c r="O249" s="1">
        <v>8</v>
      </c>
      <c r="P249" s="1">
        <v>136</v>
      </c>
      <c r="Q249" s="1">
        <v>556.4</v>
      </c>
      <c r="R249" s="8" t="str">
        <f>_xlfn.IFS(J249&gt;=8,"Hit",J249&gt;=6,"Average",J249&lt;6,"Flop")</f>
        <v>Hit</v>
      </c>
      <c r="S249" s="9" t="str">
        <f>_xlfn.IFS(K249&gt;=400,"Blockbuster",K249&gt;=200,"Popular",K249&lt;200,"Normal")</f>
        <v>Popular</v>
      </c>
      <c r="T249" s="10" t="str">
        <f>IF(OR(I249="PG",I249="G"),"Yes","No")</f>
        <v>No</v>
      </c>
      <c r="U249" s="11" t="str">
        <f>IF(P249&gt;=100,"High","Low")</f>
        <v>High</v>
      </c>
      <c r="V249" s="28">
        <f t="shared" si="6"/>
        <v>420.4</v>
      </c>
      <c r="W249" s="29">
        <f t="shared" si="7"/>
        <v>409.11764705882348</v>
      </c>
    </row>
    <row r="250" spans="1:23" x14ac:dyDescent="0.3">
      <c r="A250" s="1" t="s">
        <v>818</v>
      </c>
      <c r="B250" s="1" t="s">
        <v>819</v>
      </c>
      <c r="C250" s="1" t="s">
        <v>46</v>
      </c>
      <c r="D250" s="1" t="s">
        <v>28</v>
      </c>
      <c r="E250" s="1">
        <v>2013</v>
      </c>
      <c r="F250" s="1" t="s">
        <v>48</v>
      </c>
      <c r="G250" s="1" t="s">
        <v>820</v>
      </c>
      <c r="H250" s="1">
        <v>55</v>
      </c>
      <c r="I250" s="1" t="s">
        <v>22</v>
      </c>
      <c r="J250" s="1">
        <v>7.6</v>
      </c>
      <c r="K250" s="1">
        <v>479.2</v>
      </c>
      <c r="L250" s="1" t="s">
        <v>65</v>
      </c>
      <c r="M250" s="1" t="s">
        <v>66</v>
      </c>
      <c r="N250" s="1" t="s">
        <v>178</v>
      </c>
      <c r="O250" s="1">
        <v>4</v>
      </c>
      <c r="P250" s="1">
        <v>158</v>
      </c>
      <c r="Q250" s="1">
        <v>979.9</v>
      </c>
      <c r="R250" s="8" t="str">
        <f>_xlfn.IFS(J250&gt;=8,"Hit",J250&gt;=6,"Average",J250&lt;6,"Flop")</f>
        <v>Average</v>
      </c>
      <c r="S250" s="9" t="str">
        <f>_xlfn.IFS(K250&gt;=400,"Blockbuster",K250&gt;=200,"Popular",K250&lt;200,"Normal")</f>
        <v>Blockbuster</v>
      </c>
      <c r="T250" s="10" t="str">
        <f>IF(OR(I250="PG",I250="G"),"Yes","No")</f>
        <v>No</v>
      </c>
      <c r="U250" s="11" t="str">
        <f>IF(P250&gt;=100,"High","Low")</f>
        <v>High</v>
      </c>
      <c r="V250" s="28">
        <f t="shared" si="6"/>
        <v>821.9</v>
      </c>
      <c r="W250" s="29">
        <f t="shared" si="7"/>
        <v>620.18987341772151</v>
      </c>
    </row>
    <row r="251" spans="1:23" x14ac:dyDescent="0.3">
      <c r="A251" s="1" t="s">
        <v>821</v>
      </c>
      <c r="B251" s="1" t="s">
        <v>822</v>
      </c>
      <c r="C251" s="1" t="s">
        <v>18</v>
      </c>
      <c r="D251" s="1" t="s">
        <v>19</v>
      </c>
      <c r="E251" s="1">
        <v>2021</v>
      </c>
      <c r="F251" s="1" t="s">
        <v>20</v>
      </c>
      <c r="G251" s="1" t="s">
        <v>823</v>
      </c>
      <c r="H251" s="1">
        <v>120</v>
      </c>
      <c r="I251" s="1" t="s">
        <v>40</v>
      </c>
      <c r="J251" s="1">
        <v>9</v>
      </c>
      <c r="K251" s="1">
        <v>502.8</v>
      </c>
      <c r="L251" s="1" t="s">
        <v>65</v>
      </c>
      <c r="M251" s="1" t="s">
        <v>146</v>
      </c>
      <c r="N251" s="1" t="s">
        <v>60</v>
      </c>
      <c r="O251" s="1"/>
      <c r="P251" s="1">
        <v>172</v>
      </c>
      <c r="Q251" s="1">
        <v>1064.4000000000001</v>
      </c>
      <c r="R251" s="8" t="str">
        <f>_xlfn.IFS(J251&gt;=8,"Hit",J251&gt;=6,"Average",J251&lt;6,"Flop")</f>
        <v>Hit</v>
      </c>
      <c r="S251" s="9" t="str">
        <f>_xlfn.IFS(K251&gt;=400,"Blockbuster",K251&gt;=200,"Popular",K251&lt;200,"Normal")</f>
        <v>Blockbuster</v>
      </c>
      <c r="T251" s="10" t="str">
        <f>IF(OR(I251="PG",I251="G"),"Yes","No")</f>
        <v>Yes</v>
      </c>
      <c r="U251" s="11" t="str">
        <f>IF(P251&gt;=100,"High","Low")</f>
        <v>High</v>
      </c>
      <c r="V251" s="28">
        <f t="shared" si="6"/>
        <v>892.40000000000009</v>
      </c>
      <c r="W251" s="29">
        <f t="shared" si="7"/>
        <v>618.83720930232562</v>
      </c>
    </row>
    <row r="252" spans="1:23" x14ac:dyDescent="0.3">
      <c r="A252" s="1" t="s">
        <v>824</v>
      </c>
      <c r="B252" s="1" t="s">
        <v>825</v>
      </c>
      <c r="C252" s="1" t="s">
        <v>18</v>
      </c>
      <c r="D252" s="1" t="s">
        <v>19</v>
      </c>
      <c r="E252" s="1">
        <v>2019</v>
      </c>
      <c r="F252" s="1" t="s">
        <v>100</v>
      </c>
      <c r="G252" s="1" t="s">
        <v>826</v>
      </c>
      <c r="H252" s="1">
        <v>101</v>
      </c>
      <c r="I252" s="1" t="s">
        <v>22</v>
      </c>
      <c r="J252" s="1">
        <v>6.7</v>
      </c>
      <c r="K252" s="1">
        <v>176</v>
      </c>
      <c r="L252" s="1" t="s">
        <v>171</v>
      </c>
      <c r="M252" s="1" t="s">
        <v>157</v>
      </c>
      <c r="N252" s="1" t="s">
        <v>43</v>
      </c>
      <c r="O252" s="1"/>
      <c r="P252" s="1">
        <v>129</v>
      </c>
      <c r="Q252" s="1">
        <v>249.4</v>
      </c>
      <c r="R252" s="8" t="str">
        <f>_xlfn.IFS(J252&gt;=8,"Hit",J252&gt;=6,"Average",J252&lt;6,"Flop")</f>
        <v>Average</v>
      </c>
      <c r="S252" s="9" t="str">
        <f>_xlfn.IFS(K252&gt;=400,"Blockbuster",K252&gt;=200,"Popular",K252&lt;200,"Normal")</f>
        <v>Normal</v>
      </c>
      <c r="T252" s="10" t="str">
        <f>IF(OR(I252="PG",I252="G"),"Yes","No")</f>
        <v>No</v>
      </c>
      <c r="U252" s="11" t="str">
        <f>IF(P252&gt;=100,"High","Low")</f>
        <v>High</v>
      </c>
      <c r="V252" s="28">
        <f t="shared" si="6"/>
        <v>120.4</v>
      </c>
      <c r="W252" s="29">
        <f t="shared" si="7"/>
        <v>193.33333333333334</v>
      </c>
    </row>
    <row r="253" spans="1:23" x14ac:dyDescent="0.3">
      <c r="A253" s="1" t="s">
        <v>827</v>
      </c>
      <c r="B253" s="1" t="s">
        <v>828</v>
      </c>
      <c r="C253" s="1" t="s">
        <v>18</v>
      </c>
      <c r="D253" s="1" t="s">
        <v>75</v>
      </c>
      <c r="E253" s="1">
        <v>2025</v>
      </c>
      <c r="F253" s="1" t="s">
        <v>76</v>
      </c>
      <c r="G253" s="1" t="s">
        <v>203</v>
      </c>
      <c r="H253" s="1">
        <v>171</v>
      </c>
      <c r="I253" s="1" t="s">
        <v>22</v>
      </c>
      <c r="J253" s="1">
        <v>9</v>
      </c>
      <c r="K253" s="1">
        <v>161.69999999999999</v>
      </c>
      <c r="L253" s="1" t="s">
        <v>41</v>
      </c>
      <c r="M253" s="1" t="s">
        <v>146</v>
      </c>
      <c r="N253" s="1" t="s">
        <v>43</v>
      </c>
      <c r="O253" s="1"/>
      <c r="P253" s="1">
        <v>49</v>
      </c>
      <c r="Q253" s="1">
        <v>164.5</v>
      </c>
      <c r="R253" s="8" t="str">
        <f>_xlfn.IFS(J253&gt;=8,"Hit",J253&gt;=6,"Average",J253&lt;6,"Flop")</f>
        <v>Hit</v>
      </c>
      <c r="S253" s="9" t="str">
        <f>_xlfn.IFS(K253&gt;=400,"Blockbuster",K253&gt;=200,"Popular",K253&lt;200,"Normal")</f>
        <v>Normal</v>
      </c>
      <c r="T253" s="10" t="str">
        <f>IF(OR(I253="PG",I253="G"),"Yes","No")</f>
        <v>No</v>
      </c>
      <c r="U253" s="11" t="str">
        <f>IF(P253&gt;=100,"High","Low")</f>
        <v>Low</v>
      </c>
      <c r="V253" s="28">
        <f t="shared" si="6"/>
        <v>115.5</v>
      </c>
      <c r="W253" s="29">
        <f t="shared" si="7"/>
        <v>335.71428571428572</v>
      </c>
    </row>
    <row r="254" spans="1:23" x14ac:dyDescent="0.3">
      <c r="A254" s="1" t="s">
        <v>829</v>
      </c>
      <c r="B254" s="1" t="s">
        <v>830</v>
      </c>
      <c r="C254" s="1" t="s">
        <v>46</v>
      </c>
      <c r="D254" s="1" t="s">
        <v>28</v>
      </c>
      <c r="E254" s="1">
        <v>2008</v>
      </c>
      <c r="F254" s="1" t="s">
        <v>29</v>
      </c>
      <c r="G254" s="1" t="s">
        <v>831</v>
      </c>
      <c r="H254" s="1">
        <v>35</v>
      </c>
      <c r="I254" s="1" t="s">
        <v>50</v>
      </c>
      <c r="J254" s="1">
        <v>9.1999999999999993</v>
      </c>
      <c r="K254" s="1">
        <v>469.6</v>
      </c>
      <c r="L254" s="1" t="s">
        <v>41</v>
      </c>
      <c r="M254" s="1" t="s">
        <v>146</v>
      </c>
      <c r="N254" s="1" t="s">
        <v>86</v>
      </c>
      <c r="O254" s="1">
        <v>7</v>
      </c>
      <c r="P254" s="1">
        <v>87</v>
      </c>
      <c r="Q254" s="1">
        <v>439.4</v>
      </c>
      <c r="R254" s="8" t="str">
        <f>_xlfn.IFS(J254&gt;=8,"Hit",J254&gt;=6,"Average",J254&lt;6,"Flop")</f>
        <v>Hit</v>
      </c>
      <c r="S254" s="9" t="str">
        <f>_xlfn.IFS(K254&gt;=400,"Blockbuster",K254&gt;=200,"Popular",K254&lt;200,"Normal")</f>
        <v>Blockbuster</v>
      </c>
      <c r="T254" s="10" t="str">
        <f>IF(OR(I254="PG",I254="G"),"Yes","No")</f>
        <v>Yes</v>
      </c>
      <c r="U254" s="11" t="str">
        <f>IF(P254&gt;=100,"High","Low")</f>
        <v>Low</v>
      </c>
      <c r="V254" s="28">
        <f t="shared" si="6"/>
        <v>352.4</v>
      </c>
      <c r="W254" s="29">
        <f t="shared" si="7"/>
        <v>505.05747126436773</v>
      </c>
    </row>
    <row r="255" spans="1:23" x14ac:dyDescent="0.3">
      <c r="A255" s="1" t="s">
        <v>832</v>
      </c>
      <c r="B255" s="1" t="s">
        <v>833</v>
      </c>
      <c r="C255" s="1" t="s">
        <v>18</v>
      </c>
      <c r="D255" s="1" t="s">
        <v>19</v>
      </c>
      <c r="E255" s="1">
        <v>2011</v>
      </c>
      <c r="F255" s="1" t="s">
        <v>20</v>
      </c>
      <c r="G255" s="1" t="s">
        <v>834</v>
      </c>
      <c r="H255" s="1">
        <v>160</v>
      </c>
      <c r="I255" s="1" t="s">
        <v>110</v>
      </c>
      <c r="J255" s="1">
        <v>9.1999999999999993</v>
      </c>
      <c r="K255" s="1">
        <v>13.6</v>
      </c>
      <c r="L255" s="1" t="s">
        <v>65</v>
      </c>
      <c r="M255" s="1" t="s">
        <v>132</v>
      </c>
      <c r="N255" s="1" t="s">
        <v>55</v>
      </c>
      <c r="O255" s="1"/>
      <c r="P255" s="1">
        <v>133</v>
      </c>
      <c r="Q255" s="1">
        <v>334.9</v>
      </c>
      <c r="R255" s="8" t="str">
        <f>_xlfn.IFS(J255&gt;=8,"Hit",J255&gt;=6,"Average",J255&lt;6,"Flop")</f>
        <v>Hit</v>
      </c>
      <c r="S255" s="9" t="str">
        <f>_xlfn.IFS(K255&gt;=400,"Blockbuster",K255&gt;=200,"Popular",K255&lt;200,"Normal")</f>
        <v>Normal</v>
      </c>
      <c r="T255" s="10" t="str">
        <f>IF(OR(I255="PG",I255="G"),"Yes","No")</f>
        <v>No</v>
      </c>
      <c r="U255" s="11" t="str">
        <f>IF(P255&gt;=100,"High","Low")</f>
        <v>High</v>
      </c>
      <c r="V255" s="28">
        <f t="shared" si="6"/>
        <v>201.89999999999998</v>
      </c>
      <c r="W255" s="29">
        <f t="shared" si="7"/>
        <v>251.80451127819546</v>
      </c>
    </row>
    <row r="256" spans="1:23" x14ac:dyDescent="0.3">
      <c r="A256" s="1" t="s">
        <v>835</v>
      </c>
      <c r="B256" s="1" t="s">
        <v>836</v>
      </c>
      <c r="C256" s="1" t="s">
        <v>46</v>
      </c>
      <c r="D256" s="1" t="s">
        <v>141</v>
      </c>
      <c r="E256" s="1">
        <v>2017</v>
      </c>
      <c r="F256" s="1" t="s">
        <v>48</v>
      </c>
      <c r="G256" s="1" t="s">
        <v>837</v>
      </c>
      <c r="H256" s="1">
        <v>59</v>
      </c>
      <c r="I256" s="1" t="s">
        <v>110</v>
      </c>
      <c r="J256" s="1">
        <v>6.8</v>
      </c>
      <c r="K256" s="1">
        <v>255.1</v>
      </c>
      <c r="L256" s="1" t="s">
        <v>90</v>
      </c>
      <c r="M256" s="1" t="s">
        <v>146</v>
      </c>
      <c r="N256" s="1" t="s">
        <v>153</v>
      </c>
      <c r="O256" s="1">
        <v>2</v>
      </c>
      <c r="P256" s="1">
        <v>95</v>
      </c>
      <c r="Q256" s="1">
        <v>473.4</v>
      </c>
      <c r="R256" s="8" t="str">
        <f>_xlfn.IFS(J256&gt;=8,"Hit",J256&gt;=6,"Average",J256&lt;6,"Flop")</f>
        <v>Average</v>
      </c>
      <c r="S256" s="9" t="str">
        <f>_xlfn.IFS(K256&gt;=400,"Blockbuster",K256&gt;=200,"Popular",K256&lt;200,"Normal")</f>
        <v>Popular</v>
      </c>
      <c r="T256" s="10" t="str">
        <f>IF(OR(I256="PG",I256="G"),"Yes","No")</f>
        <v>No</v>
      </c>
      <c r="U256" s="11" t="str">
        <f>IF(P256&gt;=100,"High","Low")</f>
        <v>Low</v>
      </c>
      <c r="V256" s="28">
        <f t="shared" si="6"/>
        <v>378.4</v>
      </c>
      <c r="W256" s="29">
        <f t="shared" si="7"/>
        <v>498.31578947368422</v>
      </c>
    </row>
    <row r="257" spans="1:23" x14ac:dyDescent="0.3">
      <c r="A257" s="1" t="s">
        <v>838</v>
      </c>
      <c r="B257" s="1" t="s">
        <v>839</v>
      </c>
      <c r="C257" s="1" t="s">
        <v>18</v>
      </c>
      <c r="D257" s="1" t="s">
        <v>63</v>
      </c>
      <c r="E257" s="1">
        <v>2019</v>
      </c>
      <c r="F257" s="1" t="s">
        <v>76</v>
      </c>
      <c r="G257" s="1" t="s">
        <v>840</v>
      </c>
      <c r="H257" s="1">
        <v>156</v>
      </c>
      <c r="I257" s="1" t="s">
        <v>22</v>
      </c>
      <c r="J257" s="1">
        <v>6.7</v>
      </c>
      <c r="K257" s="1">
        <v>16</v>
      </c>
      <c r="L257" s="1" t="s">
        <v>23</v>
      </c>
      <c r="M257" s="1" t="s">
        <v>66</v>
      </c>
      <c r="N257" s="1" t="s">
        <v>43</v>
      </c>
      <c r="O257" s="1"/>
      <c r="P257" s="1">
        <v>81</v>
      </c>
      <c r="Q257" s="1">
        <v>254.2</v>
      </c>
      <c r="R257" s="8" t="str">
        <f>_xlfn.IFS(J257&gt;=8,"Hit",J257&gt;=6,"Average",J257&lt;6,"Flop")</f>
        <v>Average</v>
      </c>
      <c r="S257" s="9" t="str">
        <f>_xlfn.IFS(K257&gt;=400,"Blockbuster",K257&gt;=200,"Popular",K257&lt;200,"Normal")</f>
        <v>Normal</v>
      </c>
      <c r="T257" s="10" t="str">
        <f>IF(OR(I257="PG",I257="G"),"Yes","No")</f>
        <v>No</v>
      </c>
      <c r="U257" s="11" t="str">
        <f>IF(P257&gt;=100,"High","Low")</f>
        <v>Low</v>
      </c>
      <c r="V257" s="28">
        <f t="shared" si="6"/>
        <v>173.2</v>
      </c>
      <c r="W257" s="29">
        <f t="shared" si="7"/>
        <v>313.82716049382714</v>
      </c>
    </row>
    <row r="258" spans="1:23" x14ac:dyDescent="0.3">
      <c r="A258" s="1" t="s">
        <v>841</v>
      </c>
      <c r="B258" s="1" t="s">
        <v>842</v>
      </c>
      <c r="C258" s="1" t="s">
        <v>18</v>
      </c>
      <c r="D258" s="1" t="s">
        <v>82</v>
      </c>
      <c r="E258" s="1">
        <v>2019</v>
      </c>
      <c r="F258" s="1" t="s">
        <v>181</v>
      </c>
      <c r="G258" s="1" t="s">
        <v>843</v>
      </c>
      <c r="H258" s="1">
        <v>155</v>
      </c>
      <c r="I258" s="1" t="s">
        <v>40</v>
      </c>
      <c r="J258" s="1">
        <v>7.9</v>
      </c>
      <c r="K258" s="1">
        <v>201.6</v>
      </c>
      <c r="L258" s="1" t="s">
        <v>41</v>
      </c>
      <c r="M258" s="1" t="s">
        <v>24</v>
      </c>
      <c r="N258" s="1" t="s">
        <v>34</v>
      </c>
      <c r="O258" s="1"/>
      <c r="P258" s="1">
        <v>193</v>
      </c>
      <c r="Q258" s="1">
        <v>859.3</v>
      </c>
      <c r="R258" s="8" t="str">
        <f>_xlfn.IFS(J258&gt;=8,"Hit",J258&gt;=6,"Average",J258&lt;6,"Flop")</f>
        <v>Average</v>
      </c>
      <c r="S258" s="9" t="str">
        <f>_xlfn.IFS(K258&gt;=400,"Blockbuster",K258&gt;=200,"Popular",K258&lt;200,"Normal")</f>
        <v>Popular</v>
      </c>
      <c r="T258" s="10" t="str">
        <f>IF(OR(I258="PG",I258="G"),"Yes","No")</f>
        <v>Yes</v>
      </c>
      <c r="U258" s="11" t="str">
        <f>IF(P258&gt;=100,"High","Low")</f>
        <v>High</v>
      </c>
      <c r="V258" s="28">
        <f t="shared" si="6"/>
        <v>666.3</v>
      </c>
      <c r="W258" s="29">
        <f t="shared" si="7"/>
        <v>445.23316062176167</v>
      </c>
    </row>
    <row r="259" spans="1:23" x14ac:dyDescent="0.3">
      <c r="A259" s="1" t="s">
        <v>844</v>
      </c>
      <c r="B259" s="1" t="s">
        <v>845</v>
      </c>
      <c r="C259" s="1" t="s">
        <v>46</v>
      </c>
      <c r="D259" s="1" t="s">
        <v>28</v>
      </c>
      <c r="E259" s="1">
        <v>2015</v>
      </c>
      <c r="F259" s="1" t="s">
        <v>29</v>
      </c>
      <c r="G259" s="1" t="s">
        <v>846</v>
      </c>
      <c r="H259" s="1">
        <v>59</v>
      </c>
      <c r="I259" s="1" t="s">
        <v>50</v>
      </c>
      <c r="J259" s="1">
        <v>5.9</v>
      </c>
      <c r="K259" s="1">
        <v>162.9</v>
      </c>
      <c r="L259" s="1" t="s">
        <v>71</v>
      </c>
      <c r="M259" s="1" t="s">
        <v>157</v>
      </c>
      <c r="N259" s="1" t="s">
        <v>119</v>
      </c>
      <c r="O259" s="1">
        <v>8</v>
      </c>
      <c r="P259" s="1">
        <v>171</v>
      </c>
      <c r="Q259" s="1">
        <v>608.29999999999995</v>
      </c>
      <c r="R259" s="8" t="str">
        <f>_xlfn.IFS(J259&gt;=8,"Hit",J259&gt;=6,"Average",J259&lt;6,"Flop")</f>
        <v>Flop</v>
      </c>
      <c r="S259" s="9" t="str">
        <f>_xlfn.IFS(K259&gt;=400,"Blockbuster",K259&gt;=200,"Popular",K259&lt;200,"Normal")</f>
        <v>Normal</v>
      </c>
      <c r="T259" s="10" t="str">
        <f>IF(OR(I259="PG",I259="G"),"Yes","No")</f>
        <v>Yes</v>
      </c>
      <c r="U259" s="11" t="str">
        <f>IF(P259&gt;=100,"High","Low")</f>
        <v>High</v>
      </c>
      <c r="V259" s="28">
        <f t="shared" ref="V259:V322" si="8">Q259-P259</f>
        <v>437.29999999999995</v>
      </c>
      <c r="W259" s="29">
        <f t="shared" ref="W259:W322" si="9">(Q259/P259)*100</f>
        <v>355.73099415204672</v>
      </c>
    </row>
    <row r="260" spans="1:23" x14ac:dyDescent="0.3">
      <c r="A260" s="1" t="s">
        <v>847</v>
      </c>
      <c r="B260" s="1" t="s">
        <v>848</v>
      </c>
      <c r="C260" s="1" t="s">
        <v>18</v>
      </c>
      <c r="D260" s="1" t="s">
        <v>82</v>
      </c>
      <c r="E260" s="1">
        <v>2011</v>
      </c>
      <c r="F260" s="1" t="s">
        <v>20</v>
      </c>
      <c r="G260" s="1" t="s">
        <v>849</v>
      </c>
      <c r="H260" s="1">
        <v>114</v>
      </c>
      <c r="I260" s="1" t="s">
        <v>40</v>
      </c>
      <c r="J260" s="1">
        <v>8.8000000000000007</v>
      </c>
      <c r="K260" s="1">
        <v>430.7</v>
      </c>
      <c r="L260" s="1" t="s">
        <v>71</v>
      </c>
      <c r="M260" s="1" t="s">
        <v>157</v>
      </c>
      <c r="N260" s="1" t="s">
        <v>158</v>
      </c>
      <c r="O260" s="1"/>
      <c r="P260" s="1">
        <v>130</v>
      </c>
      <c r="Q260" s="1">
        <v>763.5</v>
      </c>
      <c r="R260" s="8" t="str">
        <f>_xlfn.IFS(J260&gt;=8,"Hit",J260&gt;=6,"Average",J260&lt;6,"Flop")</f>
        <v>Hit</v>
      </c>
      <c r="S260" s="9" t="str">
        <f>_xlfn.IFS(K260&gt;=400,"Blockbuster",K260&gt;=200,"Popular",K260&lt;200,"Normal")</f>
        <v>Blockbuster</v>
      </c>
      <c r="T260" s="10" t="str">
        <f>IF(OR(I260="PG",I260="G"),"Yes","No")</f>
        <v>Yes</v>
      </c>
      <c r="U260" s="11" t="str">
        <f>IF(P260&gt;=100,"High","Low")</f>
        <v>High</v>
      </c>
      <c r="V260" s="28">
        <f t="shared" si="8"/>
        <v>633.5</v>
      </c>
      <c r="W260" s="29">
        <f t="shared" si="9"/>
        <v>587.30769230769226</v>
      </c>
    </row>
    <row r="261" spans="1:23" x14ac:dyDescent="0.3">
      <c r="A261" s="1" t="s">
        <v>850</v>
      </c>
      <c r="B261" s="1" t="s">
        <v>851</v>
      </c>
      <c r="C261" s="1" t="s">
        <v>46</v>
      </c>
      <c r="D261" s="1" t="s">
        <v>94</v>
      </c>
      <c r="E261" s="1">
        <v>2023</v>
      </c>
      <c r="F261" s="1" t="s">
        <v>181</v>
      </c>
      <c r="G261" s="1" t="s">
        <v>852</v>
      </c>
      <c r="H261" s="1">
        <v>44</v>
      </c>
      <c r="I261" s="1" t="s">
        <v>40</v>
      </c>
      <c r="J261" s="1">
        <v>6.2</v>
      </c>
      <c r="K261" s="1">
        <v>345.1</v>
      </c>
      <c r="L261" s="1" t="s">
        <v>23</v>
      </c>
      <c r="M261" s="1" t="s">
        <v>132</v>
      </c>
      <c r="N261" s="1" t="s">
        <v>34</v>
      </c>
      <c r="O261" s="1">
        <v>7</v>
      </c>
      <c r="P261" s="1">
        <v>62</v>
      </c>
      <c r="Q261" s="1">
        <v>310.2</v>
      </c>
      <c r="R261" s="8" t="str">
        <f>_xlfn.IFS(J261&gt;=8,"Hit",J261&gt;=6,"Average",J261&lt;6,"Flop")</f>
        <v>Average</v>
      </c>
      <c r="S261" s="9" t="str">
        <f>_xlfn.IFS(K261&gt;=400,"Blockbuster",K261&gt;=200,"Popular",K261&lt;200,"Normal")</f>
        <v>Popular</v>
      </c>
      <c r="T261" s="10" t="str">
        <f>IF(OR(I261="PG",I261="G"),"Yes","No")</f>
        <v>Yes</v>
      </c>
      <c r="U261" s="11" t="str">
        <f>IF(P261&gt;=100,"High","Low")</f>
        <v>Low</v>
      </c>
      <c r="V261" s="28">
        <f t="shared" si="8"/>
        <v>248.2</v>
      </c>
      <c r="W261" s="29">
        <f t="shared" si="9"/>
        <v>500.32258064516128</v>
      </c>
    </row>
    <row r="262" spans="1:23" x14ac:dyDescent="0.3">
      <c r="A262" s="1" t="s">
        <v>853</v>
      </c>
      <c r="B262" s="1" t="s">
        <v>854</v>
      </c>
      <c r="C262" s="1" t="s">
        <v>18</v>
      </c>
      <c r="D262" s="1" t="s">
        <v>28</v>
      </c>
      <c r="E262" s="1">
        <v>2001</v>
      </c>
      <c r="F262" s="1" t="s">
        <v>38</v>
      </c>
      <c r="G262" s="1" t="s">
        <v>855</v>
      </c>
      <c r="H262" s="1">
        <v>134</v>
      </c>
      <c r="I262" s="1" t="s">
        <v>110</v>
      </c>
      <c r="J262" s="1">
        <v>7.3</v>
      </c>
      <c r="K262" s="1">
        <v>99.4</v>
      </c>
      <c r="L262" s="1" t="s">
        <v>65</v>
      </c>
      <c r="M262" s="1" t="s">
        <v>66</v>
      </c>
      <c r="N262" s="1" t="s">
        <v>86</v>
      </c>
      <c r="O262" s="1"/>
      <c r="P262" s="1">
        <v>157</v>
      </c>
      <c r="Q262" s="1">
        <v>305.8</v>
      </c>
      <c r="R262" s="8" t="str">
        <f>_xlfn.IFS(J262&gt;=8,"Hit",J262&gt;=6,"Average",J262&lt;6,"Flop")</f>
        <v>Average</v>
      </c>
      <c r="S262" s="9" t="str">
        <f>_xlfn.IFS(K262&gt;=400,"Blockbuster",K262&gt;=200,"Popular",K262&lt;200,"Normal")</f>
        <v>Normal</v>
      </c>
      <c r="T262" s="10" t="str">
        <f>IF(OR(I262="PG",I262="G"),"Yes","No")</f>
        <v>No</v>
      </c>
      <c r="U262" s="11" t="str">
        <f>IF(P262&gt;=100,"High","Low")</f>
        <v>High</v>
      </c>
      <c r="V262" s="28">
        <f t="shared" si="8"/>
        <v>148.80000000000001</v>
      </c>
      <c r="W262" s="29">
        <f t="shared" si="9"/>
        <v>194.77707006369428</v>
      </c>
    </row>
    <row r="263" spans="1:23" x14ac:dyDescent="0.3">
      <c r="A263" s="1" t="s">
        <v>856</v>
      </c>
      <c r="B263" s="1" t="s">
        <v>857</v>
      </c>
      <c r="C263" s="1" t="s">
        <v>46</v>
      </c>
      <c r="D263" s="1" t="s">
        <v>63</v>
      </c>
      <c r="E263" s="1">
        <v>2009</v>
      </c>
      <c r="F263" s="1" t="s">
        <v>20</v>
      </c>
      <c r="G263" s="1" t="s">
        <v>858</v>
      </c>
      <c r="H263" s="1">
        <v>43</v>
      </c>
      <c r="I263" s="1" t="s">
        <v>50</v>
      </c>
      <c r="J263" s="1">
        <v>8.1999999999999993</v>
      </c>
      <c r="K263" s="1">
        <v>108.6</v>
      </c>
      <c r="L263" s="1" t="s">
        <v>41</v>
      </c>
      <c r="M263" s="1" t="s">
        <v>72</v>
      </c>
      <c r="N263" s="1" t="s">
        <v>158</v>
      </c>
      <c r="O263" s="1">
        <v>8</v>
      </c>
      <c r="P263" s="1">
        <v>147</v>
      </c>
      <c r="Q263" s="1">
        <v>467.6</v>
      </c>
      <c r="R263" s="8" t="str">
        <f>_xlfn.IFS(J263&gt;=8,"Hit",J263&gt;=6,"Average",J263&lt;6,"Flop")</f>
        <v>Hit</v>
      </c>
      <c r="S263" s="9" t="str">
        <f>_xlfn.IFS(K263&gt;=400,"Blockbuster",K263&gt;=200,"Popular",K263&lt;200,"Normal")</f>
        <v>Normal</v>
      </c>
      <c r="T263" s="10" t="str">
        <f>IF(OR(I263="PG",I263="G"),"Yes","No")</f>
        <v>Yes</v>
      </c>
      <c r="U263" s="11" t="str">
        <f>IF(P263&gt;=100,"High","Low")</f>
        <v>High</v>
      </c>
      <c r="V263" s="28">
        <f t="shared" si="8"/>
        <v>320.60000000000002</v>
      </c>
      <c r="W263" s="29">
        <f t="shared" si="9"/>
        <v>318.09523809523813</v>
      </c>
    </row>
    <row r="264" spans="1:23" x14ac:dyDescent="0.3">
      <c r="A264" s="1" t="s">
        <v>859</v>
      </c>
      <c r="B264" s="1" t="s">
        <v>860</v>
      </c>
      <c r="C264" s="1" t="s">
        <v>46</v>
      </c>
      <c r="D264" s="1" t="s">
        <v>141</v>
      </c>
      <c r="E264" s="1">
        <v>2025</v>
      </c>
      <c r="F264" s="1" t="s">
        <v>76</v>
      </c>
      <c r="G264" s="1" t="s">
        <v>861</v>
      </c>
      <c r="H264" s="1">
        <v>56</v>
      </c>
      <c r="I264" s="1" t="s">
        <v>40</v>
      </c>
      <c r="J264" s="1">
        <v>5.0999999999999996</v>
      </c>
      <c r="K264" s="1">
        <v>259.3</v>
      </c>
      <c r="L264" s="1" t="s">
        <v>71</v>
      </c>
      <c r="M264" s="1" t="s">
        <v>72</v>
      </c>
      <c r="N264" s="1" t="s">
        <v>25</v>
      </c>
      <c r="O264" s="1">
        <v>7</v>
      </c>
      <c r="P264" s="1">
        <v>198</v>
      </c>
      <c r="Q264" s="1">
        <v>436.3</v>
      </c>
      <c r="R264" s="8" t="str">
        <f>_xlfn.IFS(J264&gt;=8,"Hit",J264&gt;=6,"Average",J264&lt;6,"Flop")</f>
        <v>Flop</v>
      </c>
      <c r="S264" s="9" t="str">
        <f>_xlfn.IFS(K264&gt;=400,"Blockbuster",K264&gt;=200,"Popular",K264&lt;200,"Normal")</f>
        <v>Popular</v>
      </c>
      <c r="T264" s="10" t="str">
        <f>IF(OR(I264="PG",I264="G"),"Yes","No")</f>
        <v>Yes</v>
      </c>
      <c r="U264" s="11" t="str">
        <f>IF(P264&gt;=100,"High","Low")</f>
        <v>High</v>
      </c>
      <c r="V264" s="28">
        <f t="shared" si="8"/>
        <v>238.3</v>
      </c>
      <c r="W264" s="29">
        <f t="shared" si="9"/>
        <v>220.35353535353534</v>
      </c>
    </row>
    <row r="265" spans="1:23" x14ac:dyDescent="0.3">
      <c r="A265" s="1" t="s">
        <v>862</v>
      </c>
      <c r="B265" s="1" t="s">
        <v>863</v>
      </c>
      <c r="C265" s="1" t="s">
        <v>46</v>
      </c>
      <c r="D265" s="1" t="s">
        <v>47</v>
      </c>
      <c r="E265" s="1">
        <v>2003</v>
      </c>
      <c r="F265" s="1" t="s">
        <v>20</v>
      </c>
      <c r="G265" s="1" t="s">
        <v>864</v>
      </c>
      <c r="H265" s="1">
        <v>39</v>
      </c>
      <c r="I265" s="1" t="s">
        <v>22</v>
      </c>
      <c r="J265" s="1">
        <v>6.1</v>
      </c>
      <c r="K265" s="1">
        <v>105.1</v>
      </c>
      <c r="L265" s="1" t="s">
        <v>41</v>
      </c>
      <c r="M265" s="1" t="s">
        <v>146</v>
      </c>
      <c r="N265" s="1" t="s">
        <v>178</v>
      </c>
      <c r="O265" s="1">
        <v>6</v>
      </c>
      <c r="P265" s="1">
        <v>40</v>
      </c>
      <c r="Q265" s="1">
        <v>86.2</v>
      </c>
      <c r="R265" s="8" t="str">
        <f>_xlfn.IFS(J265&gt;=8,"Hit",J265&gt;=6,"Average",J265&lt;6,"Flop")</f>
        <v>Average</v>
      </c>
      <c r="S265" s="9" t="str">
        <f>_xlfn.IFS(K265&gt;=400,"Blockbuster",K265&gt;=200,"Popular",K265&lt;200,"Normal")</f>
        <v>Normal</v>
      </c>
      <c r="T265" s="10" t="str">
        <f>IF(OR(I265="PG",I265="G"),"Yes","No")</f>
        <v>No</v>
      </c>
      <c r="U265" s="11" t="str">
        <f>IF(P265&gt;=100,"High","Low")</f>
        <v>Low</v>
      </c>
      <c r="V265" s="28">
        <f t="shared" si="8"/>
        <v>46.2</v>
      </c>
      <c r="W265" s="29">
        <f t="shared" si="9"/>
        <v>215.50000000000003</v>
      </c>
    </row>
    <row r="266" spans="1:23" x14ac:dyDescent="0.3">
      <c r="A266" s="1" t="s">
        <v>865</v>
      </c>
      <c r="B266" s="1" t="s">
        <v>866</v>
      </c>
      <c r="C266" s="1" t="s">
        <v>46</v>
      </c>
      <c r="D266" s="1" t="s">
        <v>19</v>
      </c>
      <c r="E266" s="1">
        <v>2006</v>
      </c>
      <c r="F266" s="1" t="s">
        <v>38</v>
      </c>
      <c r="G266" s="1" t="s">
        <v>867</v>
      </c>
      <c r="H266" s="1">
        <v>40</v>
      </c>
      <c r="I266" s="1" t="s">
        <v>22</v>
      </c>
      <c r="J266" s="1">
        <v>8.4</v>
      </c>
      <c r="K266" s="1">
        <v>485.1</v>
      </c>
      <c r="L266" s="1" t="s">
        <v>90</v>
      </c>
      <c r="M266" s="1" t="s">
        <v>157</v>
      </c>
      <c r="N266" s="1" t="s">
        <v>43</v>
      </c>
      <c r="O266" s="1">
        <v>3</v>
      </c>
      <c r="P266" s="1">
        <v>38</v>
      </c>
      <c r="Q266" s="1">
        <v>84.5</v>
      </c>
      <c r="R266" s="8" t="str">
        <f>_xlfn.IFS(J266&gt;=8,"Hit",J266&gt;=6,"Average",J266&lt;6,"Flop")</f>
        <v>Hit</v>
      </c>
      <c r="S266" s="9" t="str">
        <f>_xlfn.IFS(K266&gt;=400,"Blockbuster",K266&gt;=200,"Popular",K266&lt;200,"Normal")</f>
        <v>Blockbuster</v>
      </c>
      <c r="T266" s="10" t="str">
        <f>IF(OR(I266="PG",I266="G"),"Yes","No")</f>
        <v>No</v>
      </c>
      <c r="U266" s="11" t="str">
        <f>IF(P266&gt;=100,"High","Low")</f>
        <v>Low</v>
      </c>
      <c r="V266" s="28">
        <f t="shared" si="8"/>
        <v>46.5</v>
      </c>
      <c r="W266" s="29">
        <f t="shared" si="9"/>
        <v>222.36842105263159</v>
      </c>
    </row>
    <row r="267" spans="1:23" x14ac:dyDescent="0.3">
      <c r="A267" s="1" t="s">
        <v>868</v>
      </c>
      <c r="B267" s="1" t="s">
        <v>869</v>
      </c>
      <c r="C267" s="1" t="s">
        <v>46</v>
      </c>
      <c r="D267" s="1" t="s">
        <v>82</v>
      </c>
      <c r="E267" s="1">
        <v>2025</v>
      </c>
      <c r="F267" s="1" t="s">
        <v>29</v>
      </c>
      <c r="G267" s="1" t="s">
        <v>870</v>
      </c>
      <c r="H267" s="1">
        <v>51</v>
      </c>
      <c r="I267" s="1" t="s">
        <v>31</v>
      </c>
      <c r="J267" s="1">
        <v>6</v>
      </c>
      <c r="K267" s="1">
        <v>559.79999999999995</v>
      </c>
      <c r="L267" s="1" t="s">
        <v>71</v>
      </c>
      <c r="M267" s="1" t="s">
        <v>72</v>
      </c>
      <c r="N267" s="1" t="s">
        <v>34</v>
      </c>
      <c r="O267" s="1">
        <v>7</v>
      </c>
      <c r="P267" s="1">
        <v>105</v>
      </c>
      <c r="Q267" s="1">
        <v>310.8</v>
      </c>
      <c r="R267" s="8" t="str">
        <f>_xlfn.IFS(J267&gt;=8,"Hit",J267&gt;=6,"Average",J267&lt;6,"Flop")</f>
        <v>Average</v>
      </c>
      <c r="S267" s="9" t="str">
        <f>_xlfn.IFS(K267&gt;=400,"Blockbuster",K267&gt;=200,"Popular",K267&lt;200,"Normal")</f>
        <v>Blockbuster</v>
      </c>
      <c r="T267" s="10" t="str">
        <f>IF(OR(I267="PG",I267="G"),"Yes","No")</f>
        <v>No</v>
      </c>
      <c r="U267" s="11" t="str">
        <f>IF(P267&gt;=100,"High","Low")</f>
        <v>High</v>
      </c>
      <c r="V267" s="28">
        <f t="shared" si="8"/>
        <v>205.8</v>
      </c>
      <c r="W267" s="29">
        <f t="shared" si="9"/>
        <v>296</v>
      </c>
    </row>
    <row r="268" spans="1:23" x14ac:dyDescent="0.3">
      <c r="A268" s="1" t="s">
        <v>871</v>
      </c>
      <c r="B268" s="1" t="s">
        <v>872</v>
      </c>
      <c r="C268" s="1" t="s">
        <v>18</v>
      </c>
      <c r="D268" s="1" t="s">
        <v>37</v>
      </c>
      <c r="E268" s="1">
        <v>2023</v>
      </c>
      <c r="F268" s="1" t="s">
        <v>83</v>
      </c>
      <c r="G268" s="1" t="s">
        <v>873</v>
      </c>
      <c r="H268" s="1">
        <v>82</v>
      </c>
      <c r="I268" s="1" t="s">
        <v>110</v>
      </c>
      <c r="J268" s="1">
        <v>8.9</v>
      </c>
      <c r="K268" s="1">
        <v>187</v>
      </c>
      <c r="L268" s="1" t="s">
        <v>23</v>
      </c>
      <c r="M268" s="1" t="s">
        <v>72</v>
      </c>
      <c r="N268" s="1" t="s">
        <v>79</v>
      </c>
      <c r="O268" s="1"/>
      <c r="P268" s="1">
        <v>174</v>
      </c>
      <c r="Q268" s="1">
        <v>426.7</v>
      </c>
      <c r="R268" s="8" t="str">
        <f>_xlfn.IFS(J268&gt;=8,"Hit",J268&gt;=6,"Average",J268&lt;6,"Flop")</f>
        <v>Hit</v>
      </c>
      <c r="S268" s="9" t="str">
        <f>_xlfn.IFS(K268&gt;=400,"Blockbuster",K268&gt;=200,"Popular",K268&lt;200,"Normal")</f>
        <v>Normal</v>
      </c>
      <c r="T268" s="10" t="str">
        <f>IF(OR(I268="PG",I268="G"),"Yes","No")</f>
        <v>No</v>
      </c>
      <c r="U268" s="11" t="str">
        <f>IF(P268&gt;=100,"High","Low")</f>
        <v>High</v>
      </c>
      <c r="V268" s="28">
        <f t="shared" si="8"/>
        <v>252.7</v>
      </c>
      <c r="W268" s="29">
        <f t="shared" si="9"/>
        <v>245.22988505747128</v>
      </c>
    </row>
    <row r="269" spans="1:23" x14ac:dyDescent="0.3">
      <c r="A269" s="1" t="s">
        <v>874</v>
      </c>
      <c r="B269" s="1" t="s">
        <v>875</v>
      </c>
      <c r="C269" s="1" t="s">
        <v>46</v>
      </c>
      <c r="D269" s="1" t="s">
        <v>28</v>
      </c>
      <c r="E269" s="1">
        <v>2002</v>
      </c>
      <c r="F269" s="1" t="s">
        <v>29</v>
      </c>
      <c r="G269" s="1" t="s">
        <v>536</v>
      </c>
      <c r="H269" s="1">
        <v>43</v>
      </c>
      <c r="I269" s="1" t="s">
        <v>110</v>
      </c>
      <c r="J269" s="1">
        <v>4.9000000000000004</v>
      </c>
      <c r="K269" s="1">
        <v>210</v>
      </c>
      <c r="L269" s="1" t="s">
        <v>41</v>
      </c>
      <c r="M269" s="1" t="s">
        <v>24</v>
      </c>
      <c r="N269" s="1" t="s">
        <v>25</v>
      </c>
      <c r="O269" s="1">
        <v>7</v>
      </c>
      <c r="P269" s="1">
        <v>146</v>
      </c>
      <c r="Q269" s="1">
        <v>948.2</v>
      </c>
      <c r="R269" s="8" t="str">
        <f>_xlfn.IFS(J269&gt;=8,"Hit",J269&gt;=6,"Average",J269&lt;6,"Flop")</f>
        <v>Flop</v>
      </c>
      <c r="S269" s="9" t="str">
        <f>_xlfn.IFS(K269&gt;=400,"Blockbuster",K269&gt;=200,"Popular",K269&lt;200,"Normal")</f>
        <v>Popular</v>
      </c>
      <c r="T269" s="10" t="str">
        <f>IF(OR(I269="PG",I269="G"),"Yes","No")</f>
        <v>No</v>
      </c>
      <c r="U269" s="11" t="str">
        <f>IF(P269&gt;=100,"High","Low")</f>
        <v>High</v>
      </c>
      <c r="V269" s="28">
        <f t="shared" si="8"/>
        <v>802.2</v>
      </c>
      <c r="W269" s="29">
        <f t="shared" si="9"/>
        <v>649.45205479452056</v>
      </c>
    </row>
    <row r="270" spans="1:23" x14ac:dyDescent="0.3">
      <c r="A270" s="1" t="s">
        <v>876</v>
      </c>
      <c r="B270" s="1" t="s">
        <v>877</v>
      </c>
      <c r="C270" s="1" t="s">
        <v>46</v>
      </c>
      <c r="D270" s="1" t="s">
        <v>28</v>
      </c>
      <c r="E270" s="1">
        <v>2014</v>
      </c>
      <c r="F270" s="1" t="s">
        <v>95</v>
      </c>
      <c r="G270" s="1" t="s">
        <v>878</v>
      </c>
      <c r="H270" s="1">
        <v>42</v>
      </c>
      <c r="I270" s="1" t="s">
        <v>40</v>
      </c>
      <c r="J270" s="1">
        <v>7.7</v>
      </c>
      <c r="K270" s="1">
        <v>255.3</v>
      </c>
      <c r="L270" s="1" t="s">
        <v>71</v>
      </c>
      <c r="M270" s="1" t="s">
        <v>24</v>
      </c>
      <c r="N270" s="1" t="s">
        <v>67</v>
      </c>
      <c r="O270" s="1">
        <v>7</v>
      </c>
      <c r="P270" s="1">
        <v>135</v>
      </c>
      <c r="Q270" s="1">
        <v>664.5</v>
      </c>
      <c r="R270" s="8" t="str">
        <f>_xlfn.IFS(J270&gt;=8,"Hit",J270&gt;=6,"Average",J270&lt;6,"Flop")</f>
        <v>Average</v>
      </c>
      <c r="S270" s="9" t="str">
        <f>_xlfn.IFS(K270&gt;=400,"Blockbuster",K270&gt;=200,"Popular",K270&lt;200,"Normal")</f>
        <v>Popular</v>
      </c>
      <c r="T270" s="10" t="str">
        <f>IF(OR(I270="PG",I270="G"),"Yes","No")</f>
        <v>Yes</v>
      </c>
      <c r="U270" s="11" t="str">
        <f>IF(P270&gt;=100,"High","Low")</f>
        <v>High</v>
      </c>
      <c r="V270" s="28">
        <f t="shared" si="8"/>
        <v>529.5</v>
      </c>
      <c r="W270" s="29">
        <f t="shared" si="9"/>
        <v>492.22222222222223</v>
      </c>
    </row>
    <row r="271" spans="1:23" x14ac:dyDescent="0.3">
      <c r="A271" s="1" t="s">
        <v>879</v>
      </c>
      <c r="B271" s="1" t="s">
        <v>880</v>
      </c>
      <c r="C271" s="1" t="s">
        <v>18</v>
      </c>
      <c r="D271" s="1" t="s">
        <v>28</v>
      </c>
      <c r="E271" s="1">
        <v>2017</v>
      </c>
      <c r="F271" s="1" t="s">
        <v>100</v>
      </c>
      <c r="G271" s="1" t="s">
        <v>556</v>
      </c>
      <c r="H271" s="1">
        <v>145</v>
      </c>
      <c r="I271" s="1" t="s">
        <v>31</v>
      </c>
      <c r="J271" s="1">
        <v>5.9</v>
      </c>
      <c r="K271" s="1">
        <v>74.900000000000006</v>
      </c>
      <c r="L271" s="1" t="s">
        <v>90</v>
      </c>
      <c r="M271" s="1" t="s">
        <v>132</v>
      </c>
      <c r="N271" s="1" t="s">
        <v>158</v>
      </c>
      <c r="O271" s="1"/>
      <c r="P271" s="1">
        <v>78</v>
      </c>
      <c r="Q271" s="1">
        <v>113.9</v>
      </c>
      <c r="R271" s="8" t="str">
        <f>_xlfn.IFS(J271&gt;=8,"Hit",J271&gt;=6,"Average",J271&lt;6,"Flop")</f>
        <v>Flop</v>
      </c>
      <c r="S271" s="9" t="str">
        <f>_xlfn.IFS(K271&gt;=400,"Blockbuster",K271&gt;=200,"Popular",K271&lt;200,"Normal")</f>
        <v>Normal</v>
      </c>
      <c r="T271" s="10" t="str">
        <f>IF(OR(I271="PG",I271="G"),"Yes","No")</f>
        <v>No</v>
      </c>
      <c r="U271" s="11" t="str">
        <f>IF(P271&gt;=100,"High","Low")</f>
        <v>Low</v>
      </c>
      <c r="V271" s="28">
        <f t="shared" si="8"/>
        <v>35.900000000000006</v>
      </c>
      <c r="W271" s="29">
        <f t="shared" si="9"/>
        <v>146.02564102564105</v>
      </c>
    </row>
    <row r="272" spans="1:23" x14ac:dyDescent="0.3">
      <c r="A272" s="1" t="s">
        <v>881</v>
      </c>
      <c r="B272" s="1" t="s">
        <v>882</v>
      </c>
      <c r="C272" s="1" t="s">
        <v>46</v>
      </c>
      <c r="D272" s="1" t="s">
        <v>117</v>
      </c>
      <c r="E272" s="1">
        <v>2011</v>
      </c>
      <c r="F272" s="1" t="s">
        <v>122</v>
      </c>
      <c r="G272" s="1" t="s">
        <v>883</v>
      </c>
      <c r="H272" s="1">
        <v>38</v>
      </c>
      <c r="I272" s="1" t="s">
        <v>110</v>
      </c>
      <c r="J272" s="1">
        <v>9.1999999999999993</v>
      </c>
      <c r="K272" s="1">
        <v>315.3</v>
      </c>
      <c r="L272" s="1" t="s">
        <v>32</v>
      </c>
      <c r="M272" s="1" t="s">
        <v>157</v>
      </c>
      <c r="N272" s="1" t="s">
        <v>60</v>
      </c>
      <c r="O272" s="1">
        <v>3</v>
      </c>
      <c r="P272" s="1">
        <v>97</v>
      </c>
      <c r="Q272" s="1">
        <v>266.7</v>
      </c>
      <c r="R272" s="8" t="str">
        <f>_xlfn.IFS(J272&gt;=8,"Hit",J272&gt;=6,"Average",J272&lt;6,"Flop")</f>
        <v>Hit</v>
      </c>
      <c r="S272" s="9" t="str">
        <f>_xlfn.IFS(K272&gt;=400,"Blockbuster",K272&gt;=200,"Popular",K272&lt;200,"Normal")</f>
        <v>Popular</v>
      </c>
      <c r="T272" s="10" t="str">
        <f>IF(OR(I272="PG",I272="G"),"Yes","No")</f>
        <v>No</v>
      </c>
      <c r="U272" s="11" t="str">
        <f>IF(P272&gt;=100,"High","Low")</f>
        <v>Low</v>
      </c>
      <c r="V272" s="28">
        <f t="shared" si="8"/>
        <v>169.7</v>
      </c>
      <c r="W272" s="29">
        <f t="shared" si="9"/>
        <v>274.94845360824741</v>
      </c>
    </row>
    <row r="273" spans="1:23" x14ac:dyDescent="0.3">
      <c r="A273" s="1" t="s">
        <v>884</v>
      </c>
      <c r="B273" s="1" t="s">
        <v>885</v>
      </c>
      <c r="C273" s="1" t="s">
        <v>46</v>
      </c>
      <c r="D273" s="1" t="s">
        <v>47</v>
      </c>
      <c r="E273" s="1">
        <v>2003</v>
      </c>
      <c r="F273" s="1" t="s">
        <v>38</v>
      </c>
      <c r="G273" s="1" t="s">
        <v>886</v>
      </c>
      <c r="H273" s="1">
        <v>60</v>
      </c>
      <c r="I273" s="1" t="s">
        <v>31</v>
      </c>
      <c r="J273" s="1">
        <v>6.8</v>
      </c>
      <c r="K273" s="1">
        <v>507.2</v>
      </c>
      <c r="L273" s="1" t="s">
        <v>71</v>
      </c>
      <c r="M273" s="1" t="s">
        <v>42</v>
      </c>
      <c r="N273" s="1" t="s">
        <v>60</v>
      </c>
      <c r="O273" s="1">
        <v>3</v>
      </c>
      <c r="P273" s="1">
        <v>67</v>
      </c>
      <c r="Q273" s="1">
        <v>123.5</v>
      </c>
      <c r="R273" s="8" t="str">
        <f>_xlfn.IFS(J273&gt;=8,"Hit",J273&gt;=6,"Average",J273&lt;6,"Flop")</f>
        <v>Average</v>
      </c>
      <c r="S273" s="9" t="str">
        <f>_xlfn.IFS(K273&gt;=400,"Blockbuster",K273&gt;=200,"Popular",K273&lt;200,"Normal")</f>
        <v>Blockbuster</v>
      </c>
      <c r="T273" s="10" t="str">
        <f>IF(OR(I273="PG",I273="G"),"Yes","No")</f>
        <v>No</v>
      </c>
      <c r="U273" s="11" t="str">
        <f>IF(P273&gt;=100,"High","Low")</f>
        <v>Low</v>
      </c>
      <c r="V273" s="28">
        <f t="shared" si="8"/>
        <v>56.5</v>
      </c>
      <c r="W273" s="29">
        <f t="shared" si="9"/>
        <v>184.32835820895522</v>
      </c>
    </row>
    <row r="274" spans="1:23" x14ac:dyDescent="0.3">
      <c r="A274" s="1" t="s">
        <v>887</v>
      </c>
      <c r="B274" s="1" t="s">
        <v>888</v>
      </c>
      <c r="C274" s="1" t="s">
        <v>18</v>
      </c>
      <c r="D274" s="1" t="s">
        <v>117</v>
      </c>
      <c r="E274" s="1">
        <v>2005</v>
      </c>
      <c r="F274" s="1" t="s">
        <v>181</v>
      </c>
      <c r="G274" s="1" t="s">
        <v>889</v>
      </c>
      <c r="H274" s="1">
        <v>166</v>
      </c>
      <c r="I274" s="1" t="s">
        <v>110</v>
      </c>
      <c r="J274" s="1">
        <v>5.6</v>
      </c>
      <c r="K274" s="1">
        <v>27</v>
      </c>
      <c r="L274" s="1" t="s">
        <v>32</v>
      </c>
      <c r="M274" s="1" t="s">
        <v>72</v>
      </c>
      <c r="N274" s="1" t="s">
        <v>153</v>
      </c>
      <c r="O274" s="1"/>
      <c r="P274" s="1">
        <v>31</v>
      </c>
      <c r="Q274" s="1">
        <v>159</v>
      </c>
      <c r="R274" s="8" t="str">
        <f>_xlfn.IFS(J274&gt;=8,"Hit",J274&gt;=6,"Average",J274&lt;6,"Flop")</f>
        <v>Flop</v>
      </c>
      <c r="S274" s="9" t="str">
        <f>_xlfn.IFS(K274&gt;=400,"Blockbuster",K274&gt;=200,"Popular",K274&lt;200,"Normal")</f>
        <v>Normal</v>
      </c>
      <c r="T274" s="10" t="str">
        <f>IF(OR(I274="PG",I274="G"),"Yes","No")</f>
        <v>No</v>
      </c>
      <c r="U274" s="11" t="str">
        <f>IF(P274&gt;=100,"High","Low")</f>
        <v>Low</v>
      </c>
      <c r="V274" s="28">
        <f t="shared" si="8"/>
        <v>128</v>
      </c>
      <c r="W274" s="29">
        <f t="shared" si="9"/>
        <v>512.90322580645159</v>
      </c>
    </row>
    <row r="275" spans="1:23" x14ac:dyDescent="0.3">
      <c r="A275" s="1" t="s">
        <v>890</v>
      </c>
      <c r="B275" s="1" t="s">
        <v>891</v>
      </c>
      <c r="C275" s="1" t="s">
        <v>18</v>
      </c>
      <c r="D275" s="1" t="s">
        <v>28</v>
      </c>
      <c r="E275" s="1">
        <v>2015</v>
      </c>
      <c r="F275" s="1" t="s">
        <v>122</v>
      </c>
      <c r="G275" s="1" t="s">
        <v>892</v>
      </c>
      <c r="H275" s="1">
        <v>176</v>
      </c>
      <c r="I275" s="1" t="s">
        <v>110</v>
      </c>
      <c r="J275" s="1">
        <v>6.7</v>
      </c>
      <c r="K275" s="1">
        <v>359.4</v>
      </c>
      <c r="L275" s="1" t="s">
        <v>32</v>
      </c>
      <c r="M275" s="1" t="s">
        <v>97</v>
      </c>
      <c r="N275" s="1" t="s">
        <v>55</v>
      </c>
      <c r="O275" s="1"/>
      <c r="P275" s="1">
        <v>169</v>
      </c>
      <c r="Q275" s="1">
        <v>800.5</v>
      </c>
      <c r="R275" s="8" t="str">
        <f>_xlfn.IFS(J275&gt;=8,"Hit",J275&gt;=6,"Average",J275&lt;6,"Flop")</f>
        <v>Average</v>
      </c>
      <c r="S275" s="9" t="str">
        <f>_xlfn.IFS(K275&gt;=400,"Blockbuster",K275&gt;=200,"Popular",K275&lt;200,"Normal")</f>
        <v>Popular</v>
      </c>
      <c r="T275" s="10" t="str">
        <f>IF(OR(I275="PG",I275="G"),"Yes","No")</f>
        <v>No</v>
      </c>
      <c r="U275" s="11" t="str">
        <f>IF(P275&gt;=100,"High","Low")</f>
        <v>High</v>
      </c>
      <c r="V275" s="28">
        <f t="shared" si="8"/>
        <v>631.5</v>
      </c>
      <c r="W275" s="29">
        <f t="shared" si="9"/>
        <v>473.66863905325448</v>
      </c>
    </row>
    <row r="276" spans="1:23" x14ac:dyDescent="0.3">
      <c r="A276" s="1" t="s">
        <v>893</v>
      </c>
      <c r="B276" s="1" t="s">
        <v>894</v>
      </c>
      <c r="C276" s="1" t="s">
        <v>46</v>
      </c>
      <c r="D276" s="1" t="s">
        <v>19</v>
      </c>
      <c r="E276" s="1">
        <v>2015</v>
      </c>
      <c r="F276" s="1" t="s">
        <v>181</v>
      </c>
      <c r="G276" s="1" t="s">
        <v>895</v>
      </c>
      <c r="H276" s="1">
        <v>40</v>
      </c>
      <c r="I276" s="1" t="s">
        <v>50</v>
      </c>
      <c r="J276" s="1">
        <v>4.8</v>
      </c>
      <c r="K276" s="1">
        <v>593.5</v>
      </c>
      <c r="L276" s="1" t="s">
        <v>65</v>
      </c>
      <c r="M276" s="1" t="s">
        <v>157</v>
      </c>
      <c r="N276" s="1" t="s">
        <v>153</v>
      </c>
      <c r="O276" s="1">
        <v>2</v>
      </c>
      <c r="P276" s="1">
        <v>109</v>
      </c>
      <c r="Q276" s="1">
        <v>456.3</v>
      </c>
      <c r="R276" s="8" t="str">
        <f>_xlfn.IFS(J276&gt;=8,"Hit",J276&gt;=6,"Average",J276&lt;6,"Flop")</f>
        <v>Flop</v>
      </c>
      <c r="S276" s="9" t="str">
        <f>_xlfn.IFS(K276&gt;=400,"Blockbuster",K276&gt;=200,"Popular",K276&lt;200,"Normal")</f>
        <v>Blockbuster</v>
      </c>
      <c r="T276" s="10" t="str">
        <f>IF(OR(I276="PG",I276="G"),"Yes","No")</f>
        <v>Yes</v>
      </c>
      <c r="U276" s="11" t="str">
        <f>IF(P276&gt;=100,"High","Low")</f>
        <v>High</v>
      </c>
      <c r="V276" s="28">
        <f t="shared" si="8"/>
        <v>347.3</v>
      </c>
      <c r="W276" s="29">
        <f t="shared" si="9"/>
        <v>418.62385321100913</v>
      </c>
    </row>
    <row r="277" spans="1:23" x14ac:dyDescent="0.3">
      <c r="A277" s="1" t="s">
        <v>896</v>
      </c>
      <c r="B277" s="1" t="s">
        <v>897</v>
      </c>
      <c r="C277" s="1" t="s">
        <v>18</v>
      </c>
      <c r="D277" s="1" t="s">
        <v>19</v>
      </c>
      <c r="E277" s="1">
        <v>2015</v>
      </c>
      <c r="F277" s="1" t="s">
        <v>76</v>
      </c>
      <c r="G277" s="1" t="s">
        <v>898</v>
      </c>
      <c r="H277" s="1">
        <v>128</v>
      </c>
      <c r="I277" s="1" t="s">
        <v>50</v>
      </c>
      <c r="J277" s="1">
        <v>9.4</v>
      </c>
      <c r="K277" s="1">
        <v>347</v>
      </c>
      <c r="L277" s="1" t="s">
        <v>90</v>
      </c>
      <c r="M277" s="1" t="s">
        <v>54</v>
      </c>
      <c r="N277" s="1" t="s">
        <v>34</v>
      </c>
      <c r="O277" s="1"/>
      <c r="P277" s="1">
        <v>46</v>
      </c>
      <c r="Q277" s="1">
        <v>201</v>
      </c>
      <c r="R277" s="8" t="str">
        <f>_xlfn.IFS(J277&gt;=8,"Hit",J277&gt;=6,"Average",J277&lt;6,"Flop")</f>
        <v>Hit</v>
      </c>
      <c r="S277" s="9" t="str">
        <f>_xlfn.IFS(K277&gt;=400,"Blockbuster",K277&gt;=200,"Popular",K277&lt;200,"Normal")</f>
        <v>Popular</v>
      </c>
      <c r="T277" s="10" t="str">
        <f>IF(OR(I277="PG",I277="G"),"Yes","No")</f>
        <v>Yes</v>
      </c>
      <c r="U277" s="11" t="str">
        <f>IF(P277&gt;=100,"High","Low")</f>
        <v>Low</v>
      </c>
      <c r="V277" s="28">
        <f t="shared" si="8"/>
        <v>155</v>
      </c>
      <c r="W277" s="29">
        <f t="shared" si="9"/>
        <v>436.95652173913049</v>
      </c>
    </row>
    <row r="278" spans="1:23" x14ac:dyDescent="0.3">
      <c r="A278" s="1" t="s">
        <v>899</v>
      </c>
      <c r="B278" s="1" t="s">
        <v>900</v>
      </c>
      <c r="C278" s="1" t="s">
        <v>18</v>
      </c>
      <c r="D278" s="1" t="s">
        <v>141</v>
      </c>
      <c r="E278" s="1">
        <v>2023</v>
      </c>
      <c r="F278" s="1" t="s">
        <v>100</v>
      </c>
      <c r="G278" s="1" t="s">
        <v>901</v>
      </c>
      <c r="H278" s="1">
        <v>87</v>
      </c>
      <c r="I278" s="1" t="s">
        <v>40</v>
      </c>
      <c r="J278" s="1">
        <v>9.4</v>
      </c>
      <c r="K278" s="1">
        <v>179.2</v>
      </c>
      <c r="L278" s="1" t="s">
        <v>41</v>
      </c>
      <c r="M278" s="1" t="s">
        <v>24</v>
      </c>
      <c r="N278" s="1" t="s">
        <v>158</v>
      </c>
      <c r="O278" s="1"/>
      <c r="P278" s="1">
        <v>147</v>
      </c>
      <c r="Q278" s="1">
        <v>638.29999999999995</v>
      </c>
      <c r="R278" s="8" t="str">
        <f>_xlfn.IFS(J278&gt;=8,"Hit",J278&gt;=6,"Average",J278&lt;6,"Flop")</f>
        <v>Hit</v>
      </c>
      <c r="S278" s="9" t="str">
        <f>_xlfn.IFS(K278&gt;=400,"Blockbuster",K278&gt;=200,"Popular",K278&lt;200,"Normal")</f>
        <v>Normal</v>
      </c>
      <c r="T278" s="10" t="str">
        <f>IF(OR(I278="PG",I278="G"),"Yes","No")</f>
        <v>Yes</v>
      </c>
      <c r="U278" s="11" t="str">
        <f>IF(P278&gt;=100,"High","Low")</f>
        <v>High</v>
      </c>
      <c r="V278" s="28">
        <f t="shared" si="8"/>
        <v>491.29999999999995</v>
      </c>
      <c r="W278" s="29">
        <f t="shared" si="9"/>
        <v>434.21768707482988</v>
      </c>
    </row>
    <row r="279" spans="1:23" x14ac:dyDescent="0.3">
      <c r="A279" s="1" t="s">
        <v>902</v>
      </c>
      <c r="B279" s="1" t="s">
        <v>903</v>
      </c>
      <c r="C279" s="1" t="s">
        <v>18</v>
      </c>
      <c r="D279" s="1" t="s">
        <v>82</v>
      </c>
      <c r="E279" s="1">
        <v>2003</v>
      </c>
      <c r="F279" s="1" t="s">
        <v>48</v>
      </c>
      <c r="G279" s="1" t="s">
        <v>904</v>
      </c>
      <c r="H279" s="1">
        <v>136</v>
      </c>
      <c r="I279" s="1" t="s">
        <v>110</v>
      </c>
      <c r="J279" s="1">
        <v>5.7</v>
      </c>
      <c r="K279" s="1">
        <v>299.89999999999998</v>
      </c>
      <c r="L279" s="1" t="s">
        <v>32</v>
      </c>
      <c r="M279" s="1" t="s">
        <v>106</v>
      </c>
      <c r="N279" s="1" t="s">
        <v>34</v>
      </c>
      <c r="O279" s="1"/>
      <c r="P279" s="1">
        <v>5</v>
      </c>
      <c r="Q279" s="1">
        <v>30.5</v>
      </c>
      <c r="R279" s="8" t="str">
        <f>_xlfn.IFS(J279&gt;=8,"Hit",J279&gt;=6,"Average",J279&lt;6,"Flop")</f>
        <v>Flop</v>
      </c>
      <c r="S279" s="9" t="str">
        <f>_xlfn.IFS(K279&gt;=400,"Blockbuster",K279&gt;=200,"Popular",K279&lt;200,"Normal")</f>
        <v>Popular</v>
      </c>
      <c r="T279" s="10" t="str">
        <f>IF(OR(I279="PG",I279="G"),"Yes","No")</f>
        <v>No</v>
      </c>
      <c r="U279" s="11" t="str">
        <f>IF(P279&gt;=100,"High","Low")</f>
        <v>Low</v>
      </c>
      <c r="V279" s="28">
        <f t="shared" si="8"/>
        <v>25.5</v>
      </c>
      <c r="W279" s="29">
        <f t="shared" si="9"/>
        <v>610</v>
      </c>
    </row>
    <row r="280" spans="1:23" x14ac:dyDescent="0.3">
      <c r="A280" s="1" t="s">
        <v>905</v>
      </c>
      <c r="B280" s="1" t="s">
        <v>906</v>
      </c>
      <c r="C280" s="1" t="s">
        <v>18</v>
      </c>
      <c r="D280" s="1" t="s">
        <v>75</v>
      </c>
      <c r="E280" s="1">
        <v>2020</v>
      </c>
      <c r="F280" s="1" t="s">
        <v>76</v>
      </c>
      <c r="G280" s="1" t="s">
        <v>907</v>
      </c>
      <c r="H280" s="1">
        <v>88</v>
      </c>
      <c r="I280" s="1" t="s">
        <v>31</v>
      </c>
      <c r="J280" s="1">
        <v>7.1</v>
      </c>
      <c r="K280" s="1">
        <v>35.5</v>
      </c>
      <c r="L280" s="1" t="s">
        <v>171</v>
      </c>
      <c r="M280" s="1" t="s">
        <v>146</v>
      </c>
      <c r="N280" s="1" t="s">
        <v>86</v>
      </c>
      <c r="O280" s="1"/>
      <c r="P280" s="1">
        <v>95</v>
      </c>
      <c r="Q280" s="1">
        <v>295</v>
      </c>
      <c r="R280" s="8" t="str">
        <f>_xlfn.IFS(J280&gt;=8,"Hit",J280&gt;=6,"Average",J280&lt;6,"Flop")</f>
        <v>Average</v>
      </c>
      <c r="S280" s="9" t="str">
        <f>_xlfn.IFS(K280&gt;=400,"Blockbuster",K280&gt;=200,"Popular",K280&lt;200,"Normal")</f>
        <v>Normal</v>
      </c>
      <c r="T280" s="10" t="str">
        <f>IF(OR(I280="PG",I280="G"),"Yes","No")</f>
        <v>No</v>
      </c>
      <c r="U280" s="11" t="str">
        <f>IF(P280&gt;=100,"High","Low")</f>
        <v>Low</v>
      </c>
      <c r="V280" s="28">
        <f t="shared" si="8"/>
        <v>200</v>
      </c>
      <c r="W280" s="29">
        <f t="shared" si="9"/>
        <v>310.5263157894737</v>
      </c>
    </row>
    <row r="281" spans="1:23" x14ac:dyDescent="0.3">
      <c r="A281" s="1" t="s">
        <v>908</v>
      </c>
      <c r="B281" s="1" t="s">
        <v>909</v>
      </c>
      <c r="C281" s="1" t="s">
        <v>46</v>
      </c>
      <c r="D281" s="1" t="s">
        <v>94</v>
      </c>
      <c r="E281" s="1">
        <v>2018</v>
      </c>
      <c r="F281" s="1" t="s">
        <v>95</v>
      </c>
      <c r="G281" s="1" t="s">
        <v>910</v>
      </c>
      <c r="H281" s="1">
        <v>33</v>
      </c>
      <c r="I281" s="1" t="s">
        <v>50</v>
      </c>
      <c r="J281" s="1">
        <v>7.7</v>
      </c>
      <c r="K281" s="1">
        <v>465.1</v>
      </c>
      <c r="L281" s="1" t="s">
        <v>71</v>
      </c>
      <c r="M281" s="1" t="s">
        <v>42</v>
      </c>
      <c r="N281" s="1" t="s">
        <v>102</v>
      </c>
      <c r="O281" s="1">
        <v>7</v>
      </c>
      <c r="P281" s="1">
        <v>93</v>
      </c>
      <c r="Q281" s="1">
        <v>127.8</v>
      </c>
      <c r="R281" s="8" t="str">
        <f>_xlfn.IFS(J281&gt;=8,"Hit",J281&gt;=6,"Average",J281&lt;6,"Flop")</f>
        <v>Average</v>
      </c>
      <c r="S281" s="9" t="str">
        <f>_xlfn.IFS(K281&gt;=400,"Blockbuster",K281&gt;=200,"Popular",K281&lt;200,"Normal")</f>
        <v>Blockbuster</v>
      </c>
      <c r="T281" s="10" t="str">
        <f>IF(OR(I281="PG",I281="G"),"Yes","No")</f>
        <v>Yes</v>
      </c>
      <c r="U281" s="11" t="str">
        <f>IF(P281&gt;=100,"High","Low")</f>
        <v>Low</v>
      </c>
      <c r="V281" s="28">
        <f t="shared" si="8"/>
        <v>34.799999999999997</v>
      </c>
      <c r="W281" s="29">
        <f t="shared" si="9"/>
        <v>137.41935483870969</v>
      </c>
    </row>
    <row r="282" spans="1:23" x14ac:dyDescent="0.3">
      <c r="A282" s="1" t="s">
        <v>911</v>
      </c>
      <c r="B282" s="1" t="s">
        <v>912</v>
      </c>
      <c r="C282" s="1" t="s">
        <v>46</v>
      </c>
      <c r="D282" s="1" t="s">
        <v>63</v>
      </c>
      <c r="E282" s="1">
        <v>2024</v>
      </c>
      <c r="F282" s="1" t="s">
        <v>48</v>
      </c>
      <c r="G282" s="1" t="s">
        <v>913</v>
      </c>
      <c r="H282" s="1">
        <v>31</v>
      </c>
      <c r="I282" s="1" t="s">
        <v>31</v>
      </c>
      <c r="J282" s="1">
        <v>9.4</v>
      </c>
      <c r="K282" s="1">
        <v>55.8</v>
      </c>
      <c r="L282" s="1" t="s">
        <v>23</v>
      </c>
      <c r="M282" s="1" t="s">
        <v>157</v>
      </c>
      <c r="N282" s="1" t="s">
        <v>43</v>
      </c>
      <c r="O282" s="1">
        <v>8</v>
      </c>
      <c r="P282" s="1">
        <v>6</v>
      </c>
      <c r="Q282" s="1">
        <v>24.3</v>
      </c>
      <c r="R282" s="8" t="str">
        <f>_xlfn.IFS(J282&gt;=8,"Hit",J282&gt;=6,"Average",J282&lt;6,"Flop")</f>
        <v>Hit</v>
      </c>
      <c r="S282" s="9" t="str">
        <f>_xlfn.IFS(K282&gt;=400,"Blockbuster",K282&gt;=200,"Popular",K282&lt;200,"Normal")</f>
        <v>Normal</v>
      </c>
      <c r="T282" s="10" t="str">
        <f>IF(OR(I282="PG",I282="G"),"Yes","No")</f>
        <v>No</v>
      </c>
      <c r="U282" s="11" t="str">
        <f>IF(P282&gt;=100,"High","Low")</f>
        <v>Low</v>
      </c>
      <c r="V282" s="28">
        <f t="shared" si="8"/>
        <v>18.3</v>
      </c>
      <c r="W282" s="29">
        <f t="shared" si="9"/>
        <v>405</v>
      </c>
    </row>
    <row r="283" spans="1:23" x14ac:dyDescent="0.3">
      <c r="A283" s="1" t="s">
        <v>914</v>
      </c>
      <c r="B283" s="1" t="s">
        <v>915</v>
      </c>
      <c r="C283" s="1" t="s">
        <v>46</v>
      </c>
      <c r="D283" s="1" t="s">
        <v>141</v>
      </c>
      <c r="E283" s="1">
        <v>2003</v>
      </c>
      <c r="F283" s="1" t="s">
        <v>95</v>
      </c>
      <c r="G283" s="1" t="s">
        <v>916</v>
      </c>
      <c r="H283" s="1">
        <v>53</v>
      </c>
      <c r="I283" s="1" t="s">
        <v>50</v>
      </c>
      <c r="J283" s="1">
        <v>8.6</v>
      </c>
      <c r="K283" s="1">
        <v>373.3</v>
      </c>
      <c r="L283" s="1" t="s">
        <v>171</v>
      </c>
      <c r="M283" s="1" t="s">
        <v>124</v>
      </c>
      <c r="N283" s="1" t="s">
        <v>119</v>
      </c>
      <c r="O283" s="1">
        <v>3</v>
      </c>
      <c r="P283" s="1">
        <v>22</v>
      </c>
      <c r="Q283" s="1">
        <v>124.8</v>
      </c>
      <c r="R283" s="8" t="str">
        <f>_xlfn.IFS(J283&gt;=8,"Hit",J283&gt;=6,"Average",J283&lt;6,"Flop")</f>
        <v>Hit</v>
      </c>
      <c r="S283" s="9" t="str">
        <f>_xlfn.IFS(K283&gt;=400,"Blockbuster",K283&gt;=200,"Popular",K283&lt;200,"Normal")</f>
        <v>Popular</v>
      </c>
      <c r="T283" s="10" t="str">
        <f>IF(OR(I283="PG",I283="G"),"Yes","No")</f>
        <v>Yes</v>
      </c>
      <c r="U283" s="11" t="str">
        <f>IF(P283&gt;=100,"High","Low")</f>
        <v>Low</v>
      </c>
      <c r="V283" s="28">
        <f t="shared" si="8"/>
        <v>102.8</v>
      </c>
      <c r="W283" s="29">
        <f t="shared" si="9"/>
        <v>567.27272727272725</v>
      </c>
    </row>
    <row r="284" spans="1:23" x14ac:dyDescent="0.3">
      <c r="A284" s="1" t="s">
        <v>917</v>
      </c>
      <c r="B284" s="1" t="s">
        <v>918</v>
      </c>
      <c r="C284" s="1" t="s">
        <v>46</v>
      </c>
      <c r="D284" s="1" t="s">
        <v>28</v>
      </c>
      <c r="E284" s="1">
        <v>2006</v>
      </c>
      <c r="F284" s="1" t="s">
        <v>48</v>
      </c>
      <c r="G284" s="1" t="s">
        <v>919</v>
      </c>
      <c r="H284" s="1">
        <v>45</v>
      </c>
      <c r="I284" s="1" t="s">
        <v>22</v>
      </c>
      <c r="J284" s="1">
        <v>8.6999999999999993</v>
      </c>
      <c r="K284" s="1">
        <v>377.4</v>
      </c>
      <c r="L284" s="1" t="s">
        <v>23</v>
      </c>
      <c r="M284" s="1" t="s">
        <v>42</v>
      </c>
      <c r="N284" s="1" t="s">
        <v>158</v>
      </c>
      <c r="O284" s="1">
        <v>1</v>
      </c>
      <c r="P284" s="1">
        <v>111</v>
      </c>
      <c r="Q284" s="1">
        <v>139.1</v>
      </c>
      <c r="R284" s="8" t="str">
        <f>_xlfn.IFS(J284&gt;=8,"Hit",J284&gt;=6,"Average",J284&lt;6,"Flop")</f>
        <v>Hit</v>
      </c>
      <c r="S284" s="9" t="str">
        <f>_xlfn.IFS(K284&gt;=400,"Blockbuster",K284&gt;=200,"Popular",K284&lt;200,"Normal")</f>
        <v>Popular</v>
      </c>
      <c r="T284" s="10" t="str">
        <f>IF(OR(I284="PG",I284="G"),"Yes","No")</f>
        <v>No</v>
      </c>
      <c r="U284" s="11" t="str">
        <f>IF(P284&gt;=100,"High","Low")</f>
        <v>High</v>
      </c>
      <c r="V284" s="28">
        <f t="shared" si="8"/>
        <v>28.099999999999994</v>
      </c>
      <c r="W284" s="29">
        <f t="shared" si="9"/>
        <v>125.3153153153153</v>
      </c>
    </row>
    <row r="285" spans="1:23" x14ac:dyDescent="0.3">
      <c r="A285" s="1" t="s">
        <v>920</v>
      </c>
      <c r="B285" s="1" t="s">
        <v>921</v>
      </c>
      <c r="C285" s="1" t="s">
        <v>46</v>
      </c>
      <c r="D285" s="1" t="s">
        <v>63</v>
      </c>
      <c r="E285" s="1">
        <v>2003</v>
      </c>
      <c r="F285" s="1" t="s">
        <v>83</v>
      </c>
      <c r="G285" s="1" t="s">
        <v>922</v>
      </c>
      <c r="H285" s="1">
        <v>36</v>
      </c>
      <c r="I285" s="1" t="s">
        <v>50</v>
      </c>
      <c r="J285" s="1">
        <v>8.6999999999999993</v>
      </c>
      <c r="K285" s="1">
        <v>506.8</v>
      </c>
      <c r="L285" s="1" t="s">
        <v>32</v>
      </c>
      <c r="M285" s="1" t="s">
        <v>72</v>
      </c>
      <c r="N285" s="1" t="s">
        <v>67</v>
      </c>
      <c r="O285" s="1">
        <v>3</v>
      </c>
      <c r="P285" s="1">
        <v>92</v>
      </c>
      <c r="Q285" s="1">
        <v>135.6</v>
      </c>
      <c r="R285" s="8" t="str">
        <f>_xlfn.IFS(J285&gt;=8,"Hit",J285&gt;=6,"Average",J285&lt;6,"Flop")</f>
        <v>Hit</v>
      </c>
      <c r="S285" s="9" t="str">
        <f>_xlfn.IFS(K285&gt;=400,"Blockbuster",K285&gt;=200,"Popular",K285&lt;200,"Normal")</f>
        <v>Blockbuster</v>
      </c>
      <c r="T285" s="10" t="str">
        <f>IF(OR(I285="PG",I285="G"),"Yes","No")</f>
        <v>Yes</v>
      </c>
      <c r="U285" s="11" t="str">
        <f>IF(P285&gt;=100,"High","Low")</f>
        <v>Low</v>
      </c>
      <c r="V285" s="28">
        <f t="shared" si="8"/>
        <v>43.599999999999994</v>
      </c>
      <c r="W285" s="29">
        <f t="shared" si="9"/>
        <v>147.39130434782609</v>
      </c>
    </row>
    <row r="286" spans="1:23" x14ac:dyDescent="0.3">
      <c r="A286" s="1" t="s">
        <v>923</v>
      </c>
      <c r="B286" s="1" t="s">
        <v>924</v>
      </c>
      <c r="C286" s="1" t="s">
        <v>46</v>
      </c>
      <c r="D286" s="1" t="s">
        <v>63</v>
      </c>
      <c r="E286" s="1">
        <v>2016</v>
      </c>
      <c r="F286" s="1" t="s">
        <v>83</v>
      </c>
      <c r="G286" s="1" t="s">
        <v>369</v>
      </c>
      <c r="H286" s="1">
        <v>40</v>
      </c>
      <c r="I286" s="1" t="s">
        <v>22</v>
      </c>
      <c r="J286" s="1">
        <v>4.9000000000000004</v>
      </c>
      <c r="K286" s="1">
        <v>558.20000000000005</v>
      </c>
      <c r="L286" s="1" t="s">
        <v>32</v>
      </c>
      <c r="M286" s="1" t="s">
        <v>24</v>
      </c>
      <c r="N286" s="1" t="s">
        <v>153</v>
      </c>
      <c r="O286" s="1">
        <v>5</v>
      </c>
      <c r="P286" s="1">
        <v>138</v>
      </c>
      <c r="Q286" s="1">
        <v>385</v>
      </c>
      <c r="R286" s="8" t="str">
        <f>_xlfn.IFS(J286&gt;=8,"Hit",J286&gt;=6,"Average",J286&lt;6,"Flop")</f>
        <v>Flop</v>
      </c>
      <c r="S286" s="9" t="str">
        <f>_xlfn.IFS(K286&gt;=400,"Blockbuster",K286&gt;=200,"Popular",K286&lt;200,"Normal")</f>
        <v>Blockbuster</v>
      </c>
      <c r="T286" s="10" t="str">
        <f>IF(OR(I286="PG",I286="G"),"Yes","No")</f>
        <v>No</v>
      </c>
      <c r="U286" s="11" t="str">
        <f>IF(P286&gt;=100,"High","Low")</f>
        <v>High</v>
      </c>
      <c r="V286" s="28">
        <f t="shared" si="8"/>
        <v>247</v>
      </c>
      <c r="W286" s="29">
        <f t="shared" si="9"/>
        <v>278.98550724637681</v>
      </c>
    </row>
    <row r="287" spans="1:23" x14ac:dyDescent="0.3">
      <c r="A287" s="1" t="s">
        <v>925</v>
      </c>
      <c r="B287" s="1" t="s">
        <v>926</v>
      </c>
      <c r="C287" s="1" t="s">
        <v>18</v>
      </c>
      <c r="D287" s="1" t="s">
        <v>75</v>
      </c>
      <c r="E287" s="1">
        <v>2009</v>
      </c>
      <c r="F287" s="1" t="s">
        <v>38</v>
      </c>
      <c r="G287" s="1" t="s">
        <v>927</v>
      </c>
      <c r="H287" s="1">
        <v>95</v>
      </c>
      <c r="I287" s="1" t="s">
        <v>22</v>
      </c>
      <c r="J287" s="1">
        <v>7.1</v>
      </c>
      <c r="K287" s="1">
        <v>400.1</v>
      </c>
      <c r="L287" s="1" t="s">
        <v>90</v>
      </c>
      <c r="M287" s="1" t="s">
        <v>85</v>
      </c>
      <c r="N287" s="1" t="s">
        <v>102</v>
      </c>
      <c r="O287" s="1"/>
      <c r="P287" s="1">
        <v>96</v>
      </c>
      <c r="Q287" s="1">
        <v>438.2</v>
      </c>
      <c r="R287" s="8" t="str">
        <f>_xlfn.IFS(J287&gt;=8,"Hit",J287&gt;=6,"Average",J287&lt;6,"Flop")</f>
        <v>Average</v>
      </c>
      <c r="S287" s="9" t="str">
        <f>_xlfn.IFS(K287&gt;=400,"Blockbuster",K287&gt;=200,"Popular",K287&lt;200,"Normal")</f>
        <v>Blockbuster</v>
      </c>
      <c r="T287" s="10" t="str">
        <f>IF(OR(I287="PG",I287="G"),"Yes","No")</f>
        <v>No</v>
      </c>
      <c r="U287" s="11" t="str">
        <f>IF(P287&gt;=100,"High","Low")</f>
        <v>Low</v>
      </c>
      <c r="V287" s="28">
        <f t="shared" si="8"/>
        <v>342.2</v>
      </c>
      <c r="W287" s="29">
        <f t="shared" si="9"/>
        <v>456.45833333333331</v>
      </c>
    </row>
    <row r="288" spans="1:23" x14ac:dyDescent="0.3">
      <c r="A288" s="1" t="s">
        <v>928</v>
      </c>
      <c r="B288" s="1" t="s">
        <v>929</v>
      </c>
      <c r="C288" s="1" t="s">
        <v>46</v>
      </c>
      <c r="D288" s="1" t="s">
        <v>19</v>
      </c>
      <c r="E288" s="1">
        <v>2021</v>
      </c>
      <c r="F288" s="1" t="s">
        <v>122</v>
      </c>
      <c r="G288" s="1" t="s">
        <v>930</v>
      </c>
      <c r="H288" s="1">
        <v>55</v>
      </c>
      <c r="I288" s="1" t="s">
        <v>110</v>
      </c>
      <c r="J288" s="1">
        <v>4.7</v>
      </c>
      <c r="K288" s="1">
        <v>556.29999999999995</v>
      </c>
      <c r="L288" s="1" t="s">
        <v>65</v>
      </c>
      <c r="M288" s="1" t="s">
        <v>111</v>
      </c>
      <c r="N288" s="1" t="s">
        <v>34</v>
      </c>
      <c r="O288" s="1">
        <v>7</v>
      </c>
      <c r="P288" s="1">
        <v>73</v>
      </c>
      <c r="Q288" s="1">
        <v>375.3</v>
      </c>
      <c r="R288" s="8" t="str">
        <f>_xlfn.IFS(J288&gt;=8,"Hit",J288&gt;=6,"Average",J288&lt;6,"Flop")</f>
        <v>Flop</v>
      </c>
      <c r="S288" s="9" t="str">
        <f>_xlfn.IFS(K288&gt;=400,"Blockbuster",K288&gt;=200,"Popular",K288&lt;200,"Normal")</f>
        <v>Blockbuster</v>
      </c>
      <c r="T288" s="10" t="str">
        <f>IF(OR(I288="PG",I288="G"),"Yes","No")</f>
        <v>No</v>
      </c>
      <c r="U288" s="11" t="str">
        <f>IF(P288&gt;=100,"High","Low")</f>
        <v>Low</v>
      </c>
      <c r="V288" s="28">
        <f t="shared" si="8"/>
        <v>302.3</v>
      </c>
      <c r="W288" s="29">
        <f t="shared" si="9"/>
        <v>514.10958904109589</v>
      </c>
    </row>
    <row r="289" spans="1:23" x14ac:dyDescent="0.3">
      <c r="A289" s="1" t="s">
        <v>931</v>
      </c>
      <c r="B289" s="1" t="s">
        <v>932</v>
      </c>
      <c r="C289" s="1" t="s">
        <v>46</v>
      </c>
      <c r="D289" s="1" t="s">
        <v>47</v>
      </c>
      <c r="E289" s="1">
        <v>2013</v>
      </c>
      <c r="F289" s="1" t="s">
        <v>48</v>
      </c>
      <c r="G289" s="1" t="s">
        <v>933</v>
      </c>
      <c r="H289" s="1">
        <v>46</v>
      </c>
      <c r="I289" s="1" t="s">
        <v>31</v>
      </c>
      <c r="J289" s="1">
        <v>5</v>
      </c>
      <c r="K289" s="1">
        <v>241.4</v>
      </c>
      <c r="L289" s="1" t="s">
        <v>71</v>
      </c>
      <c r="M289" s="1" t="s">
        <v>157</v>
      </c>
      <c r="N289" s="1" t="s">
        <v>102</v>
      </c>
      <c r="O289" s="1">
        <v>3</v>
      </c>
      <c r="P289" s="1">
        <v>58</v>
      </c>
      <c r="Q289" s="1">
        <v>265.5</v>
      </c>
      <c r="R289" s="8" t="str">
        <f>_xlfn.IFS(J289&gt;=8,"Hit",J289&gt;=6,"Average",J289&lt;6,"Flop")</f>
        <v>Flop</v>
      </c>
      <c r="S289" s="9" t="str">
        <f>_xlfn.IFS(K289&gt;=400,"Blockbuster",K289&gt;=200,"Popular",K289&lt;200,"Normal")</f>
        <v>Popular</v>
      </c>
      <c r="T289" s="10" t="str">
        <f>IF(OR(I289="PG",I289="G"),"Yes","No")</f>
        <v>No</v>
      </c>
      <c r="U289" s="11" t="str">
        <f>IF(P289&gt;=100,"High","Low")</f>
        <v>Low</v>
      </c>
      <c r="V289" s="28">
        <f t="shared" si="8"/>
        <v>207.5</v>
      </c>
      <c r="W289" s="29">
        <f t="shared" si="9"/>
        <v>457.75862068965517</v>
      </c>
    </row>
    <row r="290" spans="1:23" x14ac:dyDescent="0.3">
      <c r="A290" s="1" t="s">
        <v>934</v>
      </c>
      <c r="B290" s="1" t="s">
        <v>935</v>
      </c>
      <c r="C290" s="1" t="s">
        <v>18</v>
      </c>
      <c r="D290" s="1" t="s">
        <v>94</v>
      </c>
      <c r="E290" s="1">
        <v>2009</v>
      </c>
      <c r="F290" s="1" t="s">
        <v>95</v>
      </c>
      <c r="G290" s="1" t="s">
        <v>936</v>
      </c>
      <c r="H290" s="1">
        <v>103</v>
      </c>
      <c r="I290" s="1" t="s">
        <v>22</v>
      </c>
      <c r="J290" s="1">
        <v>6</v>
      </c>
      <c r="K290" s="1">
        <v>577.20000000000005</v>
      </c>
      <c r="L290" s="1" t="s">
        <v>41</v>
      </c>
      <c r="M290" s="1" t="s">
        <v>157</v>
      </c>
      <c r="N290" s="1" t="s">
        <v>119</v>
      </c>
      <c r="O290" s="1"/>
      <c r="P290" s="1">
        <v>189</v>
      </c>
      <c r="Q290" s="1">
        <v>467.9</v>
      </c>
      <c r="R290" s="8" t="str">
        <f>_xlfn.IFS(J290&gt;=8,"Hit",J290&gt;=6,"Average",J290&lt;6,"Flop")</f>
        <v>Average</v>
      </c>
      <c r="S290" s="9" t="str">
        <f>_xlfn.IFS(K290&gt;=400,"Blockbuster",K290&gt;=200,"Popular",K290&lt;200,"Normal")</f>
        <v>Blockbuster</v>
      </c>
      <c r="T290" s="10" t="str">
        <f>IF(OR(I290="PG",I290="G"),"Yes","No")</f>
        <v>No</v>
      </c>
      <c r="U290" s="11" t="str">
        <f>IF(P290&gt;=100,"High","Low")</f>
        <v>High</v>
      </c>
      <c r="V290" s="28">
        <f t="shared" si="8"/>
        <v>278.89999999999998</v>
      </c>
      <c r="W290" s="29">
        <f t="shared" si="9"/>
        <v>247.56613756613754</v>
      </c>
    </row>
    <row r="291" spans="1:23" x14ac:dyDescent="0.3">
      <c r="A291" s="1" t="s">
        <v>937</v>
      </c>
      <c r="B291" s="1" t="s">
        <v>938</v>
      </c>
      <c r="C291" s="1" t="s">
        <v>18</v>
      </c>
      <c r="D291" s="1" t="s">
        <v>58</v>
      </c>
      <c r="E291" s="1">
        <v>2011</v>
      </c>
      <c r="F291" s="1" t="s">
        <v>122</v>
      </c>
      <c r="G291" s="1" t="s">
        <v>939</v>
      </c>
      <c r="H291" s="1">
        <v>166</v>
      </c>
      <c r="I291" s="1" t="s">
        <v>40</v>
      </c>
      <c r="J291" s="1">
        <v>8.3000000000000007</v>
      </c>
      <c r="K291" s="1">
        <v>509.2</v>
      </c>
      <c r="L291" s="1" t="s">
        <v>32</v>
      </c>
      <c r="M291" s="1" t="s">
        <v>72</v>
      </c>
      <c r="N291" s="1" t="s">
        <v>102</v>
      </c>
      <c r="O291" s="1"/>
      <c r="P291" s="1">
        <v>112</v>
      </c>
      <c r="Q291" s="1">
        <v>274.10000000000002</v>
      </c>
      <c r="R291" s="8" t="str">
        <f>_xlfn.IFS(J291&gt;=8,"Hit",J291&gt;=6,"Average",J291&lt;6,"Flop")</f>
        <v>Hit</v>
      </c>
      <c r="S291" s="9" t="str">
        <f>_xlfn.IFS(K291&gt;=400,"Blockbuster",K291&gt;=200,"Popular",K291&lt;200,"Normal")</f>
        <v>Blockbuster</v>
      </c>
      <c r="T291" s="10" t="str">
        <f>IF(OR(I291="PG",I291="G"),"Yes","No")</f>
        <v>Yes</v>
      </c>
      <c r="U291" s="11" t="str">
        <f>IF(P291&gt;=100,"High","Low")</f>
        <v>High</v>
      </c>
      <c r="V291" s="28">
        <f t="shared" si="8"/>
        <v>162.10000000000002</v>
      </c>
      <c r="W291" s="29">
        <f t="shared" si="9"/>
        <v>244.73214285714286</v>
      </c>
    </row>
    <row r="292" spans="1:23" x14ac:dyDescent="0.3">
      <c r="A292" s="1" t="s">
        <v>940</v>
      </c>
      <c r="B292" s="1" t="s">
        <v>941</v>
      </c>
      <c r="C292" s="1" t="s">
        <v>46</v>
      </c>
      <c r="D292" s="1" t="s">
        <v>58</v>
      </c>
      <c r="E292" s="1">
        <v>2019</v>
      </c>
      <c r="F292" s="1" t="s">
        <v>29</v>
      </c>
      <c r="G292" s="1" t="s">
        <v>942</v>
      </c>
      <c r="H292" s="1">
        <v>46</v>
      </c>
      <c r="I292" s="1" t="s">
        <v>31</v>
      </c>
      <c r="J292" s="1">
        <v>8.9</v>
      </c>
      <c r="K292" s="1">
        <v>52</v>
      </c>
      <c r="L292" s="1" t="s">
        <v>71</v>
      </c>
      <c r="M292" s="1" t="s">
        <v>132</v>
      </c>
      <c r="N292" s="1" t="s">
        <v>86</v>
      </c>
      <c r="O292" s="1">
        <v>3</v>
      </c>
      <c r="P292" s="1">
        <v>128</v>
      </c>
      <c r="Q292" s="1">
        <v>332.4</v>
      </c>
      <c r="R292" s="8" t="str">
        <f>_xlfn.IFS(J292&gt;=8,"Hit",J292&gt;=6,"Average",J292&lt;6,"Flop")</f>
        <v>Hit</v>
      </c>
      <c r="S292" s="9" t="str">
        <f>_xlfn.IFS(K292&gt;=400,"Blockbuster",K292&gt;=200,"Popular",K292&lt;200,"Normal")</f>
        <v>Normal</v>
      </c>
      <c r="T292" s="10" t="str">
        <f>IF(OR(I292="PG",I292="G"),"Yes","No")</f>
        <v>No</v>
      </c>
      <c r="U292" s="11" t="str">
        <f>IF(P292&gt;=100,"High","Low")</f>
        <v>High</v>
      </c>
      <c r="V292" s="28">
        <f t="shared" si="8"/>
        <v>204.39999999999998</v>
      </c>
      <c r="W292" s="29">
        <f t="shared" si="9"/>
        <v>259.6875</v>
      </c>
    </row>
    <row r="293" spans="1:23" x14ac:dyDescent="0.3">
      <c r="A293" s="1" t="s">
        <v>943</v>
      </c>
      <c r="B293" s="1" t="s">
        <v>944</v>
      </c>
      <c r="C293" s="1" t="s">
        <v>46</v>
      </c>
      <c r="D293" s="1" t="s">
        <v>58</v>
      </c>
      <c r="E293" s="1">
        <v>2008</v>
      </c>
      <c r="F293" s="1" t="s">
        <v>181</v>
      </c>
      <c r="G293" s="1" t="s">
        <v>945</v>
      </c>
      <c r="H293" s="1">
        <v>58</v>
      </c>
      <c r="I293" s="1" t="s">
        <v>50</v>
      </c>
      <c r="J293" s="1">
        <v>6.4</v>
      </c>
      <c r="K293" s="1">
        <v>3.4</v>
      </c>
      <c r="L293" s="1" t="s">
        <v>41</v>
      </c>
      <c r="M293" s="1" t="s">
        <v>132</v>
      </c>
      <c r="N293" s="1" t="s">
        <v>102</v>
      </c>
      <c r="O293" s="1">
        <v>1</v>
      </c>
      <c r="P293" s="1">
        <v>111</v>
      </c>
      <c r="Q293" s="1">
        <v>491.8</v>
      </c>
      <c r="R293" s="8" t="str">
        <f>_xlfn.IFS(J293&gt;=8,"Hit",J293&gt;=6,"Average",J293&lt;6,"Flop")</f>
        <v>Average</v>
      </c>
      <c r="S293" s="9" t="str">
        <f>_xlfn.IFS(K293&gt;=400,"Blockbuster",K293&gt;=200,"Popular",K293&lt;200,"Normal")</f>
        <v>Normal</v>
      </c>
      <c r="T293" s="10" t="str">
        <f>IF(OR(I293="PG",I293="G"),"Yes","No")</f>
        <v>Yes</v>
      </c>
      <c r="U293" s="11" t="str">
        <f>IF(P293&gt;=100,"High","Low")</f>
        <v>High</v>
      </c>
      <c r="V293" s="28">
        <f t="shared" si="8"/>
        <v>380.8</v>
      </c>
      <c r="W293" s="29">
        <f t="shared" si="9"/>
        <v>443.06306306306311</v>
      </c>
    </row>
    <row r="294" spans="1:23" x14ac:dyDescent="0.3">
      <c r="A294" s="1" t="s">
        <v>946</v>
      </c>
      <c r="B294" s="1" t="s">
        <v>947</v>
      </c>
      <c r="C294" s="1" t="s">
        <v>46</v>
      </c>
      <c r="D294" s="1" t="s">
        <v>63</v>
      </c>
      <c r="E294" s="1">
        <v>2002</v>
      </c>
      <c r="F294" s="1" t="s">
        <v>29</v>
      </c>
      <c r="G294" s="1" t="s">
        <v>948</v>
      </c>
      <c r="H294" s="1">
        <v>49</v>
      </c>
      <c r="I294" s="1" t="s">
        <v>22</v>
      </c>
      <c r="J294" s="1">
        <v>5.6</v>
      </c>
      <c r="K294" s="1">
        <v>212.1</v>
      </c>
      <c r="L294" s="1" t="s">
        <v>32</v>
      </c>
      <c r="M294" s="1" t="s">
        <v>54</v>
      </c>
      <c r="N294" s="1" t="s">
        <v>34</v>
      </c>
      <c r="O294" s="1">
        <v>6</v>
      </c>
      <c r="P294" s="1">
        <v>34</v>
      </c>
      <c r="Q294" s="1">
        <v>158</v>
      </c>
      <c r="R294" s="8" t="str">
        <f>_xlfn.IFS(J294&gt;=8,"Hit",J294&gt;=6,"Average",J294&lt;6,"Flop")</f>
        <v>Flop</v>
      </c>
      <c r="S294" s="9" t="str">
        <f>_xlfn.IFS(K294&gt;=400,"Blockbuster",K294&gt;=200,"Popular",K294&lt;200,"Normal")</f>
        <v>Popular</v>
      </c>
      <c r="T294" s="10" t="str">
        <f>IF(OR(I294="PG",I294="G"),"Yes","No")</f>
        <v>No</v>
      </c>
      <c r="U294" s="11" t="str">
        <f>IF(P294&gt;=100,"High","Low")</f>
        <v>Low</v>
      </c>
      <c r="V294" s="28">
        <f t="shared" si="8"/>
        <v>124</v>
      </c>
      <c r="W294" s="29">
        <f t="shared" si="9"/>
        <v>464.70588235294122</v>
      </c>
    </row>
    <row r="295" spans="1:23" x14ac:dyDescent="0.3">
      <c r="A295" s="1" t="s">
        <v>949</v>
      </c>
      <c r="B295" s="1" t="s">
        <v>950</v>
      </c>
      <c r="C295" s="1" t="s">
        <v>18</v>
      </c>
      <c r="D295" s="1" t="s">
        <v>37</v>
      </c>
      <c r="E295" s="1">
        <v>2024</v>
      </c>
      <c r="F295" s="1" t="s">
        <v>100</v>
      </c>
      <c r="G295" s="1" t="s">
        <v>951</v>
      </c>
      <c r="H295" s="1">
        <v>170</v>
      </c>
      <c r="I295" s="1" t="s">
        <v>40</v>
      </c>
      <c r="J295" s="1">
        <v>6.3</v>
      </c>
      <c r="K295" s="1">
        <v>487.3</v>
      </c>
      <c r="L295" s="1" t="s">
        <v>65</v>
      </c>
      <c r="M295" s="1" t="s">
        <v>54</v>
      </c>
      <c r="N295" s="1" t="s">
        <v>79</v>
      </c>
      <c r="O295" s="1"/>
      <c r="P295" s="1">
        <v>165</v>
      </c>
      <c r="Q295" s="1">
        <v>410.4</v>
      </c>
      <c r="R295" s="8" t="str">
        <f>_xlfn.IFS(J295&gt;=8,"Hit",J295&gt;=6,"Average",J295&lt;6,"Flop")</f>
        <v>Average</v>
      </c>
      <c r="S295" s="9" t="str">
        <f>_xlfn.IFS(K295&gt;=400,"Blockbuster",K295&gt;=200,"Popular",K295&lt;200,"Normal")</f>
        <v>Blockbuster</v>
      </c>
      <c r="T295" s="10" t="str">
        <f>IF(OR(I295="PG",I295="G"),"Yes","No")</f>
        <v>Yes</v>
      </c>
      <c r="U295" s="11" t="str">
        <f>IF(P295&gt;=100,"High","Low")</f>
        <v>High</v>
      </c>
      <c r="V295" s="28">
        <f t="shared" si="8"/>
        <v>245.39999999999998</v>
      </c>
      <c r="W295" s="29">
        <f t="shared" si="9"/>
        <v>248.72727272727272</v>
      </c>
    </row>
    <row r="296" spans="1:23" x14ac:dyDescent="0.3">
      <c r="A296" s="1" t="s">
        <v>952</v>
      </c>
      <c r="B296" s="1" t="s">
        <v>953</v>
      </c>
      <c r="C296" s="1" t="s">
        <v>46</v>
      </c>
      <c r="D296" s="1" t="s">
        <v>82</v>
      </c>
      <c r="E296" s="1">
        <v>2012</v>
      </c>
      <c r="F296" s="1" t="s">
        <v>29</v>
      </c>
      <c r="G296" s="1" t="s">
        <v>954</v>
      </c>
      <c r="H296" s="1">
        <v>58</v>
      </c>
      <c r="I296" s="1" t="s">
        <v>31</v>
      </c>
      <c r="J296" s="1">
        <v>6.3</v>
      </c>
      <c r="K296" s="1">
        <v>299</v>
      </c>
      <c r="L296" s="1" t="s">
        <v>23</v>
      </c>
      <c r="M296" s="1" t="s">
        <v>72</v>
      </c>
      <c r="N296" s="1" t="s">
        <v>55</v>
      </c>
      <c r="O296" s="1">
        <v>5</v>
      </c>
      <c r="P296" s="1">
        <v>58</v>
      </c>
      <c r="Q296" s="1">
        <v>374</v>
      </c>
      <c r="R296" s="8" t="str">
        <f>_xlfn.IFS(J296&gt;=8,"Hit",J296&gt;=6,"Average",J296&lt;6,"Flop")</f>
        <v>Average</v>
      </c>
      <c r="S296" s="9" t="str">
        <f>_xlfn.IFS(K296&gt;=400,"Blockbuster",K296&gt;=200,"Popular",K296&lt;200,"Normal")</f>
        <v>Popular</v>
      </c>
      <c r="T296" s="10" t="str">
        <f>IF(OR(I296="PG",I296="G"),"Yes","No")</f>
        <v>No</v>
      </c>
      <c r="U296" s="11" t="str">
        <f>IF(P296&gt;=100,"High","Low")</f>
        <v>Low</v>
      </c>
      <c r="V296" s="28">
        <f t="shared" si="8"/>
        <v>316</v>
      </c>
      <c r="W296" s="29">
        <f t="shared" si="9"/>
        <v>644.82758620689651</v>
      </c>
    </row>
    <row r="297" spans="1:23" x14ac:dyDescent="0.3">
      <c r="A297" s="1" t="s">
        <v>955</v>
      </c>
      <c r="B297" s="1" t="s">
        <v>956</v>
      </c>
      <c r="C297" s="1" t="s">
        <v>18</v>
      </c>
      <c r="D297" s="1" t="s">
        <v>75</v>
      </c>
      <c r="E297" s="1">
        <v>2021</v>
      </c>
      <c r="F297" s="1" t="s">
        <v>38</v>
      </c>
      <c r="G297" s="1" t="s">
        <v>957</v>
      </c>
      <c r="H297" s="1">
        <v>134</v>
      </c>
      <c r="I297" s="1" t="s">
        <v>31</v>
      </c>
      <c r="J297" s="1">
        <v>8.6999999999999993</v>
      </c>
      <c r="K297" s="1">
        <v>20.6</v>
      </c>
      <c r="L297" s="1" t="s">
        <v>32</v>
      </c>
      <c r="M297" s="1" t="s">
        <v>157</v>
      </c>
      <c r="N297" s="1" t="s">
        <v>86</v>
      </c>
      <c r="O297" s="1"/>
      <c r="P297" s="1">
        <v>89</v>
      </c>
      <c r="Q297" s="1">
        <v>280.60000000000002</v>
      </c>
      <c r="R297" s="8" t="str">
        <f>_xlfn.IFS(J297&gt;=8,"Hit",J297&gt;=6,"Average",J297&lt;6,"Flop")</f>
        <v>Hit</v>
      </c>
      <c r="S297" s="9" t="str">
        <f>_xlfn.IFS(K297&gt;=400,"Blockbuster",K297&gt;=200,"Popular",K297&lt;200,"Normal")</f>
        <v>Normal</v>
      </c>
      <c r="T297" s="10" t="str">
        <f>IF(OR(I297="PG",I297="G"),"Yes","No")</f>
        <v>No</v>
      </c>
      <c r="U297" s="11" t="str">
        <f>IF(P297&gt;=100,"High","Low")</f>
        <v>Low</v>
      </c>
      <c r="V297" s="28">
        <f t="shared" si="8"/>
        <v>191.60000000000002</v>
      </c>
      <c r="W297" s="29">
        <f t="shared" si="9"/>
        <v>315.28089887640454</v>
      </c>
    </row>
    <row r="298" spans="1:23" x14ac:dyDescent="0.3">
      <c r="A298" s="1" t="s">
        <v>958</v>
      </c>
      <c r="B298" s="1" t="s">
        <v>959</v>
      </c>
      <c r="C298" s="1" t="s">
        <v>46</v>
      </c>
      <c r="D298" s="1" t="s">
        <v>75</v>
      </c>
      <c r="E298" s="1">
        <v>2009</v>
      </c>
      <c r="F298" s="1" t="s">
        <v>76</v>
      </c>
      <c r="G298" s="1" t="s">
        <v>960</v>
      </c>
      <c r="H298" s="1">
        <v>52</v>
      </c>
      <c r="I298" s="1" t="s">
        <v>22</v>
      </c>
      <c r="J298" s="1">
        <v>9</v>
      </c>
      <c r="K298" s="1">
        <v>361</v>
      </c>
      <c r="L298" s="1" t="s">
        <v>41</v>
      </c>
      <c r="M298" s="1" t="s">
        <v>72</v>
      </c>
      <c r="N298" s="1" t="s">
        <v>34</v>
      </c>
      <c r="O298" s="1">
        <v>2</v>
      </c>
      <c r="P298" s="1">
        <v>10</v>
      </c>
      <c r="Q298" s="1">
        <v>50.6</v>
      </c>
      <c r="R298" s="8" t="str">
        <f>_xlfn.IFS(J298&gt;=8,"Hit",J298&gt;=6,"Average",J298&lt;6,"Flop")</f>
        <v>Hit</v>
      </c>
      <c r="S298" s="9" t="str">
        <f>_xlfn.IFS(K298&gt;=400,"Blockbuster",K298&gt;=200,"Popular",K298&lt;200,"Normal")</f>
        <v>Popular</v>
      </c>
      <c r="T298" s="10" t="str">
        <f>IF(OR(I298="PG",I298="G"),"Yes","No")</f>
        <v>No</v>
      </c>
      <c r="U298" s="11" t="str">
        <f>IF(P298&gt;=100,"High","Low")</f>
        <v>Low</v>
      </c>
      <c r="V298" s="28">
        <f t="shared" si="8"/>
        <v>40.6</v>
      </c>
      <c r="W298" s="29">
        <f t="shared" si="9"/>
        <v>506.00000000000006</v>
      </c>
    </row>
    <row r="299" spans="1:23" x14ac:dyDescent="0.3">
      <c r="A299" s="1" t="s">
        <v>961</v>
      </c>
      <c r="B299" s="1" t="s">
        <v>962</v>
      </c>
      <c r="C299" s="1" t="s">
        <v>46</v>
      </c>
      <c r="D299" s="1" t="s">
        <v>82</v>
      </c>
      <c r="E299" s="1">
        <v>2019</v>
      </c>
      <c r="F299" s="1" t="s">
        <v>83</v>
      </c>
      <c r="G299" s="1" t="s">
        <v>963</v>
      </c>
      <c r="H299" s="1">
        <v>30</v>
      </c>
      <c r="I299" s="1" t="s">
        <v>22</v>
      </c>
      <c r="J299" s="1">
        <v>8</v>
      </c>
      <c r="K299" s="1">
        <v>291.89999999999998</v>
      </c>
      <c r="L299" s="1" t="s">
        <v>41</v>
      </c>
      <c r="M299" s="1" t="s">
        <v>33</v>
      </c>
      <c r="N299" s="1" t="s">
        <v>43</v>
      </c>
      <c r="O299" s="1">
        <v>7</v>
      </c>
      <c r="P299" s="1">
        <v>175</v>
      </c>
      <c r="Q299" s="1">
        <v>1012.4</v>
      </c>
      <c r="R299" s="8" t="str">
        <f>_xlfn.IFS(J299&gt;=8,"Hit",J299&gt;=6,"Average",J299&lt;6,"Flop")</f>
        <v>Hit</v>
      </c>
      <c r="S299" s="9" t="str">
        <f>_xlfn.IFS(K299&gt;=400,"Blockbuster",K299&gt;=200,"Popular",K299&lt;200,"Normal")</f>
        <v>Popular</v>
      </c>
      <c r="T299" s="10" t="str">
        <f>IF(OR(I299="PG",I299="G"),"Yes","No")</f>
        <v>No</v>
      </c>
      <c r="U299" s="11" t="str">
        <f>IF(P299&gt;=100,"High","Low")</f>
        <v>High</v>
      </c>
      <c r="V299" s="28">
        <f t="shared" si="8"/>
        <v>837.4</v>
      </c>
      <c r="W299" s="29">
        <f t="shared" si="9"/>
        <v>578.51428571428562</v>
      </c>
    </row>
    <row r="300" spans="1:23" x14ac:dyDescent="0.3">
      <c r="A300" s="1" t="s">
        <v>964</v>
      </c>
      <c r="B300" s="1" t="s">
        <v>965</v>
      </c>
      <c r="C300" s="1" t="s">
        <v>18</v>
      </c>
      <c r="D300" s="1" t="s">
        <v>82</v>
      </c>
      <c r="E300" s="1">
        <v>2017</v>
      </c>
      <c r="F300" s="1" t="s">
        <v>83</v>
      </c>
      <c r="G300" s="1" t="s">
        <v>458</v>
      </c>
      <c r="H300" s="1">
        <v>115</v>
      </c>
      <c r="I300" s="1" t="s">
        <v>22</v>
      </c>
      <c r="J300" s="1">
        <v>4.9000000000000004</v>
      </c>
      <c r="K300" s="1">
        <v>27.7</v>
      </c>
      <c r="L300" s="1" t="s">
        <v>32</v>
      </c>
      <c r="M300" s="1" t="s">
        <v>124</v>
      </c>
      <c r="N300" s="1" t="s">
        <v>55</v>
      </c>
      <c r="O300" s="1"/>
      <c r="P300" s="1">
        <v>41</v>
      </c>
      <c r="Q300" s="1">
        <v>106.2</v>
      </c>
      <c r="R300" s="8" t="str">
        <f>_xlfn.IFS(J300&gt;=8,"Hit",J300&gt;=6,"Average",J300&lt;6,"Flop")</f>
        <v>Flop</v>
      </c>
      <c r="S300" s="9" t="str">
        <f>_xlfn.IFS(K300&gt;=400,"Blockbuster",K300&gt;=200,"Popular",K300&lt;200,"Normal")</f>
        <v>Normal</v>
      </c>
      <c r="T300" s="10" t="str">
        <f>IF(OR(I300="PG",I300="G"),"Yes","No")</f>
        <v>No</v>
      </c>
      <c r="U300" s="11" t="str">
        <f>IF(P300&gt;=100,"High","Low")</f>
        <v>Low</v>
      </c>
      <c r="V300" s="28">
        <f t="shared" si="8"/>
        <v>65.2</v>
      </c>
      <c r="W300" s="29">
        <f t="shared" si="9"/>
        <v>259.02439024390247</v>
      </c>
    </row>
    <row r="301" spans="1:23" x14ac:dyDescent="0.3">
      <c r="A301" s="1" t="s">
        <v>966</v>
      </c>
      <c r="B301" s="1" t="s">
        <v>967</v>
      </c>
      <c r="C301" s="1" t="s">
        <v>46</v>
      </c>
      <c r="D301" s="1" t="s">
        <v>19</v>
      </c>
      <c r="E301" s="1">
        <v>2016</v>
      </c>
      <c r="F301" s="1" t="s">
        <v>95</v>
      </c>
      <c r="G301" s="1" t="s">
        <v>968</v>
      </c>
      <c r="H301" s="1">
        <v>36</v>
      </c>
      <c r="I301" s="1" t="s">
        <v>40</v>
      </c>
      <c r="J301" s="1">
        <v>4.7</v>
      </c>
      <c r="K301" s="1">
        <v>414.3</v>
      </c>
      <c r="L301" s="1" t="s">
        <v>32</v>
      </c>
      <c r="M301" s="1" t="s">
        <v>24</v>
      </c>
      <c r="N301" s="1" t="s">
        <v>178</v>
      </c>
      <c r="O301" s="1">
        <v>6</v>
      </c>
      <c r="P301" s="1">
        <v>112</v>
      </c>
      <c r="Q301" s="1">
        <v>212.6</v>
      </c>
      <c r="R301" s="8" t="str">
        <f>_xlfn.IFS(J301&gt;=8,"Hit",J301&gt;=6,"Average",J301&lt;6,"Flop")</f>
        <v>Flop</v>
      </c>
      <c r="S301" s="9" t="str">
        <f>_xlfn.IFS(K301&gt;=400,"Blockbuster",K301&gt;=200,"Popular",K301&lt;200,"Normal")</f>
        <v>Blockbuster</v>
      </c>
      <c r="T301" s="10" t="str">
        <f>IF(OR(I301="PG",I301="G"),"Yes","No")</f>
        <v>Yes</v>
      </c>
      <c r="U301" s="11" t="str">
        <f>IF(P301&gt;=100,"High","Low")</f>
        <v>High</v>
      </c>
      <c r="V301" s="28">
        <f t="shared" si="8"/>
        <v>100.6</v>
      </c>
      <c r="W301" s="29">
        <f t="shared" si="9"/>
        <v>189.82142857142856</v>
      </c>
    </row>
    <row r="302" spans="1:23" x14ac:dyDescent="0.3">
      <c r="A302" s="1" t="s">
        <v>969</v>
      </c>
      <c r="B302" s="1" t="s">
        <v>970</v>
      </c>
      <c r="C302" s="1" t="s">
        <v>18</v>
      </c>
      <c r="D302" s="1" t="s">
        <v>117</v>
      </c>
      <c r="E302" s="1">
        <v>2014</v>
      </c>
      <c r="F302" s="1" t="s">
        <v>100</v>
      </c>
      <c r="G302" s="1" t="s">
        <v>414</v>
      </c>
      <c r="H302" s="1">
        <v>176</v>
      </c>
      <c r="I302" s="1" t="s">
        <v>31</v>
      </c>
      <c r="J302" s="1">
        <v>8.8000000000000007</v>
      </c>
      <c r="K302" s="1">
        <v>562.6</v>
      </c>
      <c r="L302" s="1" t="s">
        <v>65</v>
      </c>
      <c r="M302" s="1" t="s">
        <v>33</v>
      </c>
      <c r="N302" s="1" t="s">
        <v>25</v>
      </c>
      <c r="O302" s="1"/>
      <c r="P302" s="1">
        <v>167</v>
      </c>
      <c r="Q302" s="1">
        <v>1033.3</v>
      </c>
      <c r="R302" s="8" t="str">
        <f>_xlfn.IFS(J302&gt;=8,"Hit",J302&gt;=6,"Average",J302&lt;6,"Flop")</f>
        <v>Hit</v>
      </c>
      <c r="S302" s="9" t="str">
        <f>_xlfn.IFS(K302&gt;=400,"Blockbuster",K302&gt;=200,"Popular",K302&lt;200,"Normal")</f>
        <v>Blockbuster</v>
      </c>
      <c r="T302" s="10" t="str">
        <f>IF(OR(I302="PG",I302="G"),"Yes","No")</f>
        <v>No</v>
      </c>
      <c r="U302" s="11" t="str">
        <f>IF(P302&gt;=100,"High","Low")</f>
        <v>High</v>
      </c>
      <c r="V302" s="28">
        <f t="shared" si="8"/>
        <v>866.3</v>
      </c>
      <c r="W302" s="29">
        <f t="shared" si="9"/>
        <v>618.74251497005991</v>
      </c>
    </row>
    <row r="303" spans="1:23" x14ac:dyDescent="0.3">
      <c r="A303" s="1" t="s">
        <v>971</v>
      </c>
      <c r="B303" s="1" t="s">
        <v>972</v>
      </c>
      <c r="C303" s="1" t="s">
        <v>18</v>
      </c>
      <c r="D303" s="1" t="s">
        <v>63</v>
      </c>
      <c r="E303" s="1">
        <v>2014</v>
      </c>
      <c r="F303" s="1" t="s">
        <v>83</v>
      </c>
      <c r="G303" s="1" t="s">
        <v>973</v>
      </c>
      <c r="H303" s="1">
        <v>158</v>
      </c>
      <c r="I303" s="1" t="s">
        <v>110</v>
      </c>
      <c r="J303" s="1">
        <v>8.1</v>
      </c>
      <c r="K303" s="1">
        <v>8.6</v>
      </c>
      <c r="L303" s="1" t="s">
        <v>23</v>
      </c>
      <c r="M303" s="1" t="s">
        <v>66</v>
      </c>
      <c r="N303" s="1" t="s">
        <v>86</v>
      </c>
      <c r="O303" s="1"/>
      <c r="P303" s="1">
        <v>149</v>
      </c>
      <c r="Q303" s="1">
        <v>876.4</v>
      </c>
      <c r="R303" s="8" t="str">
        <f>_xlfn.IFS(J303&gt;=8,"Hit",J303&gt;=6,"Average",J303&lt;6,"Flop")</f>
        <v>Hit</v>
      </c>
      <c r="S303" s="9" t="str">
        <f>_xlfn.IFS(K303&gt;=400,"Blockbuster",K303&gt;=200,"Popular",K303&lt;200,"Normal")</f>
        <v>Normal</v>
      </c>
      <c r="T303" s="10" t="str">
        <f>IF(OR(I303="PG",I303="G"),"Yes","No")</f>
        <v>No</v>
      </c>
      <c r="U303" s="11" t="str">
        <f>IF(P303&gt;=100,"High","Low")</f>
        <v>High</v>
      </c>
      <c r="V303" s="28">
        <f t="shared" si="8"/>
        <v>727.4</v>
      </c>
      <c r="W303" s="29">
        <f t="shared" si="9"/>
        <v>588.18791946308716</v>
      </c>
    </row>
    <row r="304" spans="1:23" x14ac:dyDescent="0.3">
      <c r="A304" s="1" t="s">
        <v>974</v>
      </c>
      <c r="B304" s="1" t="s">
        <v>975</v>
      </c>
      <c r="C304" s="1" t="s">
        <v>46</v>
      </c>
      <c r="D304" s="1" t="s">
        <v>141</v>
      </c>
      <c r="E304" s="1">
        <v>2016</v>
      </c>
      <c r="F304" s="1" t="s">
        <v>38</v>
      </c>
      <c r="G304" s="1" t="s">
        <v>976</v>
      </c>
      <c r="H304" s="1">
        <v>49</v>
      </c>
      <c r="I304" s="1" t="s">
        <v>31</v>
      </c>
      <c r="J304" s="1">
        <v>6.5</v>
      </c>
      <c r="K304" s="1">
        <v>424.5</v>
      </c>
      <c r="L304" s="1" t="s">
        <v>90</v>
      </c>
      <c r="M304" s="1" t="s">
        <v>146</v>
      </c>
      <c r="N304" s="1" t="s">
        <v>55</v>
      </c>
      <c r="O304" s="1">
        <v>5</v>
      </c>
      <c r="P304" s="1">
        <v>19</v>
      </c>
      <c r="Q304" s="1">
        <v>26.3</v>
      </c>
      <c r="R304" s="8" t="str">
        <f>_xlfn.IFS(J304&gt;=8,"Hit",J304&gt;=6,"Average",J304&lt;6,"Flop")</f>
        <v>Average</v>
      </c>
      <c r="S304" s="9" t="str">
        <f>_xlfn.IFS(K304&gt;=400,"Blockbuster",K304&gt;=200,"Popular",K304&lt;200,"Normal")</f>
        <v>Blockbuster</v>
      </c>
      <c r="T304" s="10" t="str">
        <f>IF(OR(I304="PG",I304="G"),"Yes","No")</f>
        <v>No</v>
      </c>
      <c r="U304" s="11" t="str">
        <f>IF(P304&gt;=100,"High","Low")</f>
        <v>Low</v>
      </c>
      <c r="V304" s="28">
        <f t="shared" si="8"/>
        <v>7.3000000000000007</v>
      </c>
      <c r="W304" s="29">
        <f t="shared" si="9"/>
        <v>138.42105263157896</v>
      </c>
    </row>
    <row r="305" spans="1:23" x14ac:dyDescent="0.3">
      <c r="A305" s="1" t="s">
        <v>977</v>
      </c>
      <c r="B305" s="1" t="s">
        <v>978</v>
      </c>
      <c r="C305" s="1" t="s">
        <v>46</v>
      </c>
      <c r="D305" s="1" t="s">
        <v>58</v>
      </c>
      <c r="E305" s="1">
        <v>2021</v>
      </c>
      <c r="F305" s="1" t="s">
        <v>95</v>
      </c>
      <c r="G305" s="1" t="s">
        <v>979</v>
      </c>
      <c r="H305" s="1">
        <v>49</v>
      </c>
      <c r="I305" s="1" t="s">
        <v>31</v>
      </c>
      <c r="J305" s="1">
        <v>8.1</v>
      </c>
      <c r="K305" s="1">
        <v>285.89999999999998</v>
      </c>
      <c r="L305" s="1" t="s">
        <v>41</v>
      </c>
      <c r="M305" s="1" t="s">
        <v>42</v>
      </c>
      <c r="N305" s="1" t="s">
        <v>25</v>
      </c>
      <c r="O305" s="1">
        <v>3</v>
      </c>
      <c r="P305" s="1">
        <v>15</v>
      </c>
      <c r="Q305" s="1">
        <v>28</v>
      </c>
      <c r="R305" s="8" t="str">
        <f>_xlfn.IFS(J305&gt;=8,"Hit",J305&gt;=6,"Average",J305&lt;6,"Flop")</f>
        <v>Hit</v>
      </c>
      <c r="S305" s="9" t="str">
        <f>_xlfn.IFS(K305&gt;=400,"Blockbuster",K305&gt;=200,"Popular",K305&lt;200,"Normal")</f>
        <v>Popular</v>
      </c>
      <c r="T305" s="10" t="str">
        <f>IF(OR(I305="PG",I305="G"),"Yes","No")</f>
        <v>No</v>
      </c>
      <c r="U305" s="11" t="str">
        <f>IF(P305&gt;=100,"High","Low")</f>
        <v>Low</v>
      </c>
      <c r="V305" s="28">
        <f t="shared" si="8"/>
        <v>13</v>
      </c>
      <c r="W305" s="29">
        <f t="shared" si="9"/>
        <v>186.66666666666666</v>
      </c>
    </row>
    <row r="306" spans="1:23" x14ac:dyDescent="0.3">
      <c r="A306" s="1" t="s">
        <v>980</v>
      </c>
      <c r="B306" s="1" t="s">
        <v>981</v>
      </c>
      <c r="C306" s="1" t="s">
        <v>18</v>
      </c>
      <c r="D306" s="1" t="s">
        <v>117</v>
      </c>
      <c r="E306" s="1">
        <v>2011</v>
      </c>
      <c r="F306" s="1" t="s">
        <v>20</v>
      </c>
      <c r="G306" s="1" t="s">
        <v>982</v>
      </c>
      <c r="H306" s="1">
        <v>100</v>
      </c>
      <c r="I306" s="1" t="s">
        <v>110</v>
      </c>
      <c r="J306" s="1">
        <v>7.4</v>
      </c>
      <c r="K306" s="1">
        <v>175.6</v>
      </c>
      <c r="L306" s="1" t="s">
        <v>71</v>
      </c>
      <c r="M306" s="1" t="s">
        <v>85</v>
      </c>
      <c r="N306" s="1" t="s">
        <v>55</v>
      </c>
      <c r="O306" s="1"/>
      <c r="P306" s="1">
        <v>198</v>
      </c>
      <c r="Q306" s="1">
        <v>698.1</v>
      </c>
      <c r="R306" s="8" t="str">
        <f>_xlfn.IFS(J306&gt;=8,"Hit",J306&gt;=6,"Average",J306&lt;6,"Flop")</f>
        <v>Average</v>
      </c>
      <c r="S306" s="9" t="str">
        <f>_xlfn.IFS(K306&gt;=400,"Blockbuster",K306&gt;=200,"Popular",K306&lt;200,"Normal")</f>
        <v>Normal</v>
      </c>
      <c r="T306" s="10" t="str">
        <f>IF(OR(I306="PG",I306="G"),"Yes","No")</f>
        <v>No</v>
      </c>
      <c r="U306" s="11" t="str">
        <f>IF(P306&gt;=100,"High","Low")</f>
        <v>High</v>
      </c>
      <c r="V306" s="28">
        <f t="shared" si="8"/>
        <v>500.1</v>
      </c>
      <c r="W306" s="29">
        <f t="shared" si="9"/>
        <v>352.57575757575756</v>
      </c>
    </row>
    <row r="307" spans="1:23" x14ac:dyDescent="0.3">
      <c r="A307" s="1" t="s">
        <v>983</v>
      </c>
      <c r="B307" s="1" t="s">
        <v>984</v>
      </c>
      <c r="C307" s="1" t="s">
        <v>18</v>
      </c>
      <c r="D307" s="1" t="s">
        <v>117</v>
      </c>
      <c r="E307" s="1">
        <v>2007</v>
      </c>
      <c r="F307" s="1" t="s">
        <v>76</v>
      </c>
      <c r="G307" s="1" t="s">
        <v>985</v>
      </c>
      <c r="H307" s="1">
        <v>144</v>
      </c>
      <c r="I307" s="1" t="s">
        <v>40</v>
      </c>
      <c r="J307" s="1">
        <v>6.3</v>
      </c>
      <c r="K307" s="1">
        <v>21.2</v>
      </c>
      <c r="L307" s="1" t="s">
        <v>71</v>
      </c>
      <c r="M307" s="1" t="s">
        <v>33</v>
      </c>
      <c r="N307" s="1" t="s">
        <v>79</v>
      </c>
      <c r="O307" s="1"/>
      <c r="P307" s="1">
        <v>21</v>
      </c>
      <c r="Q307" s="1">
        <v>90.1</v>
      </c>
      <c r="R307" s="8" t="str">
        <f>_xlfn.IFS(J307&gt;=8,"Hit",J307&gt;=6,"Average",J307&lt;6,"Flop")</f>
        <v>Average</v>
      </c>
      <c r="S307" s="9" t="str">
        <f>_xlfn.IFS(K307&gt;=400,"Blockbuster",K307&gt;=200,"Popular",K307&lt;200,"Normal")</f>
        <v>Normal</v>
      </c>
      <c r="T307" s="10" t="str">
        <f>IF(OR(I307="PG",I307="G"),"Yes","No")</f>
        <v>Yes</v>
      </c>
      <c r="U307" s="11" t="str">
        <f>IF(P307&gt;=100,"High","Low")</f>
        <v>Low</v>
      </c>
      <c r="V307" s="28">
        <f t="shared" si="8"/>
        <v>69.099999999999994</v>
      </c>
      <c r="W307" s="29">
        <f t="shared" si="9"/>
        <v>429.04761904761904</v>
      </c>
    </row>
    <row r="308" spans="1:23" x14ac:dyDescent="0.3">
      <c r="A308" s="1" t="s">
        <v>986</v>
      </c>
      <c r="B308" s="1" t="s">
        <v>987</v>
      </c>
      <c r="C308" s="1" t="s">
        <v>18</v>
      </c>
      <c r="D308" s="1" t="s">
        <v>58</v>
      </c>
      <c r="E308" s="1">
        <v>2004</v>
      </c>
      <c r="F308" s="1" t="s">
        <v>83</v>
      </c>
      <c r="G308" s="1" t="s">
        <v>988</v>
      </c>
      <c r="H308" s="1">
        <v>98</v>
      </c>
      <c r="I308" s="1" t="s">
        <v>50</v>
      </c>
      <c r="J308" s="1">
        <v>8.8000000000000007</v>
      </c>
      <c r="K308" s="1">
        <v>169.4</v>
      </c>
      <c r="L308" s="1" t="s">
        <v>171</v>
      </c>
      <c r="M308" s="1" t="s">
        <v>157</v>
      </c>
      <c r="N308" s="1" t="s">
        <v>79</v>
      </c>
      <c r="O308" s="1"/>
      <c r="P308" s="1">
        <v>123</v>
      </c>
      <c r="Q308" s="1">
        <v>650.9</v>
      </c>
      <c r="R308" s="8" t="str">
        <f>_xlfn.IFS(J308&gt;=8,"Hit",J308&gt;=6,"Average",J308&lt;6,"Flop")</f>
        <v>Hit</v>
      </c>
      <c r="S308" s="9" t="str">
        <f>_xlfn.IFS(K308&gt;=400,"Blockbuster",K308&gt;=200,"Popular",K308&lt;200,"Normal")</f>
        <v>Normal</v>
      </c>
      <c r="T308" s="10" t="str">
        <f>IF(OR(I308="PG",I308="G"),"Yes","No")</f>
        <v>Yes</v>
      </c>
      <c r="U308" s="11" t="str">
        <f>IF(P308&gt;=100,"High","Low")</f>
        <v>High</v>
      </c>
      <c r="V308" s="28">
        <f t="shared" si="8"/>
        <v>527.9</v>
      </c>
      <c r="W308" s="29">
        <f t="shared" si="9"/>
        <v>529.18699186991876</v>
      </c>
    </row>
    <row r="309" spans="1:23" x14ac:dyDescent="0.3">
      <c r="A309" s="1" t="s">
        <v>989</v>
      </c>
      <c r="B309" s="1" t="s">
        <v>990</v>
      </c>
      <c r="C309" s="1" t="s">
        <v>46</v>
      </c>
      <c r="D309" s="1" t="s">
        <v>28</v>
      </c>
      <c r="E309" s="1">
        <v>2008</v>
      </c>
      <c r="F309" s="1" t="s">
        <v>83</v>
      </c>
      <c r="G309" s="1" t="s">
        <v>991</v>
      </c>
      <c r="H309" s="1">
        <v>57</v>
      </c>
      <c r="I309" s="1" t="s">
        <v>40</v>
      </c>
      <c r="J309" s="1">
        <v>5.7</v>
      </c>
      <c r="K309" s="1">
        <v>157.4</v>
      </c>
      <c r="L309" s="1" t="s">
        <v>41</v>
      </c>
      <c r="M309" s="1" t="s">
        <v>97</v>
      </c>
      <c r="N309" s="1" t="s">
        <v>102</v>
      </c>
      <c r="O309" s="1">
        <v>5</v>
      </c>
      <c r="P309" s="1">
        <v>88</v>
      </c>
      <c r="Q309" s="1">
        <v>140.9</v>
      </c>
      <c r="R309" s="8" t="str">
        <f>_xlfn.IFS(J309&gt;=8,"Hit",J309&gt;=6,"Average",J309&lt;6,"Flop")</f>
        <v>Flop</v>
      </c>
      <c r="S309" s="9" t="str">
        <f>_xlfn.IFS(K309&gt;=400,"Blockbuster",K309&gt;=200,"Popular",K309&lt;200,"Normal")</f>
        <v>Normal</v>
      </c>
      <c r="T309" s="10" t="str">
        <f>IF(OR(I309="PG",I309="G"),"Yes","No")</f>
        <v>Yes</v>
      </c>
      <c r="U309" s="11" t="str">
        <f>IF(P309&gt;=100,"High","Low")</f>
        <v>Low</v>
      </c>
      <c r="V309" s="28">
        <f t="shared" si="8"/>
        <v>52.900000000000006</v>
      </c>
      <c r="W309" s="29">
        <f t="shared" si="9"/>
        <v>160.11363636363637</v>
      </c>
    </row>
    <row r="310" spans="1:23" x14ac:dyDescent="0.3">
      <c r="A310" s="1" t="s">
        <v>992</v>
      </c>
      <c r="B310" s="1" t="s">
        <v>993</v>
      </c>
      <c r="C310" s="1" t="s">
        <v>46</v>
      </c>
      <c r="D310" s="1" t="s">
        <v>75</v>
      </c>
      <c r="E310" s="1">
        <v>2023</v>
      </c>
      <c r="F310" s="1" t="s">
        <v>95</v>
      </c>
      <c r="G310" s="1" t="s">
        <v>994</v>
      </c>
      <c r="H310" s="1">
        <v>54</v>
      </c>
      <c r="I310" s="1" t="s">
        <v>50</v>
      </c>
      <c r="J310" s="1">
        <v>6.2</v>
      </c>
      <c r="K310" s="1">
        <v>117.8</v>
      </c>
      <c r="L310" s="1" t="s">
        <v>32</v>
      </c>
      <c r="M310" s="1" t="s">
        <v>66</v>
      </c>
      <c r="N310" s="1" t="s">
        <v>86</v>
      </c>
      <c r="O310" s="1">
        <v>5</v>
      </c>
      <c r="P310" s="1">
        <v>177</v>
      </c>
      <c r="Q310" s="1">
        <v>545.4</v>
      </c>
      <c r="R310" s="8" t="str">
        <f>_xlfn.IFS(J310&gt;=8,"Hit",J310&gt;=6,"Average",J310&lt;6,"Flop")</f>
        <v>Average</v>
      </c>
      <c r="S310" s="9" t="str">
        <f>_xlfn.IFS(K310&gt;=400,"Blockbuster",K310&gt;=200,"Popular",K310&lt;200,"Normal")</f>
        <v>Normal</v>
      </c>
      <c r="T310" s="10" t="str">
        <f>IF(OR(I310="PG",I310="G"),"Yes","No")</f>
        <v>Yes</v>
      </c>
      <c r="U310" s="11" t="str">
        <f>IF(P310&gt;=100,"High","Low")</f>
        <v>High</v>
      </c>
      <c r="V310" s="28">
        <f t="shared" si="8"/>
        <v>368.4</v>
      </c>
      <c r="W310" s="29">
        <f t="shared" si="9"/>
        <v>308.13559322033899</v>
      </c>
    </row>
    <row r="311" spans="1:23" x14ac:dyDescent="0.3">
      <c r="A311" s="1" t="s">
        <v>995</v>
      </c>
      <c r="B311" s="1" t="s">
        <v>996</v>
      </c>
      <c r="C311" s="1" t="s">
        <v>46</v>
      </c>
      <c r="D311" s="1" t="s">
        <v>141</v>
      </c>
      <c r="E311" s="1">
        <v>2000</v>
      </c>
      <c r="F311" s="1" t="s">
        <v>29</v>
      </c>
      <c r="G311" s="1" t="s">
        <v>997</v>
      </c>
      <c r="H311" s="1">
        <v>52</v>
      </c>
      <c r="I311" s="1" t="s">
        <v>110</v>
      </c>
      <c r="J311" s="1">
        <v>6.5</v>
      </c>
      <c r="K311" s="1">
        <v>114.1</v>
      </c>
      <c r="L311" s="1" t="s">
        <v>32</v>
      </c>
      <c r="M311" s="1" t="s">
        <v>33</v>
      </c>
      <c r="N311" s="1" t="s">
        <v>67</v>
      </c>
      <c r="O311" s="1">
        <v>5</v>
      </c>
      <c r="P311" s="1">
        <v>88</v>
      </c>
      <c r="Q311" s="1">
        <v>112.6</v>
      </c>
      <c r="R311" s="8" t="str">
        <f>_xlfn.IFS(J311&gt;=8,"Hit",J311&gt;=6,"Average",J311&lt;6,"Flop")</f>
        <v>Average</v>
      </c>
      <c r="S311" s="9" t="str">
        <f>_xlfn.IFS(K311&gt;=400,"Blockbuster",K311&gt;=200,"Popular",K311&lt;200,"Normal")</f>
        <v>Normal</v>
      </c>
      <c r="T311" s="10" t="str">
        <f>IF(OR(I311="PG",I311="G"),"Yes","No")</f>
        <v>No</v>
      </c>
      <c r="U311" s="11" t="str">
        <f>IF(P311&gt;=100,"High","Low")</f>
        <v>Low</v>
      </c>
      <c r="V311" s="28">
        <f t="shared" si="8"/>
        <v>24.599999999999994</v>
      </c>
      <c r="W311" s="29">
        <f t="shared" si="9"/>
        <v>127.95454545454545</v>
      </c>
    </row>
    <row r="312" spans="1:23" x14ac:dyDescent="0.3">
      <c r="A312" s="1" t="s">
        <v>998</v>
      </c>
      <c r="B312" s="1" t="s">
        <v>999</v>
      </c>
      <c r="C312" s="1" t="s">
        <v>46</v>
      </c>
      <c r="D312" s="1" t="s">
        <v>19</v>
      </c>
      <c r="E312" s="1">
        <v>2009</v>
      </c>
      <c r="F312" s="1" t="s">
        <v>181</v>
      </c>
      <c r="G312" s="1" t="s">
        <v>1000</v>
      </c>
      <c r="H312" s="1">
        <v>59</v>
      </c>
      <c r="I312" s="1" t="s">
        <v>50</v>
      </c>
      <c r="J312" s="1">
        <v>5</v>
      </c>
      <c r="K312" s="1">
        <v>344.5</v>
      </c>
      <c r="L312" s="1" t="s">
        <v>171</v>
      </c>
      <c r="M312" s="1" t="s">
        <v>146</v>
      </c>
      <c r="N312" s="1" t="s">
        <v>79</v>
      </c>
      <c r="O312" s="1">
        <v>7</v>
      </c>
      <c r="P312" s="1">
        <v>97</v>
      </c>
      <c r="Q312" s="1">
        <v>175.6</v>
      </c>
      <c r="R312" s="8" t="str">
        <f>_xlfn.IFS(J312&gt;=8,"Hit",J312&gt;=6,"Average",J312&lt;6,"Flop")</f>
        <v>Flop</v>
      </c>
      <c r="S312" s="9" t="str">
        <f>_xlfn.IFS(K312&gt;=400,"Blockbuster",K312&gt;=200,"Popular",K312&lt;200,"Normal")</f>
        <v>Popular</v>
      </c>
      <c r="T312" s="10" t="str">
        <f>IF(OR(I312="PG",I312="G"),"Yes","No")</f>
        <v>Yes</v>
      </c>
      <c r="U312" s="11" t="str">
        <f>IF(P312&gt;=100,"High","Low")</f>
        <v>Low</v>
      </c>
      <c r="V312" s="28">
        <f t="shared" si="8"/>
        <v>78.599999999999994</v>
      </c>
      <c r="W312" s="29">
        <f t="shared" si="9"/>
        <v>181.03092783505156</v>
      </c>
    </row>
    <row r="313" spans="1:23" x14ac:dyDescent="0.3">
      <c r="A313" s="1" t="s">
        <v>1001</v>
      </c>
      <c r="B313" s="1" t="s">
        <v>1002</v>
      </c>
      <c r="C313" s="1" t="s">
        <v>46</v>
      </c>
      <c r="D313" s="1" t="s">
        <v>94</v>
      </c>
      <c r="E313" s="1">
        <v>2021</v>
      </c>
      <c r="F313" s="1" t="s">
        <v>100</v>
      </c>
      <c r="G313" s="1" t="s">
        <v>1003</v>
      </c>
      <c r="H313" s="1">
        <v>50</v>
      </c>
      <c r="I313" s="1" t="s">
        <v>50</v>
      </c>
      <c r="J313" s="1">
        <v>7.8</v>
      </c>
      <c r="K313" s="1">
        <v>89.7</v>
      </c>
      <c r="L313" s="1" t="s">
        <v>171</v>
      </c>
      <c r="M313" s="1" t="s">
        <v>132</v>
      </c>
      <c r="N313" s="1" t="s">
        <v>178</v>
      </c>
      <c r="O313" s="1">
        <v>1</v>
      </c>
      <c r="P313" s="1">
        <v>53</v>
      </c>
      <c r="Q313" s="1">
        <v>70.7</v>
      </c>
      <c r="R313" s="8" t="str">
        <f>_xlfn.IFS(J313&gt;=8,"Hit",J313&gt;=6,"Average",J313&lt;6,"Flop")</f>
        <v>Average</v>
      </c>
      <c r="S313" s="9" t="str">
        <f>_xlfn.IFS(K313&gt;=400,"Blockbuster",K313&gt;=200,"Popular",K313&lt;200,"Normal")</f>
        <v>Normal</v>
      </c>
      <c r="T313" s="10" t="str">
        <f>IF(OR(I313="PG",I313="G"),"Yes","No")</f>
        <v>Yes</v>
      </c>
      <c r="U313" s="11" t="str">
        <f>IF(P313&gt;=100,"High","Low")</f>
        <v>Low</v>
      </c>
      <c r="V313" s="28">
        <f t="shared" si="8"/>
        <v>17.700000000000003</v>
      </c>
      <c r="W313" s="29">
        <f t="shared" si="9"/>
        <v>133.39622641509433</v>
      </c>
    </row>
    <row r="314" spans="1:23" x14ac:dyDescent="0.3">
      <c r="A314" s="1" t="s">
        <v>1004</v>
      </c>
      <c r="B314" s="1" t="s">
        <v>1005</v>
      </c>
      <c r="C314" s="1" t="s">
        <v>18</v>
      </c>
      <c r="D314" s="1" t="s">
        <v>58</v>
      </c>
      <c r="E314" s="1">
        <v>2004</v>
      </c>
      <c r="F314" s="1" t="s">
        <v>76</v>
      </c>
      <c r="G314" s="1" t="s">
        <v>1006</v>
      </c>
      <c r="H314" s="1">
        <v>126</v>
      </c>
      <c r="I314" s="1" t="s">
        <v>31</v>
      </c>
      <c r="J314" s="1">
        <v>6.9</v>
      </c>
      <c r="K314" s="1">
        <v>513.79999999999995</v>
      </c>
      <c r="L314" s="1" t="s">
        <v>32</v>
      </c>
      <c r="M314" s="1" t="s">
        <v>72</v>
      </c>
      <c r="N314" s="1" t="s">
        <v>153</v>
      </c>
      <c r="O314" s="1"/>
      <c r="P314" s="1">
        <v>167</v>
      </c>
      <c r="Q314" s="1">
        <v>482.8</v>
      </c>
      <c r="R314" s="8" t="str">
        <f>_xlfn.IFS(J314&gt;=8,"Hit",J314&gt;=6,"Average",J314&lt;6,"Flop")</f>
        <v>Average</v>
      </c>
      <c r="S314" s="9" t="str">
        <f>_xlfn.IFS(K314&gt;=400,"Blockbuster",K314&gt;=200,"Popular",K314&lt;200,"Normal")</f>
        <v>Blockbuster</v>
      </c>
      <c r="T314" s="10" t="str">
        <f>IF(OR(I314="PG",I314="G"),"Yes","No")</f>
        <v>No</v>
      </c>
      <c r="U314" s="11" t="str">
        <f>IF(P314&gt;=100,"High","Low")</f>
        <v>High</v>
      </c>
      <c r="V314" s="28">
        <f t="shared" si="8"/>
        <v>315.8</v>
      </c>
      <c r="W314" s="29">
        <f t="shared" si="9"/>
        <v>289.10179640718565</v>
      </c>
    </row>
    <row r="315" spans="1:23" x14ac:dyDescent="0.3">
      <c r="A315" s="1" t="s">
        <v>1007</v>
      </c>
      <c r="B315" s="1" t="s">
        <v>1008</v>
      </c>
      <c r="C315" s="1" t="s">
        <v>46</v>
      </c>
      <c r="D315" s="1" t="s">
        <v>28</v>
      </c>
      <c r="E315" s="1">
        <v>2013</v>
      </c>
      <c r="F315" s="1" t="s">
        <v>181</v>
      </c>
      <c r="G315" s="1" t="s">
        <v>1009</v>
      </c>
      <c r="H315" s="1">
        <v>56</v>
      </c>
      <c r="I315" s="1" t="s">
        <v>31</v>
      </c>
      <c r="J315" s="1">
        <v>8.3000000000000007</v>
      </c>
      <c r="K315" s="1">
        <v>68.599999999999994</v>
      </c>
      <c r="L315" s="1" t="s">
        <v>32</v>
      </c>
      <c r="M315" s="1" t="s">
        <v>78</v>
      </c>
      <c r="N315" s="1" t="s">
        <v>25</v>
      </c>
      <c r="O315" s="1">
        <v>6</v>
      </c>
      <c r="P315" s="1">
        <v>83</v>
      </c>
      <c r="Q315" s="1">
        <v>452.8</v>
      </c>
      <c r="R315" s="8" t="str">
        <f>_xlfn.IFS(J315&gt;=8,"Hit",J315&gt;=6,"Average",J315&lt;6,"Flop")</f>
        <v>Hit</v>
      </c>
      <c r="S315" s="9" t="str">
        <f>_xlfn.IFS(K315&gt;=400,"Blockbuster",K315&gt;=200,"Popular",K315&lt;200,"Normal")</f>
        <v>Normal</v>
      </c>
      <c r="T315" s="10" t="str">
        <f>IF(OR(I315="PG",I315="G"),"Yes","No")</f>
        <v>No</v>
      </c>
      <c r="U315" s="11" t="str">
        <f>IF(P315&gt;=100,"High","Low")</f>
        <v>Low</v>
      </c>
      <c r="V315" s="28">
        <f t="shared" si="8"/>
        <v>369.8</v>
      </c>
      <c r="W315" s="29">
        <f t="shared" si="9"/>
        <v>545.54216867469881</v>
      </c>
    </row>
    <row r="316" spans="1:23" x14ac:dyDescent="0.3">
      <c r="A316" s="1" t="s">
        <v>1010</v>
      </c>
      <c r="B316" s="1" t="s">
        <v>1011</v>
      </c>
      <c r="C316" s="1" t="s">
        <v>18</v>
      </c>
      <c r="D316" s="1" t="s">
        <v>75</v>
      </c>
      <c r="E316" s="1">
        <v>2005</v>
      </c>
      <c r="F316" s="1" t="s">
        <v>29</v>
      </c>
      <c r="G316" s="1" t="s">
        <v>1012</v>
      </c>
      <c r="H316" s="1">
        <v>115</v>
      </c>
      <c r="I316" s="1" t="s">
        <v>50</v>
      </c>
      <c r="J316" s="1">
        <v>9.1999999999999993</v>
      </c>
      <c r="K316" s="1">
        <v>347.2</v>
      </c>
      <c r="L316" s="1" t="s">
        <v>41</v>
      </c>
      <c r="M316" s="1" t="s">
        <v>157</v>
      </c>
      <c r="N316" s="1" t="s">
        <v>128</v>
      </c>
      <c r="O316" s="1"/>
      <c r="P316" s="1">
        <v>38</v>
      </c>
      <c r="Q316" s="1">
        <v>64.099999999999994</v>
      </c>
      <c r="R316" s="8" t="str">
        <f>_xlfn.IFS(J316&gt;=8,"Hit",J316&gt;=6,"Average",J316&lt;6,"Flop")</f>
        <v>Hit</v>
      </c>
      <c r="S316" s="9" t="str">
        <f>_xlfn.IFS(K316&gt;=400,"Blockbuster",K316&gt;=200,"Popular",K316&lt;200,"Normal")</f>
        <v>Popular</v>
      </c>
      <c r="T316" s="10" t="str">
        <f>IF(OR(I316="PG",I316="G"),"Yes","No")</f>
        <v>Yes</v>
      </c>
      <c r="U316" s="11" t="str">
        <f>IF(P316&gt;=100,"High","Low")</f>
        <v>Low</v>
      </c>
      <c r="V316" s="28">
        <f t="shared" si="8"/>
        <v>26.099999999999994</v>
      </c>
      <c r="W316" s="29">
        <f t="shared" si="9"/>
        <v>168.68421052631578</v>
      </c>
    </row>
    <row r="317" spans="1:23" x14ac:dyDescent="0.3">
      <c r="A317" s="1" t="s">
        <v>1013</v>
      </c>
      <c r="B317" s="1" t="s">
        <v>1014</v>
      </c>
      <c r="C317" s="1" t="s">
        <v>46</v>
      </c>
      <c r="D317" s="1" t="s">
        <v>141</v>
      </c>
      <c r="E317" s="1">
        <v>2013</v>
      </c>
      <c r="F317" s="1" t="s">
        <v>95</v>
      </c>
      <c r="G317" s="1" t="s">
        <v>1015</v>
      </c>
      <c r="H317" s="1">
        <v>59</v>
      </c>
      <c r="I317" s="1" t="s">
        <v>50</v>
      </c>
      <c r="J317" s="1">
        <v>6.8</v>
      </c>
      <c r="K317" s="1">
        <v>502.9</v>
      </c>
      <c r="L317" s="1" t="s">
        <v>41</v>
      </c>
      <c r="M317" s="1" t="s">
        <v>146</v>
      </c>
      <c r="N317" s="1" t="s">
        <v>60</v>
      </c>
      <c r="O317" s="1">
        <v>4</v>
      </c>
      <c r="P317" s="1">
        <v>96</v>
      </c>
      <c r="Q317" s="1">
        <v>487.5</v>
      </c>
      <c r="R317" s="8" t="str">
        <f>_xlfn.IFS(J317&gt;=8,"Hit",J317&gt;=6,"Average",J317&lt;6,"Flop")</f>
        <v>Average</v>
      </c>
      <c r="S317" s="9" t="str">
        <f>_xlfn.IFS(K317&gt;=400,"Blockbuster",K317&gt;=200,"Popular",K317&lt;200,"Normal")</f>
        <v>Blockbuster</v>
      </c>
      <c r="T317" s="10" t="str">
        <f>IF(OR(I317="PG",I317="G"),"Yes","No")</f>
        <v>Yes</v>
      </c>
      <c r="U317" s="11" t="str">
        <f>IF(P317&gt;=100,"High","Low")</f>
        <v>Low</v>
      </c>
      <c r="V317" s="28">
        <f t="shared" si="8"/>
        <v>391.5</v>
      </c>
      <c r="W317" s="29">
        <f t="shared" si="9"/>
        <v>507.8125</v>
      </c>
    </row>
    <row r="318" spans="1:23" x14ac:dyDescent="0.3">
      <c r="A318" s="1" t="s">
        <v>1016</v>
      </c>
      <c r="B318" s="1" t="s">
        <v>1017</v>
      </c>
      <c r="C318" s="1" t="s">
        <v>46</v>
      </c>
      <c r="D318" s="1" t="s">
        <v>75</v>
      </c>
      <c r="E318" s="1">
        <v>2016</v>
      </c>
      <c r="F318" s="1" t="s">
        <v>29</v>
      </c>
      <c r="G318" s="1" t="s">
        <v>1018</v>
      </c>
      <c r="H318" s="1">
        <v>55</v>
      </c>
      <c r="I318" s="1" t="s">
        <v>50</v>
      </c>
      <c r="J318" s="1">
        <v>7.9</v>
      </c>
      <c r="K318" s="1">
        <v>22.3</v>
      </c>
      <c r="L318" s="1" t="s">
        <v>90</v>
      </c>
      <c r="M318" s="1" t="s">
        <v>111</v>
      </c>
      <c r="N318" s="1" t="s">
        <v>43</v>
      </c>
      <c r="O318" s="1">
        <v>7</v>
      </c>
      <c r="P318" s="1">
        <v>16</v>
      </c>
      <c r="Q318" s="1">
        <v>98.1</v>
      </c>
      <c r="R318" s="8" t="str">
        <f>_xlfn.IFS(J318&gt;=8,"Hit",J318&gt;=6,"Average",J318&lt;6,"Flop")</f>
        <v>Average</v>
      </c>
      <c r="S318" s="9" t="str">
        <f>_xlfn.IFS(K318&gt;=400,"Blockbuster",K318&gt;=200,"Popular",K318&lt;200,"Normal")</f>
        <v>Normal</v>
      </c>
      <c r="T318" s="10" t="str">
        <f>IF(OR(I318="PG",I318="G"),"Yes","No")</f>
        <v>Yes</v>
      </c>
      <c r="U318" s="11" t="str">
        <f>IF(P318&gt;=100,"High","Low")</f>
        <v>Low</v>
      </c>
      <c r="V318" s="28">
        <f t="shared" si="8"/>
        <v>82.1</v>
      </c>
      <c r="W318" s="29">
        <f t="shared" si="9"/>
        <v>613.125</v>
      </c>
    </row>
    <row r="319" spans="1:23" x14ac:dyDescent="0.3">
      <c r="A319" s="1" t="s">
        <v>1019</v>
      </c>
      <c r="B319" s="1" t="s">
        <v>1020</v>
      </c>
      <c r="C319" s="1" t="s">
        <v>46</v>
      </c>
      <c r="D319" s="1" t="s">
        <v>75</v>
      </c>
      <c r="E319" s="1">
        <v>2024</v>
      </c>
      <c r="F319" s="1" t="s">
        <v>122</v>
      </c>
      <c r="G319" s="1" t="s">
        <v>1021</v>
      </c>
      <c r="H319" s="1">
        <v>34</v>
      </c>
      <c r="I319" s="1" t="s">
        <v>50</v>
      </c>
      <c r="J319" s="1">
        <v>7.4</v>
      </c>
      <c r="K319" s="1">
        <v>82.6</v>
      </c>
      <c r="L319" s="1" t="s">
        <v>90</v>
      </c>
      <c r="M319" s="1" t="s">
        <v>72</v>
      </c>
      <c r="N319" s="1" t="s">
        <v>128</v>
      </c>
      <c r="O319" s="1">
        <v>2</v>
      </c>
      <c r="P319" s="1">
        <v>162</v>
      </c>
      <c r="Q319" s="1">
        <v>1051.5</v>
      </c>
      <c r="R319" s="8" t="str">
        <f>_xlfn.IFS(J319&gt;=8,"Hit",J319&gt;=6,"Average",J319&lt;6,"Flop")</f>
        <v>Average</v>
      </c>
      <c r="S319" s="9" t="str">
        <f>_xlfn.IFS(K319&gt;=400,"Blockbuster",K319&gt;=200,"Popular",K319&lt;200,"Normal")</f>
        <v>Normal</v>
      </c>
      <c r="T319" s="10" t="str">
        <f>IF(OR(I319="PG",I319="G"),"Yes","No")</f>
        <v>Yes</v>
      </c>
      <c r="U319" s="11" t="str">
        <f>IF(P319&gt;=100,"High","Low")</f>
        <v>High</v>
      </c>
      <c r="V319" s="28">
        <f t="shared" si="8"/>
        <v>889.5</v>
      </c>
      <c r="W319" s="29">
        <f t="shared" si="9"/>
        <v>649.07407407407402</v>
      </c>
    </row>
    <row r="320" spans="1:23" x14ac:dyDescent="0.3">
      <c r="A320" s="1" t="s">
        <v>1022</v>
      </c>
      <c r="B320" s="1" t="s">
        <v>1023</v>
      </c>
      <c r="C320" s="1" t="s">
        <v>18</v>
      </c>
      <c r="D320" s="1" t="s">
        <v>82</v>
      </c>
      <c r="E320" s="1">
        <v>2013</v>
      </c>
      <c r="F320" s="1" t="s">
        <v>100</v>
      </c>
      <c r="G320" s="1" t="s">
        <v>375</v>
      </c>
      <c r="H320" s="1">
        <v>94</v>
      </c>
      <c r="I320" s="1" t="s">
        <v>50</v>
      </c>
      <c r="J320" s="1">
        <v>9.4</v>
      </c>
      <c r="K320" s="1">
        <v>422.5</v>
      </c>
      <c r="L320" s="1" t="s">
        <v>65</v>
      </c>
      <c r="M320" s="1" t="s">
        <v>66</v>
      </c>
      <c r="N320" s="1" t="s">
        <v>119</v>
      </c>
      <c r="O320" s="1"/>
      <c r="P320" s="1">
        <v>67</v>
      </c>
      <c r="Q320" s="1">
        <v>231.3</v>
      </c>
      <c r="R320" s="8" t="str">
        <f>_xlfn.IFS(J320&gt;=8,"Hit",J320&gt;=6,"Average",J320&lt;6,"Flop")</f>
        <v>Hit</v>
      </c>
      <c r="S320" s="9" t="str">
        <f>_xlfn.IFS(K320&gt;=400,"Blockbuster",K320&gt;=200,"Popular",K320&lt;200,"Normal")</f>
        <v>Blockbuster</v>
      </c>
      <c r="T320" s="10" t="str">
        <f>IF(OR(I320="PG",I320="G"),"Yes","No")</f>
        <v>Yes</v>
      </c>
      <c r="U320" s="11" t="str">
        <f>IF(P320&gt;=100,"High","Low")</f>
        <v>Low</v>
      </c>
      <c r="V320" s="28">
        <f t="shared" si="8"/>
        <v>164.3</v>
      </c>
      <c r="W320" s="29">
        <f t="shared" si="9"/>
        <v>345.2238805970149</v>
      </c>
    </row>
    <row r="321" spans="1:23" x14ac:dyDescent="0.3">
      <c r="A321" s="1" t="s">
        <v>1024</v>
      </c>
      <c r="B321" s="1" t="s">
        <v>1025</v>
      </c>
      <c r="C321" s="1" t="s">
        <v>46</v>
      </c>
      <c r="D321" s="1" t="s">
        <v>75</v>
      </c>
      <c r="E321" s="1">
        <v>2019</v>
      </c>
      <c r="F321" s="1" t="s">
        <v>76</v>
      </c>
      <c r="G321" s="1" t="s">
        <v>1026</v>
      </c>
      <c r="H321" s="1">
        <v>33</v>
      </c>
      <c r="I321" s="1" t="s">
        <v>22</v>
      </c>
      <c r="J321" s="1">
        <v>5.2</v>
      </c>
      <c r="K321" s="1">
        <v>458.8</v>
      </c>
      <c r="L321" s="1" t="s">
        <v>32</v>
      </c>
      <c r="M321" s="1" t="s">
        <v>33</v>
      </c>
      <c r="N321" s="1" t="s">
        <v>119</v>
      </c>
      <c r="O321" s="1">
        <v>6</v>
      </c>
      <c r="P321" s="1">
        <v>33</v>
      </c>
      <c r="Q321" s="1">
        <v>191.2</v>
      </c>
      <c r="R321" s="8" t="str">
        <f>_xlfn.IFS(J321&gt;=8,"Hit",J321&gt;=6,"Average",J321&lt;6,"Flop")</f>
        <v>Flop</v>
      </c>
      <c r="S321" s="9" t="str">
        <f>_xlfn.IFS(K321&gt;=400,"Blockbuster",K321&gt;=200,"Popular",K321&lt;200,"Normal")</f>
        <v>Blockbuster</v>
      </c>
      <c r="T321" s="10" t="str">
        <f>IF(OR(I321="PG",I321="G"),"Yes","No")</f>
        <v>No</v>
      </c>
      <c r="U321" s="11" t="str">
        <f>IF(P321&gt;=100,"High","Low")</f>
        <v>Low</v>
      </c>
      <c r="V321" s="28">
        <f t="shared" si="8"/>
        <v>158.19999999999999</v>
      </c>
      <c r="W321" s="29">
        <f t="shared" si="9"/>
        <v>579.39393939393938</v>
      </c>
    </row>
    <row r="322" spans="1:23" x14ac:dyDescent="0.3">
      <c r="A322" s="1" t="s">
        <v>1027</v>
      </c>
      <c r="B322" s="1" t="s">
        <v>1028</v>
      </c>
      <c r="C322" s="1" t="s">
        <v>18</v>
      </c>
      <c r="D322" s="1" t="s">
        <v>141</v>
      </c>
      <c r="E322" s="1">
        <v>2003</v>
      </c>
      <c r="F322" s="1" t="s">
        <v>95</v>
      </c>
      <c r="G322" s="1" t="s">
        <v>1029</v>
      </c>
      <c r="H322" s="1">
        <v>153</v>
      </c>
      <c r="I322" s="1" t="s">
        <v>110</v>
      </c>
      <c r="J322" s="1">
        <v>8.6</v>
      </c>
      <c r="K322" s="1">
        <v>446.9</v>
      </c>
      <c r="L322" s="1" t="s">
        <v>90</v>
      </c>
      <c r="M322" s="1" t="s">
        <v>106</v>
      </c>
      <c r="N322" s="1" t="s">
        <v>55</v>
      </c>
      <c r="O322" s="1"/>
      <c r="P322" s="1">
        <v>169</v>
      </c>
      <c r="Q322" s="1">
        <v>819.2</v>
      </c>
      <c r="R322" s="8" t="str">
        <f>_xlfn.IFS(J322&gt;=8,"Hit",J322&gt;=6,"Average",J322&lt;6,"Flop")</f>
        <v>Hit</v>
      </c>
      <c r="S322" s="9" t="str">
        <f>_xlfn.IFS(K322&gt;=400,"Blockbuster",K322&gt;=200,"Popular",K322&lt;200,"Normal")</f>
        <v>Blockbuster</v>
      </c>
      <c r="T322" s="10" t="str">
        <f>IF(OR(I322="PG",I322="G"),"Yes","No")</f>
        <v>No</v>
      </c>
      <c r="U322" s="11" t="str">
        <f>IF(P322&gt;=100,"High","Low")</f>
        <v>High</v>
      </c>
      <c r="V322" s="28">
        <f t="shared" si="8"/>
        <v>650.20000000000005</v>
      </c>
      <c r="W322" s="29">
        <f t="shared" si="9"/>
        <v>484.73372781065092</v>
      </c>
    </row>
    <row r="323" spans="1:23" x14ac:dyDescent="0.3">
      <c r="A323" s="1" t="s">
        <v>1030</v>
      </c>
      <c r="B323" s="1" t="s">
        <v>1031</v>
      </c>
      <c r="C323" s="1" t="s">
        <v>46</v>
      </c>
      <c r="D323" s="1" t="s">
        <v>75</v>
      </c>
      <c r="E323" s="1">
        <v>2008</v>
      </c>
      <c r="F323" s="1" t="s">
        <v>76</v>
      </c>
      <c r="G323" s="1" t="s">
        <v>1032</v>
      </c>
      <c r="H323" s="1">
        <v>56</v>
      </c>
      <c r="I323" s="1" t="s">
        <v>40</v>
      </c>
      <c r="J323" s="1">
        <v>9.1</v>
      </c>
      <c r="K323" s="1">
        <v>181.6</v>
      </c>
      <c r="L323" s="1" t="s">
        <v>71</v>
      </c>
      <c r="M323" s="1" t="s">
        <v>157</v>
      </c>
      <c r="N323" s="1" t="s">
        <v>25</v>
      </c>
      <c r="O323" s="1">
        <v>4</v>
      </c>
      <c r="P323" s="1">
        <v>26</v>
      </c>
      <c r="Q323" s="1">
        <v>62.8</v>
      </c>
      <c r="R323" s="8" t="str">
        <f>_xlfn.IFS(J323&gt;=8,"Hit",J323&gt;=6,"Average",J323&lt;6,"Flop")</f>
        <v>Hit</v>
      </c>
      <c r="S323" s="9" t="str">
        <f>_xlfn.IFS(K323&gt;=400,"Blockbuster",K323&gt;=200,"Popular",K323&lt;200,"Normal")</f>
        <v>Normal</v>
      </c>
      <c r="T323" s="10" t="str">
        <f>IF(OR(I323="PG",I323="G"),"Yes","No")</f>
        <v>Yes</v>
      </c>
      <c r="U323" s="11" t="str">
        <f>IF(P323&gt;=100,"High","Low")</f>
        <v>Low</v>
      </c>
      <c r="V323" s="28">
        <f t="shared" ref="V323:V386" si="10">Q323-P323</f>
        <v>36.799999999999997</v>
      </c>
      <c r="W323" s="29">
        <f t="shared" ref="W323:W386" si="11">(Q323/P323)*100</f>
        <v>241.53846153846152</v>
      </c>
    </row>
    <row r="324" spans="1:23" x14ac:dyDescent="0.3">
      <c r="A324" s="1" t="s">
        <v>1033</v>
      </c>
      <c r="B324" s="1" t="s">
        <v>1034</v>
      </c>
      <c r="C324" s="1" t="s">
        <v>18</v>
      </c>
      <c r="D324" s="1" t="s">
        <v>63</v>
      </c>
      <c r="E324" s="1">
        <v>2018</v>
      </c>
      <c r="F324" s="1" t="s">
        <v>29</v>
      </c>
      <c r="G324" s="1" t="s">
        <v>1035</v>
      </c>
      <c r="H324" s="1">
        <v>117</v>
      </c>
      <c r="I324" s="1" t="s">
        <v>22</v>
      </c>
      <c r="J324" s="1">
        <v>5.5</v>
      </c>
      <c r="K324" s="1">
        <v>80.2</v>
      </c>
      <c r="L324" s="1" t="s">
        <v>171</v>
      </c>
      <c r="M324" s="1" t="s">
        <v>106</v>
      </c>
      <c r="N324" s="1" t="s">
        <v>153</v>
      </c>
      <c r="O324" s="1"/>
      <c r="P324" s="1">
        <v>48</v>
      </c>
      <c r="Q324" s="1">
        <v>264.8</v>
      </c>
      <c r="R324" s="8" t="str">
        <f>_xlfn.IFS(J324&gt;=8,"Hit",J324&gt;=6,"Average",J324&lt;6,"Flop")</f>
        <v>Flop</v>
      </c>
      <c r="S324" s="9" t="str">
        <f>_xlfn.IFS(K324&gt;=400,"Blockbuster",K324&gt;=200,"Popular",K324&lt;200,"Normal")</f>
        <v>Normal</v>
      </c>
      <c r="T324" s="10" t="str">
        <f>IF(OR(I324="PG",I324="G"),"Yes","No")</f>
        <v>No</v>
      </c>
      <c r="U324" s="11" t="str">
        <f>IF(P324&gt;=100,"High","Low")</f>
        <v>Low</v>
      </c>
      <c r="V324" s="28">
        <f t="shared" si="10"/>
        <v>216.8</v>
      </c>
      <c r="W324" s="29">
        <f t="shared" si="11"/>
        <v>551.66666666666663</v>
      </c>
    </row>
    <row r="325" spans="1:23" x14ac:dyDescent="0.3">
      <c r="A325" s="1" t="s">
        <v>1036</v>
      </c>
      <c r="B325" s="1" t="s">
        <v>1037</v>
      </c>
      <c r="C325" s="1" t="s">
        <v>46</v>
      </c>
      <c r="D325" s="1" t="s">
        <v>141</v>
      </c>
      <c r="E325" s="1">
        <v>2016</v>
      </c>
      <c r="F325" s="1" t="s">
        <v>122</v>
      </c>
      <c r="G325" s="1" t="s">
        <v>1038</v>
      </c>
      <c r="H325" s="1">
        <v>52</v>
      </c>
      <c r="I325" s="1" t="s">
        <v>50</v>
      </c>
      <c r="J325" s="1">
        <v>4.5999999999999996</v>
      </c>
      <c r="K325" s="1">
        <v>5.3</v>
      </c>
      <c r="L325" s="1" t="s">
        <v>65</v>
      </c>
      <c r="M325" s="1" t="s">
        <v>72</v>
      </c>
      <c r="N325" s="1" t="s">
        <v>153</v>
      </c>
      <c r="O325" s="1">
        <v>1</v>
      </c>
      <c r="P325" s="1">
        <v>57</v>
      </c>
      <c r="Q325" s="1">
        <v>363.1</v>
      </c>
      <c r="R325" s="8" t="str">
        <f>_xlfn.IFS(J325&gt;=8,"Hit",J325&gt;=6,"Average",J325&lt;6,"Flop")</f>
        <v>Flop</v>
      </c>
      <c r="S325" s="9" t="str">
        <f>_xlfn.IFS(K325&gt;=400,"Blockbuster",K325&gt;=200,"Popular",K325&lt;200,"Normal")</f>
        <v>Normal</v>
      </c>
      <c r="T325" s="10" t="str">
        <f>IF(OR(I325="PG",I325="G"),"Yes","No")</f>
        <v>Yes</v>
      </c>
      <c r="U325" s="11" t="str">
        <f>IF(P325&gt;=100,"High","Low")</f>
        <v>Low</v>
      </c>
      <c r="V325" s="28">
        <f t="shared" si="10"/>
        <v>306.10000000000002</v>
      </c>
      <c r="W325" s="29">
        <f t="shared" si="11"/>
        <v>637.01754385964909</v>
      </c>
    </row>
    <row r="326" spans="1:23" x14ac:dyDescent="0.3">
      <c r="A326" s="1" t="s">
        <v>1039</v>
      </c>
      <c r="B326" s="1" t="s">
        <v>1040</v>
      </c>
      <c r="C326" s="1" t="s">
        <v>18</v>
      </c>
      <c r="D326" s="1" t="s">
        <v>47</v>
      </c>
      <c r="E326" s="1">
        <v>2007</v>
      </c>
      <c r="F326" s="1" t="s">
        <v>122</v>
      </c>
      <c r="G326" s="1" t="s">
        <v>1041</v>
      </c>
      <c r="H326" s="1">
        <v>113</v>
      </c>
      <c r="I326" s="1" t="s">
        <v>22</v>
      </c>
      <c r="J326" s="1">
        <v>7.3</v>
      </c>
      <c r="K326" s="1">
        <v>301.60000000000002</v>
      </c>
      <c r="L326" s="1" t="s">
        <v>90</v>
      </c>
      <c r="M326" s="1" t="s">
        <v>33</v>
      </c>
      <c r="N326" s="1" t="s">
        <v>153</v>
      </c>
      <c r="O326" s="1"/>
      <c r="P326" s="1">
        <v>97</v>
      </c>
      <c r="Q326" s="1">
        <v>255.3</v>
      </c>
      <c r="R326" s="8" t="str">
        <f>_xlfn.IFS(J326&gt;=8,"Hit",J326&gt;=6,"Average",J326&lt;6,"Flop")</f>
        <v>Average</v>
      </c>
      <c r="S326" s="9" t="str">
        <f>_xlfn.IFS(K326&gt;=400,"Blockbuster",K326&gt;=200,"Popular",K326&lt;200,"Normal")</f>
        <v>Popular</v>
      </c>
      <c r="T326" s="10" t="str">
        <f>IF(OR(I326="PG",I326="G"),"Yes","No")</f>
        <v>No</v>
      </c>
      <c r="U326" s="11" t="str">
        <f>IF(P326&gt;=100,"High","Low")</f>
        <v>Low</v>
      </c>
      <c r="V326" s="28">
        <f t="shared" si="10"/>
        <v>158.30000000000001</v>
      </c>
      <c r="W326" s="29">
        <f t="shared" si="11"/>
        <v>263.1958762886598</v>
      </c>
    </row>
    <row r="327" spans="1:23" x14ac:dyDescent="0.3">
      <c r="A327" s="1" t="s">
        <v>1042</v>
      </c>
      <c r="B327" s="1" t="s">
        <v>1043</v>
      </c>
      <c r="C327" s="1" t="s">
        <v>18</v>
      </c>
      <c r="D327" s="1" t="s">
        <v>141</v>
      </c>
      <c r="E327" s="1">
        <v>2021</v>
      </c>
      <c r="F327" s="1" t="s">
        <v>181</v>
      </c>
      <c r="G327" s="1" t="s">
        <v>1044</v>
      </c>
      <c r="H327" s="1">
        <v>100</v>
      </c>
      <c r="I327" s="1" t="s">
        <v>110</v>
      </c>
      <c r="J327" s="1">
        <v>5.3</v>
      </c>
      <c r="K327" s="1">
        <v>78.8</v>
      </c>
      <c r="L327" s="1" t="s">
        <v>32</v>
      </c>
      <c r="M327" s="1" t="s">
        <v>42</v>
      </c>
      <c r="N327" s="1" t="s">
        <v>55</v>
      </c>
      <c r="O327" s="1"/>
      <c r="P327" s="1">
        <v>90</v>
      </c>
      <c r="Q327" s="1">
        <v>421.6</v>
      </c>
      <c r="R327" s="8" t="str">
        <f>_xlfn.IFS(J327&gt;=8,"Hit",J327&gt;=6,"Average",J327&lt;6,"Flop")</f>
        <v>Flop</v>
      </c>
      <c r="S327" s="9" t="str">
        <f>_xlfn.IFS(K327&gt;=400,"Blockbuster",K327&gt;=200,"Popular",K327&lt;200,"Normal")</f>
        <v>Normal</v>
      </c>
      <c r="T327" s="10" t="str">
        <f>IF(OR(I327="PG",I327="G"),"Yes","No")</f>
        <v>No</v>
      </c>
      <c r="U327" s="11" t="str">
        <f>IF(P327&gt;=100,"High","Low")</f>
        <v>Low</v>
      </c>
      <c r="V327" s="28">
        <f t="shared" si="10"/>
        <v>331.6</v>
      </c>
      <c r="W327" s="29">
        <f t="shared" si="11"/>
        <v>468.44444444444446</v>
      </c>
    </row>
    <row r="328" spans="1:23" x14ac:dyDescent="0.3">
      <c r="A328" s="1" t="s">
        <v>1045</v>
      </c>
      <c r="B328" s="1" t="s">
        <v>1046</v>
      </c>
      <c r="C328" s="1" t="s">
        <v>46</v>
      </c>
      <c r="D328" s="1" t="s">
        <v>63</v>
      </c>
      <c r="E328" s="1">
        <v>2000</v>
      </c>
      <c r="F328" s="1" t="s">
        <v>181</v>
      </c>
      <c r="G328" s="1" t="s">
        <v>1047</v>
      </c>
      <c r="H328" s="1">
        <v>54</v>
      </c>
      <c r="I328" s="1" t="s">
        <v>50</v>
      </c>
      <c r="J328" s="1">
        <v>6.1</v>
      </c>
      <c r="K328" s="1">
        <v>45.2</v>
      </c>
      <c r="L328" s="1" t="s">
        <v>65</v>
      </c>
      <c r="M328" s="1" t="s">
        <v>157</v>
      </c>
      <c r="N328" s="1" t="s">
        <v>67</v>
      </c>
      <c r="O328" s="1">
        <v>2</v>
      </c>
      <c r="P328" s="1">
        <v>193</v>
      </c>
      <c r="Q328" s="1">
        <v>953.2</v>
      </c>
      <c r="R328" s="8" t="str">
        <f>_xlfn.IFS(J328&gt;=8,"Hit",J328&gt;=6,"Average",J328&lt;6,"Flop")</f>
        <v>Average</v>
      </c>
      <c r="S328" s="9" t="str">
        <f>_xlfn.IFS(K328&gt;=400,"Blockbuster",K328&gt;=200,"Popular",K328&lt;200,"Normal")</f>
        <v>Normal</v>
      </c>
      <c r="T328" s="10" t="str">
        <f>IF(OR(I328="PG",I328="G"),"Yes","No")</f>
        <v>Yes</v>
      </c>
      <c r="U328" s="11" t="str">
        <f>IF(P328&gt;=100,"High","Low")</f>
        <v>High</v>
      </c>
      <c r="V328" s="28">
        <f t="shared" si="10"/>
        <v>760.2</v>
      </c>
      <c r="W328" s="29">
        <f t="shared" si="11"/>
        <v>493.88601036269438</v>
      </c>
    </row>
    <row r="329" spans="1:23" x14ac:dyDescent="0.3">
      <c r="A329" s="1" t="s">
        <v>1048</v>
      </c>
      <c r="B329" s="1" t="s">
        <v>1049</v>
      </c>
      <c r="C329" s="1" t="s">
        <v>18</v>
      </c>
      <c r="D329" s="1" t="s">
        <v>141</v>
      </c>
      <c r="E329" s="1">
        <v>2012</v>
      </c>
      <c r="F329" s="1" t="s">
        <v>48</v>
      </c>
      <c r="G329" s="1" t="s">
        <v>1050</v>
      </c>
      <c r="H329" s="1">
        <v>140</v>
      </c>
      <c r="I329" s="1" t="s">
        <v>110</v>
      </c>
      <c r="J329" s="1">
        <v>5.5</v>
      </c>
      <c r="K329" s="1">
        <v>101.5</v>
      </c>
      <c r="L329" s="1" t="s">
        <v>171</v>
      </c>
      <c r="M329" s="1" t="s">
        <v>42</v>
      </c>
      <c r="N329" s="1" t="s">
        <v>67</v>
      </c>
      <c r="O329" s="1"/>
      <c r="P329" s="1">
        <v>154</v>
      </c>
      <c r="Q329" s="1">
        <v>773.3</v>
      </c>
      <c r="R329" s="8" t="str">
        <f>_xlfn.IFS(J329&gt;=8,"Hit",J329&gt;=6,"Average",J329&lt;6,"Flop")</f>
        <v>Flop</v>
      </c>
      <c r="S329" s="9" t="str">
        <f>_xlfn.IFS(K329&gt;=400,"Blockbuster",K329&gt;=200,"Popular",K329&lt;200,"Normal")</f>
        <v>Normal</v>
      </c>
      <c r="T329" s="10" t="str">
        <f>IF(OR(I329="PG",I329="G"),"Yes","No")</f>
        <v>No</v>
      </c>
      <c r="U329" s="11" t="str">
        <f>IF(P329&gt;=100,"High","Low")</f>
        <v>High</v>
      </c>
      <c r="V329" s="28">
        <f t="shared" si="10"/>
        <v>619.29999999999995</v>
      </c>
      <c r="W329" s="29">
        <f t="shared" si="11"/>
        <v>502.14285714285711</v>
      </c>
    </row>
    <row r="330" spans="1:23" x14ac:dyDescent="0.3">
      <c r="A330" s="1" t="s">
        <v>1051</v>
      </c>
      <c r="B330" s="1" t="s">
        <v>1052</v>
      </c>
      <c r="C330" s="1" t="s">
        <v>46</v>
      </c>
      <c r="D330" s="1" t="s">
        <v>19</v>
      </c>
      <c r="E330" s="1">
        <v>2023</v>
      </c>
      <c r="F330" s="1" t="s">
        <v>181</v>
      </c>
      <c r="G330" s="1" t="s">
        <v>1053</v>
      </c>
      <c r="H330" s="1">
        <v>55</v>
      </c>
      <c r="I330" s="1" t="s">
        <v>31</v>
      </c>
      <c r="J330" s="1">
        <v>7</v>
      </c>
      <c r="K330" s="1">
        <v>468.3</v>
      </c>
      <c r="L330" s="1" t="s">
        <v>23</v>
      </c>
      <c r="M330" s="1" t="s">
        <v>72</v>
      </c>
      <c r="N330" s="1" t="s">
        <v>34</v>
      </c>
      <c r="O330" s="1">
        <v>1</v>
      </c>
      <c r="P330" s="1">
        <v>172</v>
      </c>
      <c r="Q330" s="1">
        <v>569.5</v>
      </c>
      <c r="R330" s="8" t="str">
        <f>_xlfn.IFS(J330&gt;=8,"Hit",J330&gt;=6,"Average",J330&lt;6,"Flop")</f>
        <v>Average</v>
      </c>
      <c r="S330" s="9" t="str">
        <f>_xlfn.IFS(K330&gt;=400,"Blockbuster",K330&gt;=200,"Popular",K330&lt;200,"Normal")</f>
        <v>Blockbuster</v>
      </c>
      <c r="T330" s="10" t="str">
        <f>IF(OR(I330="PG",I330="G"),"Yes","No")</f>
        <v>No</v>
      </c>
      <c r="U330" s="11" t="str">
        <f>IF(P330&gt;=100,"High","Low")</f>
        <v>High</v>
      </c>
      <c r="V330" s="28">
        <f t="shared" si="10"/>
        <v>397.5</v>
      </c>
      <c r="W330" s="29">
        <f t="shared" si="11"/>
        <v>331.10465116279067</v>
      </c>
    </row>
    <row r="331" spans="1:23" x14ac:dyDescent="0.3">
      <c r="A331" s="1" t="s">
        <v>1054</v>
      </c>
      <c r="B331" s="1" t="s">
        <v>1055</v>
      </c>
      <c r="C331" s="1" t="s">
        <v>46</v>
      </c>
      <c r="D331" s="1" t="s">
        <v>28</v>
      </c>
      <c r="E331" s="1">
        <v>2019</v>
      </c>
      <c r="F331" s="1" t="s">
        <v>83</v>
      </c>
      <c r="G331" s="1" t="s">
        <v>1056</v>
      </c>
      <c r="H331" s="1">
        <v>46</v>
      </c>
      <c r="I331" s="1" t="s">
        <v>50</v>
      </c>
      <c r="J331" s="1">
        <v>5.6</v>
      </c>
      <c r="K331" s="1">
        <v>28.3</v>
      </c>
      <c r="L331" s="1" t="s">
        <v>171</v>
      </c>
      <c r="M331" s="1" t="s">
        <v>24</v>
      </c>
      <c r="N331" s="1" t="s">
        <v>43</v>
      </c>
      <c r="O331" s="1">
        <v>6</v>
      </c>
      <c r="P331" s="1">
        <v>186</v>
      </c>
      <c r="Q331" s="1">
        <v>934.4</v>
      </c>
      <c r="R331" s="8" t="str">
        <f>_xlfn.IFS(J331&gt;=8,"Hit",J331&gt;=6,"Average",J331&lt;6,"Flop")</f>
        <v>Flop</v>
      </c>
      <c r="S331" s="9" t="str">
        <f>_xlfn.IFS(K331&gt;=400,"Blockbuster",K331&gt;=200,"Popular",K331&lt;200,"Normal")</f>
        <v>Normal</v>
      </c>
      <c r="T331" s="10" t="str">
        <f>IF(OR(I331="PG",I331="G"),"Yes","No")</f>
        <v>Yes</v>
      </c>
      <c r="U331" s="11" t="str">
        <f>IF(P331&gt;=100,"High","Low")</f>
        <v>High</v>
      </c>
      <c r="V331" s="28">
        <f t="shared" si="10"/>
        <v>748.4</v>
      </c>
      <c r="W331" s="29">
        <f t="shared" si="11"/>
        <v>502.36559139784947</v>
      </c>
    </row>
    <row r="332" spans="1:23" x14ac:dyDescent="0.3">
      <c r="A332" s="1" t="s">
        <v>1057</v>
      </c>
      <c r="B332" s="1" t="s">
        <v>1058</v>
      </c>
      <c r="C332" s="1" t="s">
        <v>18</v>
      </c>
      <c r="D332" s="1" t="s">
        <v>19</v>
      </c>
      <c r="E332" s="1">
        <v>2007</v>
      </c>
      <c r="F332" s="1" t="s">
        <v>76</v>
      </c>
      <c r="G332" s="1" t="s">
        <v>1059</v>
      </c>
      <c r="H332" s="1">
        <v>170</v>
      </c>
      <c r="I332" s="1" t="s">
        <v>40</v>
      </c>
      <c r="J332" s="1">
        <v>8.1999999999999993</v>
      </c>
      <c r="K332" s="1">
        <v>204.8</v>
      </c>
      <c r="L332" s="1" t="s">
        <v>90</v>
      </c>
      <c r="M332" s="1" t="s">
        <v>42</v>
      </c>
      <c r="N332" s="1" t="s">
        <v>34</v>
      </c>
      <c r="O332" s="1"/>
      <c r="P332" s="1">
        <v>52</v>
      </c>
      <c r="Q332" s="1">
        <v>250.8</v>
      </c>
      <c r="R332" s="8" t="str">
        <f>_xlfn.IFS(J332&gt;=8,"Hit",J332&gt;=6,"Average",J332&lt;6,"Flop")</f>
        <v>Hit</v>
      </c>
      <c r="S332" s="9" t="str">
        <f>_xlfn.IFS(K332&gt;=400,"Blockbuster",K332&gt;=200,"Popular",K332&lt;200,"Normal")</f>
        <v>Popular</v>
      </c>
      <c r="T332" s="10" t="str">
        <f>IF(OR(I332="PG",I332="G"),"Yes","No")</f>
        <v>Yes</v>
      </c>
      <c r="U332" s="11" t="str">
        <f>IF(P332&gt;=100,"High","Low")</f>
        <v>Low</v>
      </c>
      <c r="V332" s="28">
        <f t="shared" si="10"/>
        <v>198.8</v>
      </c>
      <c r="W332" s="29">
        <f t="shared" si="11"/>
        <v>482.30769230769238</v>
      </c>
    </row>
    <row r="333" spans="1:23" x14ac:dyDescent="0.3">
      <c r="A333" s="1" t="s">
        <v>1060</v>
      </c>
      <c r="B333" s="1" t="s">
        <v>1061</v>
      </c>
      <c r="C333" s="1" t="s">
        <v>46</v>
      </c>
      <c r="D333" s="1" t="s">
        <v>75</v>
      </c>
      <c r="E333" s="1">
        <v>2017</v>
      </c>
      <c r="F333" s="1" t="s">
        <v>122</v>
      </c>
      <c r="G333" s="1" t="s">
        <v>1062</v>
      </c>
      <c r="H333" s="1">
        <v>39</v>
      </c>
      <c r="I333" s="1" t="s">
        <v>22</v>
      </c>
      <c r="J333" s="1">
        <v>5.5</v>
      </c>
      <c r="K333" s="1">
        <v>593.29999999999995</v>
      </c>
      <c r="L333" s="1" t="s">
        <v>32</v>
      </c>
      <c r="M333" s="1" t="s">
        <v>106</v>
      </c>
      <c r="N333" s="1" t="s">
        <v>178</v>
      </c>
      <c r="O333" s="1">
        <v>7</v>
      </c>
      <c r="P333" s="1">
        <v>158</v>
      </c>
      <c r="Q333" s="1">
        <v>768.2</v>
      </c>
      <c r="R333" s="8" t="str">
        <f>_xlfn.IFS(J333&gt;=8,"Hit",J333&gt;=6,"Average",J333&lt;6,"Flop")</f>
        <v>Flop</v>
      </c>
      <c r="S333" s="9" t="str">
        <f>_xlfn.IFS(K333&gt;=400,"Blockbuster",K333&gt;=200,"Popular",K333&lt;200,"Normal")</f>
        <v>Blockbuster</v>
      </c>
      <c r="T333" s="10" t="str">
        <f>IF(OR(I333="PG",I333="G"),"Yes","No")</f>
        <v>No</v>
      </c>
      <c r="U333" s="11" t="str">
        <f>IF(P333&gt;=100,"High","Low")</f>
        <v>High</v>
      </c>
      <c r="V333" s="28">
        <f t="shared" si="10"/>
        <v>610.20000000000005</v>
      </c>
      <c r="W333" s="29">
        <f t="shared" si="11"/>
        <v>486.20253164556965</v>
      </c>
    </row>
    <row r="334" spans="1:23" x14ac:dyDescent="0.3">
      <c r="A334" s="1" t="s">
        <v>1063</v>
      </c>
      <c r="B334" s="1" t="s">
        <v>1064</v>
      </c>
      <c r="C334" s="1" t="s">
        <v>18</v>
      </c>
      <c r="D334" s="1" t="s">
        <v>28</v>
      </c>
      <c r="E334" s="1">
        <v>2018</v>
      </c>
      <c r="F334" s="1" t="s">
        <v>48</v>
      </c>
      <c r="G334" s="1" t="s">
        <v>245</v>
      </c>
      <c r="H334" s="1">
        <v>149</v>
      </c>
      <c r="I334" s="1" t="s">
        <v>50</v>
      </c>
      <c r="J334" s="1">
        <v>9.6</v>
      </c>
      <c r="K334" s="1">
        <v>443.5</v>
      </c>
      <c r="L334" s="1" t="s">
        <v>32</v>
      </c>
      <c r="M334" s="1" t="s">
        <v>106</v>
      </c>
      <c r="N334" s="1" t="s">
        <v>34</v>
      </c>
      <c r="O334" s="1"/>
      <c r="P334" s="1">
        <v>124</v>
      </c>
      <c r="Q334" s="1">
        <v>539.6</v>
      </c>
      <c r="R334" s="8" t="str">
        <f>_xlfn.IFS(J334&gt;=8,"Hit",J334&gt;=6,"Average",J334&lt;6,"Flop")</f>
        <v>Hit</v>
      </c>
      <c r="S334" s="9" t="str">
        <f>_xlfn.IFS(K334&gt;=400,"Blockbuster",K334&gt;=200,"Popular",K334&lt;200,"Normal")</f>
        <v>Blockbuster</v>
      </c>
      <c r="T334" s="10" t="str">
        <f>IF(OR(I334="PG",I334="G"),"Yes","No")</f>
        <v>Yes</v>
      </c>
      <c r="U334" s="11" t="str">
        <f>IF(P334&gt;=100,"High","Low")</f>
        <v>High</v>
      </c>
      <c r="V334" s="28">
        <f t="shared" si="10"/>
        <v>415.6</v>
      </c>
      <c r="W334" s="29">
        <f t="shared" si="11"/>
        <v>435.16129032258061</v>
      </c>
    </row>
    <row r="335" spans="1:23" x14ac:dyDescent="0.3">
      <c r="A335" s="1" t="s">
        <v>1065</v>
      </c>
      <c r="B335" s="1" t="s">
        <v>1066</v>
      </c>
      <c r="C335" s="1" t="s">
        <v>46</v>
      </c>
      <c r="D335" s="1" t="s">
        <v>141</v>
      </c>
      <c r="E335" s="1">
        <v>2009</v>
      </c>
      <c r="F335" s="1" t="s">
        <v>83</v>
      </c>
      <c r="G335" s="1" t="s">
        <v>1067</v>
      </c>
      <c r="H335" s="1">
        <v>30</v>
      </c>
      <c r="I335" s="1" t="s">
        <v>50</v>
      </c>
      <c r="J335" s="1">
        <v>4.9000000000000004</v>
      </c>
      <c r="K335" s="1">
        <v>127.4</v>
      </c>
      <c r="L335" s="1" t="s">
        <v>32</v>
      </c>
      <c r="M335" s="1" t="s">
        <v>33</v>
      </c>
      <c r="N335" s="1" t="s">
        <v>79</v>
      </c>
      <c r="O335" s="1">
        <v>5</v>
      </c>
      <c r="P335" s="1">
        <v>116</v>
      </c>
      <c r="Q335" s="1">
        <v>480.1</v>
      </c>
      <c r="R335" s="8" t="str">
        <f>_xlfn.IFS(J335&gt;=8,"Hit",J335&gt;=6,"Average",J335&lt;6,"Flop")</f>
        <v>Flop</v>
      </c>
      <c r="S335" s="9" t="str">
        <f>_xlfn.IFS(K335&gt;=400,"Blockbuster",K335&gt;=200,"Popular",K335&lt;200,"Normal")</f>
        <v>Normal</v>
      </c>
      <c r="T335" s="10" t="str">
        <f>IF(OR(I335="PG",I335="G"),"Yes","No")</f>
        <v>Yes</v>
      </c>
      <c r="U335" s="11" t="str">
        <f>IF(P335&gt;=100,"High","Low")</f>
        <v>High</v>
      </c>
      <c r="V335" s="28">
        <f t="shared" si="10"/>
        <v>364.1</v>
      </c>
      <c r="W335" s="29">
        <f t="shared" si="11"/>
        <v>413.87931034482762</v>
      </c>
    </row>
    <row r="336" spans="1:23" x14ac:dyDescent="0.3">
      <c r="A336" s="1" t="s">
        <v>1068</v>
      </c>
      <c r="B336" s="1" t="s">
        <v>1069</v>
      </c>
      <c r="C336" s="1" t="s">
        <v>46</v>
      </c>
      <c r="D336" s="1" t="s">
        <v>28</v>
      </c>
      <c r="E336" s="1">
        <v>2006</v>
      </c>
      <c r="F336" s="1" t="s">
        <v>76</v>
      </c>
      <c r="G336" s="1" t="s">
        <v>1070</v>
      </c>
      <c r="H336" s="1">
        <v>30</v>
      </c>
      <c r="I336" s="1" t="s">
        <v>31</v>
      </c>
      <c r="J336" s="1">
        <v>7.3</v>
      </c>
      <c r="K336" s="1">
        <v>262</v>
      </c>
      <c r="L336" s="1" t="s">
        <v>23</v>
      </c>
      <c r="M336" s="1" t="s">
        <v>72</v>
      </c>
      <c r="N336" s="1" t="s">
        <v>67</v>
      </c>
      <c r="O336" s="1">
        <v>1</v>
      </c>
      <c r="P336" s="1">
        <v>189</v>
      </c>
      <c r="Q336" s="1">
        <v>377.9</v>
      </c>
      <c r="R336" s="8" t="str">
        <f>_xlfn.IFS(J336&gt;=8,"Hit",J336&gt;=6,"Average",J336&lt;6,"Flop")</f>
        <v>Average</v>
      </c>
      <c r="S336" s="9" t="str">
        <f>_xlfn.IFS(K336&gt;=400,"Blockbuster",K336&gt;=200,"Popular",K336&lt;200,"Normal")</f>
        <v>Popular</v>
      </c>
      <c r="T336" s="10" t="str">
        <f>IF(OR(I336="PG",I336="G"),"Yes","No")</f>
        <v>No</v>
      </c>
      <c r="U336" s="11" t="str">
        <f>IF(P336&gt;=100,"High","Low")</f>
        <v>High</v>
      </c>
      <c r="V336" s="28">
        <f t="shared" si="10"/>
        <v>188.89999999999998</v>
      </c>
      <c r="W336" s="29">
        <f t="shared" si="11"/>
        <v>199.94708994708995</v>
      </c>
    </row>
    <row r="337" spans="1:23" x14ac:dyDescent="0.3">
      <c r="A337" s="1" t="s">
        <v>1071</v>
      </c>
      <c r="B337" s="1" t="s">
        <v>1072</v>
      </c>
      <c r="C337" s="1" t="s">
        <v>46</v>
      </c>
      <c r="D337" s="1" t="s">
        <v>117</v>
      </c>
      <c r="E337" s="1">
        <v>2020</v>
      </c>
      <c r="F337" s="1" t="s">
        <v>20</v>
      </c>
      <c r="G337" s="1" t="s">
        <v>1073</v>
      </c>
      <c r="H337" s="1">
        <v>54</v>
      </c>
      <c r="I337" s="1" t="s">
        <v>40</v>
      </c>
      <c r="J337" s="1">
        <v>8</v>
      </c>
      <c r="K337" s="1">
        <v>243.4</v>
      </c>
      <c r="L337" s="1" t="s">
        <v>23</v>
      </c>
      <c r="M337" s="1" t="s">
        <v>33</v>
      </c>
      <c r="N337" s="1" t="s">
        <v>55</v>
      </c>
      <c r="O337" s="1">
        <v>5</v>
      </c>
      <c r="P337" s="1">
        <v>139</v>
      </c>
      <c r="Q337" s="1">
        <v>285.7</v>
      </c>
      <c r="R337" s="8" t="str">
        <f>_xlfn.IFS(J337&gt;=8,"Hit",J337&gt;=6,"Average",J337&lt;6,"Flop")</f>
        <v>Hit</v>
      </c>
      <c r="S337" s="9" t="str">
        <f>_xlfn.IFS(K337&gt;=400,"Blockbuster",K337&gt;=200,"Popular",K337&lt;200,"Normal")</f>
        <v>Popular</v>
      </c>
      <c r="T337" s="10" t="str">
        <f>IF(OR(I337="PG",I337="G"),"Yes","No")</f>
        <v>Yes</v>
      </c>
      <c r="U337" s="11" t="str">
        <f>IF(P337&gt;=100,"High","Low")</f>
        <v>High</v>
      </c>
      <c r="V337" s="28">
        <f t="shared" si="10"/>
        <v>146.69999999999999</v>
      </c>
      <c r="W337" s="29">
        <f t="shared" si="11"/>
        <v>205.53956834532374</v>
      </c>
    </row>
    <row r="338" spans="1:23" x14ac:dyDescent="0.3">
      <c r="A338" s="1" t="s">
        <v>1074</v>
      </c>
      <c r="B338" s="1" t="s">
        <v>1075</v>
      </c>
      <c r="C338" s="1" t="s">
        <v>46</v>
      </c>
      <c r="D338" s="1" t="s">
        <v>37</v>
      </c>
      <c r="E338" s="1">
        <v>2007</v>
      </c>
      <c r="F338" s="1" t="s">
        <v>29</v>
      </c>
      <c r="G338" s="1" t="s">
        <v>1076</v>
      </c>
      <c r="H338" s="1">
        <v>40</v>
      </c>
      <c r="I338" s="1" t="s">
        <v>40</v>
      </c>
      <c r="J338" s="1">
        <v>8.6</v>
      </c>
      <c r="K338" s="1">
        <v>436.8</v>
      </c>
      <c r="L338" s="1" t="s">
        <v>32</v>
      </c>
      <c r="M338" s="1" t="s">
        <v>157</v>
      </c>
      <c r="N338" s="1" t="s">
        <v>43</v>
      </c>
      <c r="O338" s="1">
        <v>3</v>
      </c>
      <c r="P338" s="1">
        <v>197</v>
      </c>
      <c r="Q338" s="1">
        <v>632.70000000000005</v>
      </c>
      <c r="R338" s="8" t="str">
        <f>_xlfn.IFS(J338&gt;=8,"Hit",J338&gt;=6,"Average",J338&lt;6,"Flop")</f>
        <v>Hit</v>
      </c>
      <c r="S338" s="9" t="str">
        <f>_xlfn.IFS(K338&gt;=400,"Blockbuster",K338&gt;=200,"Popular",K338&lt;200,"Normal")</f>
        <v>Blockbuster</v>
      </c>
      <c r="T338" s="10" t="str">
        <f>IF(OR(I338="PG",I338="G"),"Yes","No")</f>
        <v>Yes</v>
      </c>
      <c r="U338" s="11" t="str">
        <f>IF(P338&gt;=100,"High","Low")</f>
        <v>High</v>
      </c>
      <c r="V338" s="28">
        <f t="shared" si="10"/>
        <v>435.70000000000005</v>
      </c>
      <c r="W338" s="29">
        <f t="shared" si="11"/>
        <v>321.16751269035535</v>
      </c>
    </row>
    <row r="339" spans="1:23" x14ac:dyDescent="0.3">
      <c r="A339" s="1" t="s">
        <v>1077</v>
      </c>
      <c r="B339" s="1" t="s">
        <v>1078</v>
      </c>
      <c r="C339" s="1" t="s">
        <v>46</v>
      </c>
      <c r="D339" s="1" t="s">
        <v>58</v>
      </c>
      <c r="E339" s="1">
        <v>2013</v>
      </c>
      <c r="F339" s="1" t="s">
        <v>20</v>
      </c>
      <c r="G339" s="1" t="s">
        <v>1079</v>
      </c>
      <c r="H339" s="1">
        <v>54</v>
      </c>
      <c r="I339" s="1" t="s">
        <v>50</v>
      </c>
      <c r="J339" s="1">
        <v>6.9</v>
      </c>
      <c r="K339" s="1">
        <v>442.1</v>
      </c>
      <c r="L339" s="1" t="s">
        <v>171</v>
      </c>
      <c r="M339" s="1" t="s">
        <v>54</v>
      </c>
      <c r="N339" s="1" t="s">
        <v>102</v>
      </c>
      <c r="O339" s="1">
        <v>8</v>
      </c>
      <c r="P339" s="1">
        <v>172</v>
      </c>
      <c r="Q339" s="1">
        <v>641.1</v>
      </c>
      <c r="R339" s="8" t="str">
        <f>_xlfn.IFS(J339&gt;=8,"Hit",J339&gt;=6,"Average",J339&lt;6,"Flop")</f>
        <v>Average</v>
      </c>
      <c r="S339" s="9" t="str">
        <f>_xlfn.IFS(K339&gt;=400,"Blockbuster",K339&gt;=200,"Popular",K339&lt;200,"Normal")</f>
        <v>Blockbuster</v>
      </c>
      <c r="T339" s="10" t="str">
        <f>IF(OR(I339="PG",I339="G"),"Yes","No")</f>
        <v>Yes</v>
      </c>
      <c r="U339" s="11" t="str">
        <f>IF(P339&gt;=100,"High","Low")</f>
        <v>High</v>
      </c>
      <c r="V339" s="28">
        <f t="shared" si="10"/>
        <v>469.1</v>
      </c>
      <c r="W339" s="29">
        <f t="shared" si="11"/>
        <v>372.73255813953489</v>
      </c>
    </row>
    <row r="340" spans="1:23" x14ac:dyDescent="0.3">
      <c r="A340" s="1" t="s">
        <v>1080</v>
      </c>
      <c r="B340" s="1" t="s">
        <v>1081</v>
      </c>
      <c r="C340" s="1" t="s">
        <v>18</v>
      </c>
      <c r="D340" s="1" t="s">
        <v>82</v>
      </c>
      <c r="E340" s="1">
        <v>2009</v>
      </c>
      <c r="F340" s="1" t="s">
        <v>122</v>
      </c>
      <c r="G340" s="1" t="s">
        <v>536</v>
      </c>
      <c r="H340" s="1">
        <v>87</v>
      </c>
      <c r="I340" s="1" t="s">
        <v>31</v>
      </c>
      <c r="J340" s="1">
        <v>7.4</v>
      </c>
      <c r="K340" s="1">
        <v>226.7</v>
      </c>
      <c r="L340" s="1" t="s">
        <v>32</v>
      </c>
      <c r="M340" s="1" t="s">
        <v>78</v>
      </c>
      <c r="N340" s="1" t="s">
        <v>91</v>
      </c>
      <c r="O340" s="1"/>
      <c r="P340" s="1">
        <v>117</v>
      </c>
      <c r="Q340" s="1">
        <v>579.4</v>
      </c>
      <c r="R340" s="8" t="str">
        <f>_xlfn.IFS(J340&gt;=8,"Hit",J340&gt;=6,"Average",J340&lt;6,"Flop")</f>
        <v>Average</v>
      </c>
      <c r="S340" s="9" t="str">
        <f>_xlfn.IFS(K340&gt;=400,"Blockbuster",K340&gt;=200,"Popular",K340&lt;200,"Normal")</f>
        <v>Popular</v>
      </c>
      <c r="T340" s="10" t="str">
        <f>IF(OR(I340="PG",I340="G"),"Yes","No")</f>
        <v>No</v>
      </c>
      <c r="U340" s="11" t="str">
        <f>IF(P340&gt;=100,"High","Low")</f>
        <v>High</v>
      </c>
      <c r="V340" s="28">
        <f t="shared" si="10"/>
        <v>462.4</v>
      </c>
      <c r="W340" s="29">
        <f t="shared" si="11"/>
        <v>495.21367521367523</v>
      </c>
    </row>
    <row r="341" spans="1:23" x14ac:dyDescent="0.3">
      <c r="A341" s="1" t="s">
        <v>1082</v>
      </c>
      <c r="B341" s="1" t="s">
        <v>1083</v>
      </c>
      <c r="C341" s="1" t="s">
        <v>46</v>
      </c>
      <c r="D341" s="1" t="s">
        <v>141</v>
      </c>
      <c r="E341" s="1">
        <v>2002</v>
      </c>
      <c r="F341" s="1" t="s">
        <v>20</v>
      </c>
      <c r="G341" s="1" t="s">
        <v>221</v>
      </c>
      <c r="H341" s="1">
        <v>39</v>
      </c>
      <c r="I341" s="1" t="s">
        <v>40</v>
      </c>
      <c r="J341" s="1">
        <v>4.9000000000000004</v>
      </c>
      <c r="K341" s="1">
        <v>489.2</v>
      </c>
      <c r="L341" s="1" t="s">
        <v>41</v>
      </c>
      <c r="M341" s="1" t="s">
        <v>97</v>
      </c>
      <c r="N341" s="1" t="s">
        <v>67</v>
      </c>
      <c r="O341" s="1">
        <v>5</v>
      </c>
      <c r="P341" s="1">
        <v>75</v>
      </c>
      <c r="Q341" s="1">
        <v>252.9</v>
      </c>
      <c r="R341" s="8" t="str">
        <f>_xlfn.IFS(J341&gt;=8,"Hit",J341&gt;=6,"Average",J341&lt;6,"Flop")</f>
        <v>Flop</v>
      </c>
      <c r="S341" s="9" t="str">
        <f>_xlfn.IFS(K341&gt;=400,"Blockbuster",K341&gt;=200,"Popular",K341&lt;200,"Normal")</f>
        <v>Blockbuster</v>
      </c>
      <c r="T341" s="10" t="str">
        <f>IF(OR(I341="PG",I341="G"),"Yes","No")</f>
        <v>Yes</v>
      </c>
      <c r="U341" s="11" t="str">
        <f>IF(P341&gt;=100,"High","Low")</f>
        <v>Low</v>
      </c>
      <c r="V341" s="28">
        <f t="shared" si="10"/>
        <v>177.9</v>
      </c>
      <c r="W341" s="29">
        <f t="shared" si="11"/>
        <v>337.2</v>
      </c>
    </row>
    <row r="342" spans="1:23" x14ac:dyDescent="0.3">
      <c r="A342" s="1" t="s">
        <v>1084</v>
      </c>
      <c r="B342" s="1" t="s">
        <v>1085</v>
      </c>
      <c r="C342" s="1" t="s">
        <v>46</v>
      </c>
      <c r="D342" s="1" t="s">
        <v>82</v>
      </c>
      <c r="E342" s="1">
        <v>2023</v>
      </c>
      <c r="F342" s="1" t="s">
        <v>100</v>
      </c>
      <c r="G342" s="1" t="s">
        <v>1086</v>
      </c>
      <c r="H342" s="1">
        <v>43</v>
      </c>
      <c r="I342" s="1" t="s">
        <v>110</v>
      </c>
      <c r="J342" s="1">
        <v>6.6</v>
      </c>
      <c r="K342" s="1">
        <v>487.2</v>
      </c>
      <c r="L342" s="1" t="s">
        <v>41</v>
      </c>
      <c r="M342" s="1" t="s">
        <v>97</v>
      </c>
      <c r="N342" s="1" t="s">
        <v>67</v>
      </c>
      <c r="O342" s="1">
        <v>7</v>
      </c>
      <c r="P342" s="1">
        <v>40</v>
      </c>
      <c r="Q342" s="1">
        <v>86.1</v>
      </c>
      <c r="R342" s="8" t="str">
        <f>_xlfn.IFS(J342&gt;=8,"Hit",J342&gt;=6,"Average",J342&lt;6,"Flop")</f>
        <v>Average</v>
      </c>
      <c r="S342" s="9" t="str">
        <f>_xlfn.IFS(K342&gt;=400,"Blockbuster",K342&gt;=200,"Popular",K342&lt;200,"Normal")</f>
        <v>Blockbuster</v>
      </c>
      <c r="T342" s="10" t="str">
        <f>IF(OR(I342="PG",I342="G"),"Yes","No")</f>
        <v>No</v>
      </c>
      <c r="U342" s="11" t="str">
        <f>IF(P342&gt;=100,"High","Low")</f>
        <v>Low</v>
      </c>
      <c r="V342" s="28">
        <f t="shared" si="10"/>
        <v>46.099999999999994</v>
      </c>
      <c r="W342" s="29">
        <f t="shared" si="11"/>
        <v>215.25</v>
      </c>
    </row>
    <row r="343" spans="1:23" x14ac:dyDescent="0.3">
      <c r="A343" s="1" t="s">
        <v>1087</v>
      </c>
      <c r="B343" s="1" t="s">
        <v>1088</v>
      </c>
      <c r="C343" s="1" t="s">
        <v>46</v>
      </c>
      <c r="D343" s="1" t="s">
        <v>19</v>
      </c>
      <c r="E343" s="1">
        <v>2022</v>
      </c>
      <c r="F343" s="1" t="s">
        <v>122</v>
      </c>
      <c r="G343" s="1" t="s">
        <v>1089</v>
      </c>
      <c r="H343" s="1">
        <v>33</v>
      </c>
      <c r="I343" s="1" t="s">
        <v>40</v>
      </c>
      <c r="J343" s="1">
        <v>6.3</v>
      </c>
      <c r="K343" s="1">
        <v>43.4</v>
      </c>
      <c r="L343" s="1" t="s">
        <v>41</v>
      </c>
      <c r="M343" s="1" t="s">
        <v>111</v>
      </c>
      <c r="N343" s="1" t="s">
        <v>67</v>
      </c>
      <c r="O343" s="1">
        <v>8</v>
      </c>
      <c r="P343" s="1">
        <v>95</v>
      </c>
      <c r="Q343" s="1">
        <v>202.1</v>
      </c>
      <c r="R343" s="8" t="str">
        <f>_xlfn.IFS(J343&gt;=8,"Hit",J343&gt;=6,"Average",J343&lt;6,"Flop")</f>
        <v>Average</v>
      </c>
      <c r="S343" s="9" t="str">
        <f>_xlfn.IFS(K343&gt;=400,"Blockbuster",K343&gt;=200,"Popular",K343&lt;200,"Normal")</f>
        <v>Normal</v>
      </c>
      <c r="T343" s="10" t="str">
        <f>IF(OR(I343="PG",I343="G"),"Yes","No")</f>
        <v>Yes</v>
      </c>
      <c r="U343" s="11" t="str">
        <f>IF(P343&gt;=100,"High","Low")</f>
        <v>Low</v>
      </c>
      <c r="V343" s="28">
        <f t="shared" si="10"/>
        <v>107.1</v>
      </c>
      <c r="W343" s="29">
        <f t="shared" si="11"/>
        <v>212.73684210526315</v>
      </c>
    </row>
    <row r="344" spans="1:23" x14ac:dyDescent="0.3">
      <c r="A344" s="1" t="s">
        <v>1090</v>
      </c>
      <c r="B344" s="1" t="s">
        <v>1091</v>
      </c>
      <c r="C344" s="1" t="s">
        <v>18</v>
      </c>
      <c r="D344" s="1" t="s">
        <v>75</v>
      </c>
      <c r="E344" s="1">
        <v>2006</v>
      </c>
      <c r="F344" s="1" t="s">
        <v>83</v>
      </c>
      <c r="G344" s="1" t="s">
        <v>1092</v>
      </c>
      <c r="H344" s="1">
        <v>140</v>
      </c>
      <c r="I344" s="1" t="s">
        <v>110</v>
      </c>
      <c r="J344" s="1">
        <v>5.6</v>
      </c>
      <c r="K344" s="1">
        <v>502.6</v>
      </c>
      <c r="L344" s="1" t="s">
        <v>41</v>
      </c>
      <c r="M344" s="1" t="s">
        <v>111</v>
      </c>
      <c r="N344" s="1" t="s">
        <v>102</v>
      </c>
      <c r="O344" s="1"/>
      <c r="P344" s="1">
        <v>119</v>
      </c>
      <c r="Q344" s="1">
        <v>567.20000000000005</v>
      </c>
      <c r="R344" s="8" t="str">
        <f>_xlfn.IFS(J344&gt;=8,"Hit",J344&gt;=6,"Average",J344&lt;6,"Flop")</f>
        <v>Flop</v>
      </c>
      <c r="S344" s="9" t="str">
        <f>_xlfn.IFS(K344&gt;=400,"Blockbuster",K344&gt;=200,"Popular",K344&lt;200,"Normal")</f>
        <v>Blockbuster</v>
      </c>
      <c r="T344" s="10" t="str">
        <f>IF(OR(I344="PG",I344="G"),"Yes","No")</f>
        <v>No</v>
      </c>
      <c r="U344" s="11" t="str">
        <f>IF(P344&gt;=100,"High","Low")</f>
        <v>High</v>
      </c>
      <c r="V344" s="28">
        <f t="shared" si="10"/>
        <v>448.20000000000005</v>
      </c>
      <c r="W344" s="29">
        <f t="shared" si="11"/>
        <v>476.63865546218489</v>
      </c>
    </row>
    <row r="345" spans="1:23" x14ac:dyDescent="0.3">
      <c r="A345" s="1" t="s">
        <v>1093</v>
      </c>
      <c r="B345" s="1" t="s">
        <v>1094</v>
      </c>
      <c r="C345" s="1" t="s">
        <v>46</v>
      </c>
      <c r="D345" s="1" t="s">
        <v>82</v>
      </c>
      <c r="E345" s="1">
        <v>2013</v>
      </c>
      <c r="F345" s="1" t="s">
        <v>122</v>
      </c>
      <c r="G345" s="1" t="s">
        <v>1095</v>
      </c>
      <c r="H345" s="1">
        <v>54</v>
      </c>
      <c r="I345" s="1" t="s">
        <v>40</v>
      </c>
      <c r="J345" s="1">
        <v>8.1</v>
      </c>
      <c r="K345" s="1">
        <v>556</v>
      </c>
      <c r="L345" s="1" t="s">
        <v>171</v>
      </c>
      <c r="M345" s="1" t="s">
        <v>78</v>
      </c>
      <c r="N345" s="1" t="s">
        <v>178</v>
      </c>
      <c r="O345" s="1">
        <v>7</v>
      </c>
      <c r="P345" s="1">
        <v>30</v>
      </c>
      <c r="Q345" s="1">
        <v>161</v>
      </c>
      <c r="R345" s="8" t="str">
        <f>_xlfn.IFS(J345&gt;=8,"Hit",J345&gt;=6,"Average",J345&lt;6,"Flop")</f>
        <v>Hit</v>
      </c>
      <c r="S345" s="9" t="str">
        <f>_xlfn.IFS(K345&gt;=400,"Blockbuster",K345&gt;=200,"Popular",K345&lt;200,"Normal")</f>
        <v>Blockbuster</v>
      </c>
      <c r="T345" s="10" t="str">
        <f>IF(OR(I345="PG",I345="G"),"Yes","No")</f>
        <v>Yes</v>
      </c>
      <c r="U345" s="11" t="str">
        <f>IF(P345&gt;=100,"High","Low")</f>
        <v>Low</v>
      </c>
      <c r="V345" s="28">
        <f t="shared" si="10"/>
        <v>131</v>
      </c>
      <c r="W345" s="29">
        <f t="shared" si="11"/>
        <v>536.66666666666663</v>
      </c>
    </row>
    <row r="346" spans="1:23" x14ac:dyDescent="0.3">
      <c r="A346" s="1" t="s">
        <v>1096</v>
      </c>
      <c r="B346" s="1" t="s">
        <v>1097</v>
      </c>
      <c r="C346" s="1" t="s">
        <v>18</v>
      </c>
      <c r="D346" s="1" t="s">
        <v>117</v>
      </c>
      <c r="E346" s="1">
        <v>2000</v>
      </c>
      <c r="F346" s="1" t="s">
        <v>76</v>
      </c>
      <c r="G346" s="1" t="s">
        <v>1098</v>
      </c>
      <c r="H346" s="1">
        <v>86</v>
      </c>
      <c r="I346" s="1" t="s">
        <v>40</v>
      </c>
      <c r="J346" s="1">
        <v>6.3</v>
      </c>
      <c r="K346" s="1">
        <v>172</v>
      </c>
      <c r="L346" s="1" t="s">
        <v>71</v>
      </c>
      <c r="M346" s="1" t="s">
        <v>146</v>
      </c>
      <c r="N346" s="1" t="s">
        <v>178</v>
      </c>
      <c r="O346" s="1"/>
      <c r="P346" s="1">
        <v>35</v>
      </c>
      <c r="Q346" s="1">
        <v>93.1</v>
      </c>
      <c r="R346" s="8" t="str">
        <f>_xlfn.IFS(J346&gt;=8,"Hit",J346&gt;=6,"Average",J346&lt;6,"Flop")</f>
        <v>Average</v>
      </c>
      <c r="S346" s="9" t="str">
        <f>_xlfn.IFS(K346&gt;=400,"Blockbuster",K346&gt;=200,"Popular",K346&lt;200,"Normal")</f>
        <v>Normal</v>
      </c>
      <c r="T346" s="10" t="str">
        <f>IF(OR(I346="PG",I346="G"),"Yes","No")</f>
        <v>Yes</v>
      </c>
      <c r="U346" s="11" t="str">
        <f>IF(P346&gt;=100,"High","Low")</f>
        <v>Low</v>
      </c>
      <c r="V346" s="28">
        <f t="shared" si="10"/>
        <v>58.099999999999994</v>
      </c>
      <c r="W346" s="29">
        <f t="shared" si="11"/>
        <v>265.99999999999994</v>
      </c>
    </row>
    <row r="347" spans="1:23" x14ac:dyDescent="0.3">
      <c r="A347" s="1" t="s">
        <v>1099</v>
      </c>
      <c r="B347" s="1" t="s">
        <v>1100</v>
      </c>
      <c r="C347" s="1" t="s">
        <v>18</v>
      </c>
      <c r="D347" s="1" t="s">
        <v>75</v>
      </c>
      <c r="E347" s="1">
        <v>2018</v>
      </c>
      <c r="F347" s="1" t="s">
        <v>48</v>
      </c>
      <c r="G347" s="1" t="s">
        <v>1101</v>
      </c>
      <c r="H347" s="1">
        <v>140</v>
      </c>
      <c r="I347" s="1" t="s">
        <v>50</v>
      </c>
      <c r="J347" s="1">
        <v>5.3</v>
      </c>
      <c r="K347" s="1">
        <v>80.5</v>
      </c>
      <c r="L347" s="1" t="s">
        <v>65</v>
      </c>
      <c r="M347" s="1" t="s">
        <v>124</v>
      </c>
      <c r="N347" s="1" t="s">
        <v>67</v>
      </c>
      <c r="O347" s="1"/>
      <c r="P347" s="1">
        <v>196</v>
      </c>
      <c r="Q347" s="1">
        <v>655.8</v>
      </c>
      <c r="R347" s="8" t="str">
        <f>_xlfn.IFS(J347&gt;=8,"Hit",J347&gt;=6,"Average",J347&lt;6,"Flop")</f>
        <v>Flop</v>
      </c>
      <c r="S347" s="9" t="str">
        <f>_xlfn.IFS(K347&gt;=400,"Blockbuster",K347&gt;=200,"Popular",K347&lt;200,"Normal")</f>
        <v>Normal</v>
      </c>
      <c r="T347" s="10" t="str">
        <f>IF(OR(I347="PG",I347="G"),"Yes","No")</f>
        <v>Yes</v>
      </c>
      <c r="U347" s="11" t="str">
        <f>IF(P347&gt;=100,"High","Low")</f>
        <v>High</v>
      </c>
      <c r="V347" s="28">
        <f t="shared" si="10"/>
        <v>459.79999999999995</v>
      </c>
      <c r="W347" s="29">
        <f t="shared" si="11"/>
        <v>334.59183673469386</v>
      </c>
    </row>
    <row r="348" spans="1:23" x14ac:dyDescent="0.3">
      <c r="A348" s="1" t="s">
        <v>1102</v>
      </c>
      <c r="B348" s="1" t="s">
        <v>1103</v>
      </c>
      <c r="C348" s="1" t="s">
        <v>46</v>
      </c>
      <c r="D348" s="1" t="s">
        <v>47</v>
      </c>
      <c r="E348" s="1">
        <v>2018</v>
      </c>
      <c r="F348" s="1" t="s">
        <v>48</v>
      </c>
      <c r="G348" s="1" t="s">
        <v>1104</v>
      </c>
      <c r="H348" s="1">
        <v>54</v>
      </c>
      <c r="I348" s="1" t="s">
        <v>31</v>
      </c>
      <c r="J348" s="1">
        <v>6.2</v>
      </c>
      <c r="K348" s="1">
        <v>75</v>
      </c>
      <c r="L348" s="1" t="s">
        <v>171</v>
      </c>
      <c r="M348" s="1" t="s">
        <v>132</v>
      </c>
      <c r="N348" s="1" t="s">
        <v>91</v>
      </c>
      <c r="O348" s="1">
        <v>7</v>
      </c>
      <c r="P348" s="1">
        <v>195</v>
      </c>
      <c r="Q348" s="1">
        <v>1048.5</v>
      </c>
      <c r="R348" s="8" t="str">
        <f>_xlfn.IFS(J348&gt;=8,"Hit",J348&gt;=6,"Average",J348&lt;6,"Flop")</f>
        <v>Average</v>
      </c>
      <c r="S348" s="9" t="str">
        <f>_xlfn.IFS(K348&gt;=400,"Blockbuster",K348&gt;=200,"Popular",K348&lt;200,"Normal")</f>
        <v>Normal</v>
      </c>
      <c r="T348" s="10" t="str">
        <f>IF(OR(I348="PG",I348="G"),"Yes","No")</f>
        <v>No</v>
      </c>
      <c r="U348" s="11" t="str">
        <f>IF(P348&gt;=100,"High","Low")</f>
        <v>High</v>
      </c>
      <c r="V348" s="28">
        <f t="shared" si="10"/>
        <v>853.5</v>
      </c>
      <c r="W348" s="29">
        <f t="shared" si="11"/>
        <v>537.69230769230774</v>
      </c>
    </row>
    <row r="349" spans="1:23" x14ac:dyDescent="0.3">
      <c r="A349" s="1" t="s">
        <v>1105</v>
      </c>
      <c r="B349" s="1" t="s">
        <v>1106</v>
      </c>
      <c r="C349" s="1" t="s">
        <v>18</v>
      </c>
      <c r="D349" s="1" t="s">
        <v>94</v>
      </c>
      <c r="E349" s="1">
        <v>2025</v>
      </c>
      <c r="F349" s="1" t="s">
        <v>83</v>
      </c>
      <c r="G349" s="1" t="s">
        <v>1107</v>
      </c>
      <c r="H349" s="1">
        <v>85</v>
      </c>
      <c r="I349" s="1" t="s">
        <v>40</v>
      </c>
      <c r="J349" s="1">
        <v>8.1</v>
      </c>
      <c r="K349" s="1">
        <v>198.8</v>
      </c>
      <c r="L349" s="1" t="s">
        <v>23</v>
      </c>
      <c r="M349" s="1" t="s">
        <v>124</v>
      </c>
      <c r="N349" s="1" t="s">
        <v>91</v>
      </c>
      <c r="O349" s="1"/>
      <c r="P349" s="1">
        <v>73</v>
      </c>
      <c r="Q349" s="1">
        <v>223.8</v>
      </c>
      <c r="R349" s="8" t="str">
        <f>_xlfn.IFS(J349&gt;=8,"Hit",J349&gt;=6,"Average",J349&lt;6,"Flop")</f>
        <v>Hit</v>
      </c>
      <c r="S349" s="9" t="str">
        <f>_xlfn.IFS(K349&gt;=400,"Blockbuster",K349&gt;=200,"Popular",K349&lt;200,"Normal")</f>
        <v>Normal</v>
      </c>
      <c r="T349" s="10" t="str">
        <f>IF(OR(I349="PG",I349="G"),"Yes","No")</f>
        <v>Yes</v>
      </c>
      <c r="U349" s="11" t="str">
        <f>IF(P349&gt;=100,"High","Low")</f>
        <v>Low</v>
      </c>
      <c r="V349" s="28">
        <f t="shared" si="10"/>
        <v>150.80000000000001</v>
      </c>
      <c r="W349" s="29">
        <f t="shared" si="11"/>
        <v>306.57534246575347</v>
      </c>
    </row>
    <row r="350" spans="1:23" x14ac:dyDescent="0.3">
      <c r="A350" s="1" t="s">
        <v>1108</v>
      </c>
      <c r="B350" s="1" t="s">
        <v>1109</v>
      </c>
      <c r="C350" s="1" t="s">
        <v>18</v>
      </c>
      <c r="D350" s="1" t="s">
        <v>58</v>
      </c>
      <c r="E350" s="1">
        <v>2003</v>
      </c>
      <c r="F350" s="1" t="s">
        <v>95</v>
      </c>
      <c r="G350" s="1" t="s">
        <v>1110</v>
      </c>
      <c r="H350" s="1">
        <v>125</v>
      </c>
      <c r="I350" s="1" t="s">
        <v>40</v>
      </c>
      <c r="J350" s="1">
        <v>7.8</v>
      </c>
      <c r="K350" s="1">
        <v>71.900000000000006</v>
      </c>
      <c r="L350" s="1" t="s">
        <v>23</v>
      </c>
      <c r="M350" s="1" t="s">
        <v>157</v>
      </c>
      <c r="N350" s="1" t="s">
        <v>153</v>
      </c>
      <c r="O350" s="1"/>
      <c r="P350" s="1">
        <v>34</v>
      </c>
      <c r="Q350" s="1">
        <v>179.4</v>
      </c>
      <c r="R350" s="8" t="str">
        <f>_xlfn.IFS(J350&gt;=8,"Hit",J350&gt;=6,"Average",J350&lt;6,"Flop")</f>
        <v>Average</v>
      </c>
      <c r="S350" s="9" t="str">
        <f>_xlfn.IFS(K350&gt;=400,"Blockbuster",K350&gt;=200,"Popular",K350&lt;200,"Normal")</f>
        <v>Normal</v>
      </c>
      <c r="T350" s="10" t="str">
        <f>IF(OR(I350="PG",I350="G"),"Yes","No")</f>
        <v>Yes</v>
      </c>
      <c r="U350" s="11" t="str">
        <f>IF(P350&gt;=100,"High","Low")</f>
        <v>Low</v>
      </c>
      <c r="V350" s="28">
        <f t="shared" si="10"/>
        <v>145.4</v>
      </c>
      <c r="W350" s="29">
        <f t="shared" si="11"/>
        <v>527.64705882352939</v>
      </c>
    </row>
    <row r="351" spans="1:23" x14ac:dyDescent="0.3">
      <c r="A351" s="1" t="s">
        <v>1111</v>
      </c>
      <c r="B351" s="1" t="s">
        <v>1112</v>
      </c>
      <c r="C351" s="1" t="s">
        <v>46</v>
      </c>
      <c r="D351" s="1" t="s">
        <v>94</v>
      </c>
      <c r="E351" s="1">
        <v>2013</v>
      </c>
      <c r="F351" s="1" t="s">
        <v>83</v>
      </c>
      <c r="G351" s="1" t="s">
        <v>1113</v>
      </c>
      <c r="H351" s="1">
        <v>30</v>
      </c>
      <c r="I351" s="1" t="s">
        <v>50</v>
      </c>
      <c r="J351" s="1">
        <v>8.5</v>
      </c>
      <c r="K351" s="1">
        <v>175.2</v>
      </c>
      <c r="L351" s="1" t="s">
        <v>171</v>
      </c>
      <c r="M351" s="1" t="s">
        <v>72</v>
      </c>
      <c r="N351" s="1" t="s">
        <v>55</v>
      </c>
      <c r="O351" s="1">
        <v>7</v>
      </c>
      <c r="P351" s="1">
        <v>182</v>
      </c>
      <c r="Q351" s="1">
        <v>924.6</v>
      </c>
      <c r="R351" s="8" t="str">
        <f>_xlfn.IFS(J351&gt;=8,"Hit",J351&gt;=6,"Average",J351&lt;6,"Flop")</f>
        <v>Hit</v>
      </c>
      <c r="S351" s="9" t="str">
        <f>_xlfn.IFS(K351&gt;=400,"Blockbuster",K351&gt;=200,"Popular",K351&lt;200,"Normal")</f>
        <v>Normal</v>
      </c>
      <c r="T351" s="10" t="str">
        <f>IF(OR(I351="PG",I351="G"),"Yes","No")</f>
        <v>Yes</v>
      </c>
      <c r="U351" s="11" t="str">
        <f>IF(P351&gt;=100,"High","Low")</f>
        <v>High</v>
      </c>
      <c r="V351" s="28">
        <f t="shared" si="10"/>
        <v>742.6</v>
      </c>
      <c r="W351" s="29">
        <f t="shared" si="11"/>
        <v>508.02197802197799</v>
      </c>
    </row>
    <row r="352" spans="1:23" x14ac:dyDescent="0.3">
      <c r="A352" s="1" t="s">
        <v>1114</v>
      </c>
      <c r="B352" s="1" t="s">
        <v>1115</v>
      </c>
      <c r="C352" s="1" t="s">
        <v>46</v>
      </c>
      <c r="D352" s="1" t="s">
        <v>47</v>
      </c>
      <c r="E352" s="1">
        <v>2011</v>
      </c>
      <c r="F352" s="1" t="s">
        <v>48</v>
      </c>
      <c r="G352" s="1" t="s">
        <v>1116</v>
      </c>
      <c r="H352" s="1">
        <v>34</v>
      </c>
      <c r="I352" s="1" t="s">
        <v>110</v>
      </c>
      <c r="J352" s="1">
        <v>6.4</v>
      </c>
      <c r="K352" s="1">
        <v>375.9</v>
      </c>
      <c r="L352" s="1" t="s">
        <v>23</v>
      </c>
      <c r="M352" s="1" t="s">
        <v>97</v>
      </c>
      <c r="N352" s="1" t="s">
        <v>158</v>
      </c>
      <c r="O352" s="1">
        <v>2</v>
      </c>
      <c r="P352" s="1">
        <v>158</v>
      </c>
      <c r="Q352" s="1">
        <v>967.4</v>
      </c>
      <c r="R352" s="8" t="str">
        <f>_xlfn.IFS(J352&gt;=8,"Hit",J352&gt;=6,"Average",J352&lt;6,"Flop")</f>
        <v>Average</v>
      </c>
      <c r="S352" s="9" t="str">
        <f>_xlfn.IFS(K352&gt;=400,"Blockbuster",K352&gt;=200,"Popular",K352&lt;200,"Normal")</f>
        <v>Popular</v>
      </c>
      <c r="T352" s="10" t="str">
        <f>IF(OR(I352="PG",I352="G"),"Yes","No")</f>
        <v>No</v>
      </c>
      <c r="U352" s="11" t="str">
        <f>IF(P352&gt;=100,"High","Low")</f>
        <v>High</v>
      </c>
      <c r="V352" s="28">
        <f t="shared" si="10"/>
        <v>809.4</v>
      </c>
      <c r="W352" s="29">
        <f t="shared" si="11"/>
        <v>612.27848101265818</v>
      </c>
    </row>
    <row r="353" spans="1:23" x14ac:dyDescent="0.3">
      <c r="A353" s="1" t="s">
        <v>1117</v>
      </c>
      <c r="B353" s="1" t="s">
        <v>1118</v>
      </c>
      <c r="C353" s="1" t="s">
        <v>18</v>
      </c>
      <c r="D353" s="1" t="s">
        <v>63</v>
      </c>
      <c r="E353" s="1">
        <v>2001</v>
      </c>
      <c r="F353" s="1" t="s">
        <v>20</v>
      </c>
      <c r="G353" s="1" t="s">
        <v>1119</v>
      </c>
      <c r="H353" s="1">
        <v>135</v>
      </c>
      <c r="I353" s="1" t="s">
        <v>110</v>
      </c>
      <c r="J353" s="1">
        <v>5.3</v>
      </c>
      <c r="K353" s="1">
        <v>433</v>
      </c>
      <c r="L353" s="1" t="s">
        <v>23</v>
      </c>
      <c r="M353" s="1" t="s">
        <v>97</v>
      </c>
      <c r="N353" s="1" t="s">
        <v>128</v>
      </c>
      <c r="O353" s="1"/>
      <c r="P353" s="1">
        <v>76</v>
      </c>
      <c r="Q353" s="1">
        <v>447.8</v>
      </c>
      <c r="R353" s="8" t="str">
        <f>_xlfn.IFS(J353&gt;=8,"Hit",J353&gt;=6,"Average",J353&lt;6,"Flop")</f>
        <v>Flop</v>
      </c>
      <c r="S353" s="9" t="str">
        <f>_xlfn.IFS(K353&gt;=400,"Blockbuster",K353&gt;=200,"Popular",K353&lt;200,"Normal")</f>
        <v>Blockbuster</v>
      </c>
      <c r="T353" s="10" t="str">
        <f>IF(OR(I353="PG",I353="G"),"Yes","No")</f>
        <v>No</v>
      </c>
      <c r="U353" s="11" t="str">
        <f>IF(P353&gt;=100,"High","Low")</f>
        <v>Low</v>
      </c>
      <c r="V353" s="28">
        <f t="shared" si="10"/>
        <v>371.8</v>
      </c>
      <c r="W353" s="29">
        <f t="shared" si="11"/>
        <v>589.21052631578948</v>
      </c>
    </row>
    <row r="354" spans="1:23" x14ac:dyDescent="0.3">
      <c r="A354" s="1" t="s">
        <v>1120</v>
      </c>
      <c r="B354" s="1" t="s">
        <v>1121</v>
      </c>
      <c r="C354" s="1" t="s">
        <v>46</v>
      </c>
      <c r="D354" s="1" t="s">
        <v>58</v>
      </c>
      <c r="E354" s="1">
        <v>2008</v>
      </c>
      <c r="F354" s="1" t="s">
        <v>181</v>
      </c>
      <c r="G354" s="1" t="s">
        <v>248</v>
      </c>
      <c r="H354" s="1">
        <v>55</v>
      </c>
      <c r="I354" s="1" t="s">
        <v>40</v>
      </c>
      <c r="J354" s="1">
        <v>7.3</v>
      </c>
      <c r="K354" s="1">
        <v>282.5</v>
      </c>
      <c r="L354" s="1" t="s">
        <v>41</v>
      </c>
      <c r="M354" s="1" t="s">
        <v>146</v>
      </c>
      <c r="N354" s="1" t="s">
        <v>43</v>
      </c>
      <c r="O354" s="1">
        <v>8</v>
      </c>
      <c r="P354" s="1">
        <v>47</v>
      </c>
      <c r="Q354" s="1">
        <v>224.5</v>
      </c>
      <c r="R354" s="8" t="str">
        <f>_xlfn.IFS(J354&gt;=8,"Hit",J354&gt;=6,"Average",J354&lt;6,"Flop")</f>
        <v>Average</v>
      </c>
      <c r="S354" s="9" t="str">
        <f>_xlfn.IFS(K354&gt;=400,"Blockbuster",K354&gt;=200,"Popular",K354&lt;200,"Normal")</f>
        <v>Popular</v>
      </c>
      <c r="T354" s="10" t="str">
        <f>IF(OR(I354="PG",I354="G"),"Yes","No")</f>
        <v>Yes</v>
      </c>
      <c r="U354" s="11" t="str">
        <f>IF(P354&gt;=100,"High","Low")</f>
        <v>Low</v>
      </c>
      <c r="V354" s="28">
        <f t="shared" si="10"/>
        <v>177.5</v>
      </c>
      <c r="W354" s="29">
        <f t="shared" si="11"/>
        <v>477.65957446808505</v>
      </c>
    </row>
    <row r="355" spans="1:23" x14ac:dyDescent="0.3">
      <c r="A355" s="1" t="s">
        <v>1122</v>
      </c>
      <c r="B355" s="1" t="s">
        <v>1123</v>
      </c>
      <c r="C355" s="1" t="s">
        <v>18</v>
      </c>
      <c r="D355" s="1" t="s">
        <v>37</v>
      </c>
      <c r="E355" s="1">
        <v>2009</v>
      </c>
      <c r="F355" s="1" t="s">
        <v>38</v>
      </c>
      <c r="G355" s="1" t="s">
        <v>1124</v>
      </c>
      <c r="H355" s="1">
        <v>112</v>
      </c>
      <c r="I355" s="1" t="s">
        <v>31</v>
      </c>
      <c r="J355" s="1">
        <v>7.8</v>
      </c>
      <c r="K355" s="1">
        <v>82.7</v>
      </c>
      <c r="L355" s="1" t="s">
        <v>90</v>
      </c>
      <c r="M355" s="1" t="s">
        <v>54</v>
      </c>
      <c r="N355" s="1" t="s">
        <v>43</v>
      </c>
      <c r="O355" s="1"/>
      <c r="P355" s="1">
        <v>137</v>
      </c>
      <c r="Q355" s="1">
        <v>509.3</v>
      </c>
      <c r="R355" s="8" t="str">
        <f>_xlfn.IFS(J355&gt;=8,"Hit",J355&gt;=6,"Average",J355&lt;6,"Flop")</f>
        <v>Average</v>
      </c>
      <c r="S355" s="9" t="str">
        <f>_xlfn.IFS(K355&gt;=400,"Blockbuster",K355&gt;=200,"Popular",K355&lt;200,"Normal")</f>
        <v>Normal</v>
      </c>
      <c r="T355" s="10" t="str">
        <f>IF(OR(I355="PG",I355="G"),"Yes","No")</f>
        <v>No</v>
      </c>
      <c r="U355" s="11" t="str">
        <f>IF(P355&gt;=100,"High","Low")</f>
        <v>High</v>
      </c>
      <c r="V355" s="28">
        <f t="shared" si="10"/>
        <v>372.3</v>
      </c>
      <c r="W355" s="29">
        <f t="shared" si="11"/>
        <v>371.7518248175183</v>
      </c>
    </row>
    <row r="356" spans="1:23" x14ac:dyDescent="0.3">
      <c r="A356" s="1" t="s">
        <v>1125</v>
      </c>
      <c r="B356" s="1" t="s">
        <v>1126</v>
      </c>
      <c r="C356" s="1" t="s">
        <v>46</v>
      </c>
      <c r="D356" s="1" t="s">
        <v>141</v>
      </c>
      <c r="E356" s="1">
        <v>2011</v>
      </c>
      <c r="F356" s="1" t="s">
        <v>76</v>
      </c>
      <c r="G356" s="1" t="s">
        <v>1127</v>
      </c>
      <c r="H356" s="1">
        <v>38</v>
      </c>
      <c r="I356" s="1" t="s">
        <v>31</v>
      </c>
      <c r="J356" s="1">
        <v>9.3000000000000007</v>
      </c>
      <c r="K356" s="1">
        <v>356.2</v>
      </c>
      <c r="L356" s="1" t="s">
        <v>71</v>
      </c>
      <c r="M356" s="1" t="s">
        <v>157</v>
      </c>
      <c r="N356" s="1" t="s">
        <v>25</v>
      </c>
      <c r="O356" s="1">
        <v>6</v>
      </c>
      <c r="P356" s="1">
        <v>43</v>
      </c>
      <c r="Q356" s="1">
        <v>274.3</v>
      </c>
      <c r="R356" s="8" t="str">
        <f>_xlfn.IFS(J356&gt;=8,"Hit",J356&gt;=6,"Average",J356&lt;6,"Flop")</f>
        <v>Hit</v>
      </c>
      <c r="S356" s="9" t="str">
        <f>_xlfn.IFS(K356&gt;=400,"Blockbuster",K356&gt;=200,"Popular",K356&lt;200,"Normal")</f>
        <v>Popular</v>
      </c>
      <c r="T356" s="10" t="str">
        <f>IF(OR(I356="PG",I356="G"),"Yes","No")</f>
        <v>No</v>
      </c>
      <c r="U356" s="11" t="str">
        <f>IF(P356&gt;=100,"High","Low")</f>
        <v>Low</v>
      </c>
      <c r="V356" s="28">
        <f t="shared" si="10"/>
        <v>231.3</v>
      </c>
      <c r="W356" s="29">
        <f t="shared" si="11"/>
        <v>637.90697674418607</v>
      </c>
    </row>
    <row r="357" spans="1:23" x14ac:dyDescent="0.3">
      <c r="A357" s="1" t="s">
        <v>1128</v>
      </c>
      <c r="B357" s="1" t="s">
        <v>1129</v>
      </c>
      <c r="C357" s="1" t="s">
        <v>18</v>
      </c>
      <c r="D357" s="1" t="s">
        <v>37</v>
      </c>
      <c r="E357" s="1">
        <v>2006</v>
      </c>
      <c r="F357" s="1" t="s">
        <v>76</v>
      </c>
      <c r="G357" s="1" t="s">
        <v>1130</v>
      </c>
      <c r="H357" s="1">
        <v>146</v>
      </c>
      <c r="I357" s="1" t="s">
        <v>110</v>
      </c>
      <c r="J357" s="1">
        <v>6.9</v>
      </c>
      <c r="K357" s="1">
        <v>273.60000000000002</v>
      </c>
      <c r="L357" s="1" t="s">
        <v>71</v>
      </c>
      <c r="M357" s="1" t="s">
        <v>78</v>
      </c>
      <c r="N357" s="1" t="s">
        <v>25</v>
      </c>
      <c r="O357" s="1"/>
      <c r="P357" s="1">
        <v>156</v>
      </c>
      <c r="Q357" s="1">
        <v>1000.8</v>
      </c>
      <c r="R357" s="8" t="str">
        <f>_xlfn.IFS(J357&gt;=8,"Hit",J357&gt;=6,"Average",J357&lt;6,"Flop")</f>
        <v>Average</v>
      </c>
      <c r="S357" s="9" t="str">
        <f>_xlfn.IFS(K357&gt;=400,"Blockbuster",K357&gt;=200,"Popular",K357&lt;200,"Normal")</f>
        <v>Popular</v>
      </c>
      <c r="T357" s="10" t="str">
        <f>IF(OR(I357="PG",I357="G"),"Yes","No")</f>
        <v>No</v>
      </c>
      <c r="U357" s="11" t="str">
        <f>IF(P357&gt;=100,"High","Low")</f>
        <v>High</v>
      </c>
      <c r="V357" s="28">
        <f t="shared" si="10"/>
        <v>844.8</v>
      </c>
      <c r="W357" s="29">
        <f t="shared" si="11"/>
        <v>641.53846153846143</v>
      </c>
    </row>
    <row r="358" spans="1:23" x14ac:dyDescent="0.3">
      <c r="A358" s="1" t="s">
        <v>1131</v>
      </c>
      <c r="B358" s="1" t="s">
        <v>1132</v>
      </c>
      <c r="C358" s="1" t="s">
        <v>18</v>
      </c>
      <c r="D358" s="1" t="s">
        <v>141</v>
      </c>
      <c r="E358" s="1">
        <v>2021</v>
      </c>
      <c r="F358" s="1" t="s">
        <v>20</v>
      </c>
      <c r="G358" s="1" t="s">
        <v>1098</v>
      </c>
      <c r="H358" s="1">
        <v>86</v>
      </c>
      <c r="I358" s="1" t="s">
        <v>40</v>
      </c>
      <c r="J358" s="1">
        <v>7.8</v>
      </c>
      <c r="K358" s="1">
        <v>290.2</v>
      </c>
      <c r="L358" s="1" t="s">
        <v>41</v>
      </c>
      <c r="M358" s="1" t="s">
        <v>66</v>
      </c>
      <c r="N358" s="1" t="s">
        <v>86</v>
      </c>
      <c r="O358" s="1"/>
      <c r="P358" s="1">
        <v>175</v>
      </c>
      <c r="Q358" s="1">
        <v>1127.8</v>
      </c>
      <c r="R358" s="8" t="str">
        <f>_xlfn.IFS(J358&gt;=8,"Hit",J358&gt;=6,"Average",J358&lt;6,"Flop")</f>
        <v>Average</v>
      </c>
      <c r="S358" s="9" t="str">
        <f>_xlfn.IFS(K358&gt;=400,"Blockbuster",K358&gt;=200,"Popular",K358&lt;200,"Normal")</f>
        <v>Popular</v>
      </c>
      <c r="T358" s="10" t="str">
        <f>IF(OR(I358="PG",I358="G"),"Yes","No")</f>
        <v>Yes</v>
      </c>
      <c r="U358" s="11" t="str">
        <f>IF(P358&gt;=100,"High","Low")</f>
        <v>High</v>
      </c>
      <c r="V358" s="28">
        <f t="shared" si="10"/>
        <v>952.8</v>
      </c>
      <c r="W358" s="29">
        <f t="shared" si="11"/>
        <v>644.4571428571428</v>
      </c>
    </row>
    <row r="359" spans="1:23" x14ac:dyDescent="0.3">
      <c r="A359" s="1" t="s">
        <v>1133</v>
      </c>
      <c r="B359" s="1" t="s">
        <v>1134</v>
      </c>
      <c r="C359" s="1" t="s">
        <v>46</v>
      </c>
      <c r="D359" s="1" t="s">
        <v>82</v>
      </c>
      <c r="E359" s="1">
        <v>2025</v>
      </c>
      <c r="F359" s="1" t="s">
        <v>48</v>
      </c>
      <c r="G359" s="1" t="s">
        <v>1135</v>
      </c>
      <c r="H359" s="1">
        <v>44</v>
      </c>
      <c r="I359" s="1" t="s">
        <v>40</v>
      </c>
      <c r="J359" s="1">
        <v>8.6</v>
      </c>
      <c r="K359" s="1">
        <v>366.5</v>
      </c>
      <c r="L359" s="1" t="s">
        <v>171</v>
      </c>
      <c r="M359" s="1" t="s">
        <v>78</v>
      </c>
      <c r="N359" s="1" t="s">
        <v>34</v>
      </c>
      <c r="O359" s="1">
        <v>5</v>
      </c>
      <c r="P359" s="1">
        <v>193</v>
      </c>
      <c r="Q359" s="1">
        <v>505.1</v>
      </c>
      <c r="R359" s="8" t="str">
        <f>_xlfn.IFS(J359&gt;=8,"Hit",J359&gt;=6,"Average",J359&lt;6,"Flop")</f>
        <v>Hit</v>
      </c>
      <c r="S359" s="9" t="str">
        <f>_xlfn.IFS(K359&gt;=400,"Blockbuster",K359&gt;=200,"Popular",K359&lt;200,"Normal")</f>
        <v>Popular</v>
      </c>
      <c r="T359" s="10" t="str">
        <f>IF(OR(I359="PG",I359="G"),"Yes","No")</f>
        <v>Yes</v>
      </c>
      <c r="U359" s="11" t="str">
        <f>IF(P359&gt;=100,"High","Low")</f>
        <v>High</v>
      </c>
      <c r="V359" s="28">
        <f t="shared" si="10"/>
        <v>312.10000000000002</v>
      </c>
      <c r="W359" s="29">
        <f t="shared" si="11"/>
        <v>261.70984455958552</v>
      </c>
    </row>
    <row r="360" spans="1:23" x14ac:dyDescent="0.3">
      <c r="A360" s="1" t="s">
        <v>1136</v>
      </c>
      <c r="B360" s="1" t="s">
        <v>1137</v>
      </c>
      <c r="C360" s="1" t="s">
        <v>46</v>
      </c>
      <c r="D360" s="1" t="s">
        <v>94</v>
      </c>
      <c r="E360" s="1">
        <v>2023</v>
      </c>
      <c r="F360" s="1" t="s">
        <v>83</v>
      </c>
      <c r="G360" s="1" t="s">
        <v>1138</v>
      </c>
      <c r="H360" s="1">
        <v>46</v>
      </c>
      <c r="I360" s="1" t="s">
        <v>50</v>
      </c>
      <c r="J360" s="1">
        <v>6.5</v>
      </c>
      <c r="K360" s="1">
        <v>493.9</v>
      </c>
      <c r="L360" s="1" t="s">
        <v>32</v>
      </c>
      <c r="M360" s="1" t="s">
        <v>42</v>
      </c>
      <c r="N360" s="1" t="s">
        <v>119</v>
      </c>
      <c r="O360" s="1">
        <v>3</v>
      </c>
      <c r="P360" s="1">
        <v>69</v>
      </c>
      <c r="Q360" s="1">
        <v>161.6</v>
      </c>
      <c r="R360" s="8" t="str">
        <f>_xlfn.IFS(J360&gt;=8,"Hit",J360&gt;=6,"Average",J360&lt;6,"Flop")</f>
        <v>Average</v>
      </c>
      <c r="S360" s="9" t="str">
        <f>_xlfn.IFS(K360&gt;=400,"Blockbuster",K360&gt;=200,"Popular",K360&lt;200,"Normal")</f>
        <v>Blockbuster</v>
      </c>
      <c r="T360" s="10" t="str">
        <f>IF(OR(I360="PG",I360="G"),"Yes","No")</f>
        <v>Yes</v>
      </c>
      <c r="U360" s="11" t="str">
        <f>IF(P360&gt;=100,"High","Low")</f>
        <v>Low</v>
      </c>
      <c r="V360" s="28">
        <f t="shared" si="10"/>
        <v>92.6</v>
      </c>
      <c r="W360" s="29">
        <f t="shared" si="11"/>
        <v>234.20289855072465</v>
      </c>
    </row>
    <row r="361" spans="1:23" x14ac:dyDescent="0.3">
      <c r="A361" s="1" t="s">
        <v>1139</v>
      </c>
      <c r="B361" s="1" t="s">
        <v>1140</v>
      </c>
      <c r="C361" s="1" t="s">
        <v>18</v>
      </c>
      <c r="D361" s="1" t="s">
        <v>37</v>
      </c>
      <c r="E361" s="1">
        <v>2006</v>
      </c>
      <c r="F361" s="1" t="s">
        <v>95</v>
      </c>
      <c r="G361" s="1" t="s">
        <v>1141</v>
      </c>
      <c r="H361" s="1">
        <v>131</v>
      </c>
      <c r="I361" s="1" t="s">
        <v>110</v>
      </c>
      <c r="J361" s="1">
        <v>9.5</v>
      </c>
      <c r="K361" s="1">
        <v>296.7</v>
      </c>
      <c r="L361" s="1" t="s">
        <v>65</v>
      </c>
      <c r="M361" s="1" t="s">
        <v>54</v>
      </c>
      <c r="N361" s="1" t="s">
        <v>34</v>
      </c>
      <c r="O361" s="1"/>
      <c r="P361" s="1">
        <v>147</v>
      </c>
      <c r="Q361" s="1">
        <v>437</v>
      </c>
      <c r="R361" s="8" t="str">
        <f>_xlfn.IFS(J361&gt;=8,"Hit",J361&gt;=6,"Average",J361&lt;6,"Flop")</f>
        <v>Hit</v>
      </c>
      <c r="S361" s="9" t="str">
        <f>_xlfn.IFS(K361&gt;=400,"Blockbuster",K361&gt;=200,"Popular",K361&lt;200,"Normal")</f>
        <v>Popular</v>
      </c>
      <c r="T361" s="10" t="str">
        <f>IF(OR(I361="PG",I361="G"),"Yes","No")</f>
        <v>No</v>
      </c>
      <c r="U361" s="11" t="str">
        <f>IF(P361&gt;=100,"High","Low")</f>
        <v>High</v>
      </c>
      <c r="V361" s="28">
        <f t="shared" si="10"/>
        <v>290</v>
      </c>
      <c r="W361" s="29">
        <f t="shared" si="11"/>
        <v>297.27891156462584</v>
      </c>
    </row>
    <row r="362" spans="1:23" x14ac:dyDescent="0.3">
      <c r="A362" s="1" t="s">
        <v>1142</v>
      </c>
      <c r="B362" s="1" t="s">
        <v>1143</v>
      </c>
      <c r="C362" s="1" t="s">
        <v>18</v>
      </c>
      <c r="D362" s="1" t="s">
        <v>37</v>
      </c>
      <c r="E362" s="1">
        <v>2011</v>
      </c>
      <c r="F362" s="1" t="s">
        <v>48</v>
      </c>
      <c r="G362" s="1" t="s">
        <v>1144</v>
      </c>
      <c r="H362" s="1">
        <v>83</v>
      </c>
      <c r="I362" s="1" t="s">
        <v>31</v>
      </c>
      <c r="J362" s="1">
        <v>6.3</v>
      </c>
      <c r="K362" s="1">
        <v>328.7</v>
      </c>
      <c r="L362" s="1" t="s">
        <v>171</v>
      </c>
      <c r="M362" s="1" t="s">
        <v>72</v>
      </c>
      <c r="N362" s="1" t="s">
        <v>43</v>
      </c>
      <c r="O362" s="1"/>
      <c r="P362" s="1">
        <v>16</v>
      </c>
      <c r="Q362" s="1">
        <v>62.7</v>
      </c>
      <c r="R362" s="8" t="str">
        <f>_xlfn.IFS(J362&gt;=8,"Hit",J362&gt;=6,"Average",J362&lt;6,"Flop")</f>
        <v>Average</v>
      </c>
      <c r="S362" s="9" t="str">
        <f>_xlfn.IFS(K362&gt;=400,"Blockbuster",K362&gt;=200,"Popular",K362&lt;200,"Normal")</f>
        <v>Popular</v>
      </c>
      <c r="T362" s="10" t="str">
        <f>IF(OR(I362="PG",I362="G"),"Yes","No")</f>
        <v>No</v>
      </c>
      <c r="U362" s="11" t="str">
        <f>IF(P362&gt;=100,"High","Low")</f>
        <v>Low</v>
      </c>
      <c r="V362" s="28">
        <f t="shared" si="10"/>
        <v>46.7</v>
      </c>
      <c r="W362" s="29">
        <f t="shared" si="11"/>
        <v>391.875</v>
      </c>
    </row>
    <row r="363" spans="1:23" x14ac:dyDescent="0.3">
      <c r="A363" s="1" t="s">
        <v>1145</v>
      </c>
      <c r="B363" s="1" t="s">
        <v>1146</v>
      </c>
      <c r="C363" s="1" t="s">
        <v>18</v>
      </c>
      <c r="D363" s="1" t="s">
        <v>37</v>
      </c>
      <c r="E363" s="1">
        <v>2024</v>
      </c>
      <c r="F363" s="1" t="s">
        <v>122</v>
      </c>
      <c r="G363" s="1" t="s">
        <v>1147</v>
      </c>
      <c r="H363" s="1">
        <v>163</v>
      </c>
      <c r="I363" s="1" t="s">
        <v>50</v>
      </c>
      <c r="J363" s="1">
        <v>8.3000000000000007</v>
      </c>
      <c r="K363" s="1">
        <v>4.3</v>
      </c>
      <c r="L363" s="1" t="s">
        <v>171</v>
      </c>
      <c r="M363" s="1" t="s">
        <v>157</v>
      </c>
      <c r="N363" s="1" t="s">
        <v>158</v>
      </c>
      <c r="O363" s="1"/>
      <c r="P363" s="1">
        <v>191</v>
      </c>
      <c r="Q363" s="1">
        <v>966.2</v>
      </c>
      <c r="R363" s="8" t="str">
        <f>_xlfn.IFS(J363&gt;=8,"Hit",J363&gt;=6,"Average",J363&lt;6,"Flop")</f>
        <v>Hit</v>
      </c>
      <c r="S363" s="9" t="str">
        <f>_xlfn.IFS(K363&gt;=400,"Blockbuster",K363&gt;=200,"Popular",K363&lt;200,"Normal")</f>
        <v>Normal</v>
      </c>
      <c r="T363" s="10" t="str">
        <f>IF(OR(I363="PG",I363="G"),"Yes","No")</f>
        <v>Yes</v>
      </c>
      <c r="U363" s="11" t="str">
        <f>IF(P363&gt;=100,"High","Low")</f>
        <v>High</v>
      </c>
      <c r="V363" s="28">
        <f t="shared" si="10"/>
        <v>775.2</v>
      </c>
      <c r="W363" s="29">
        <f t="shared" si="11"/>
        <v>505.86387434554973</v>
      </c>
    </row>
    <row r="364" spans="1:23" x14ac:dyDescent="0.3">
      <c r="A364" s="1" t="s">
        <v>1148</v>
      </c>
      <c r="B364" s="1" t="s">
        <v>1149</v>
      </c>
      <c r="C364" s="1" t="s">
        <v>46</v>
      </c>
      <c r="D364" s="1" t="s">
        <v>37</v>
      </c>
      <c r="E364" s="1">
        <v>2004</v>
      </c>
      <c r="F364" s="1" t="s">
        <v>20</v>
      </c>
      <c r="G364" s="1" t="s">
        <v>1144</v>
      </c>
      <c r="H364" s="1">
        <v>40</v>
      </c>
      <c r="I364" s="1" t="s">
        <v>40</v>
      </c>
      <c r="J364" s="1">
        <v>4.8</v>
      </c>
      <c r="K364" s="1">
        <v>373.2</v>
      </c>
      <c r="L364" s="1" t="s">
        <v>71</v>
      </c>
      <c r="M364" s="1" t="s">
        <v>24</v>
      </c>
      <c r="N364" s="1" t="s">
        <v>60</v>
      </c>
      <c r="O364" s="1">
        <v>3</v>
      </c>
      <c r="P364" s="1">
        <v>112</v>
      </c>
      <c r="Q364" s="1">
        <v>655.29999999999995</v>
      </c>
      <c r="R364" s="8" t="str">
        <f>_xlfn.IFS(J364&gt;=8,"Hit",J364&gt;=6,"Average",J364&lt;6,"Flop")</f>
        <v>Flop</v>
      </c>
      <c r="S364" s="9" t="str">
        <f>_xlfn.IFS(K364&gt;=400,"Blockbuster",K364&gt;=200,"Popular",K364&lt;200,"Normal")</f>
        <v>Popular</v>
      </c>
      <c r="T364" s="10" t="str">
        <f>IF(OR(I364="PG",I364="G"),"Yes","No")</f>
        <v>Yes</v>
      </c>
      <c r="U364" s="11" t="str">
        <f>IF(P364&gt;=100,"High","Low")</f>
        <v>High</v>
      </c>
      <c r="V364" s="28">
        <f t="shared" si="10"/>
        <v>543.29999999999995</v>
      </c>
      <c r="W364" s="29">
        <f t="shared" si="11"/>
        <v>585.08928571428567</v>
      </c>
    </row>
    <row r="365" spans="1:23" x14ac:dyDescent="0.3">
      <c r="A365" s="1" t="s">
        <v>1150</v>
      </c>
      <c r="B365" s="1" t="s">
        <v>1151</v>
      </c>
      <c r="C365" s="1" t="s">
        <v>46</v>
      </c>
      <c r="D365" s="1" t="s">
        <v>75</v>
      </c>
      <c r="E365" s="1">
        <v>2003</v>
      </c>
      <c r="F365" s="1" t="s">
        <v>83</v>
      </c>
      <c r="G365" s="1" t="s">
        <v>1152</v>
      </c>
      <c r="H365" s="1">
        <v>43</v>
      </c>
      <c r="I365" s="1" t="s">
        <v>110</v>
      </c>
      <c r="J365" s="1">
        <v>6.7</v>
      </c>
      <c r="K365" s="1">
        <v>270.8</v>
      </c>
      <c r="L365" s="1" t="s">
        <v>90</v>
      </c>
      <c r="M365" s="1" t="s">
        <v>24</v>
      </c>
      <c r="N365" s="1" t="s">
        <v>119</v>
      </c>
      <c r="O365" s="1">
        <v>8</v>
      </c>
      <c r="P365" s="1">
        <v>73</v>
      </c>
      <c r="Q365" s="1">
        <v>297.5</v>
      </c>
      <c r="R365" s="8" t="str">
        <f>_xlfn.IFS(J365&gt;=8,"Hit",J365&gt;=6,"Average",J365&lt;6,"Flop")</f>
        <v>Average</v>
      </c>
      <c r="S365" s="9" t="str">
        <f>_xlfn.IFS(K365&gt;=400,"Blockbuster",K365&gt;=200,"Popular",K365&lt;200,"Normal")</f>
        <v>Popular</v>
      </c>
      <c r="T365" s="10" t="str">
        <f>IF(OR(I365="PG",I365="G"),"Yes","No")</f>
        <v>No</v>
      </c>
      <c r="U365" s="11" t="str">
        <f>IF(P365&gt;=100,"High","Low")</f>
        <v>Low</v>
      </c>
      <c r="V365" s="28">
        <f t="shared" si="10"/>
        <v>224.5</v>
      </c>
      <c r="W365" s="29">
        <f t="shared" si="11"/>
        <v>407.53424657534242</v>
      </c>
    </row>
    <row r="366" spans="1:23" x14ac:dyDescent="0.3">
      <c r="A366" s="1" t="s">
        <v>1153</v>
      </c>
      <c r="B366" s="1" t="s">
        <v>1154</v>
      </c>
      <c r="C366" s="1" t="s">
        <v>46</v>
      </c>
      <c r="D366" s="1" t="s">
        <v>47</v>
      </c>
      <c r="E366" s="1">
        <v>2003</v>
      </c>
      <c r="F366" s="1" t="s">
        <v>38</v>
      </c>
      <c r="G366" s="1" t="s">
        <v>973</v>
      </c>
      <c r="H366" s="1">
        <v>42</v>
      </c>
      <c r="I366" s="1" t="s">
        <v>22</v>
      </c>
      <c r="J366" s="1">
        <v>6.2</v>
      </c>
      <c r="K366" s="1">
        <v>550.4</v>
      </c>
      <c r="L366" s="1" t="s">
        <v>90</v>
      </c>
      <c r="M366" s="1" t="s">
        <v>24</v>
      </c>
      <c r="N366" s="1" t="s">
        <v>60</v>
      </c>
      <c r="O366" s="1">
        <v>7</v>
      </c>
      <c r="P366" s="1">
        <v>76</v>
      </c>
      <c r="Q366" s="1">
        <v>306.10000000000002</v>
      </c>
      <c r="R366" s="8" t="str">
        <f>_xlfn.IFS(J366&gt;=8,"Hit",J366&gt;=6,"Average",J366&lt;6,"Flop")</f>
        <v>Average</v>
      </c>
      <c r="S366" s="9" t="str">
        <f>_xlfn.IFS(K366&gt;=400,"Blockbuster",K366&gt;=200,"Popular",K366&lt;200,"Normal")</f>
        <v>Blockbuster</v>
      </c>
      <c r="T366" s="10" t="str">
        <f>IF(OR(I366="PG",I366="G"),"Yes","No")</f>
        <v>No</v>
      </c>
      <c r="U366" s="11" t="str">
        <f>IF(P366&gt;=100,"High","Low")</f>
        <v>Low</v>
      </c>
      <c r="V366" s="28">
        <f t="shared" si="10"/>
        <v>230.10000000000002</v>
      </c>
      <c r="W366" s="29">
        <f t="shared" si="11"/>
        <v>402.76315789473688</v>
      </c>
    </row>
    <row r="367" spans="1:23" x14ac:dyDescent="0.3">
      <c r="A367" s="1" t="s">
        <v>1155</v>
      </c>
      <c r="B367" s="1" t="s">
        <v>1156</v>
      </c>
      <c r="C367" s="1" t="s">
        <v>18</v>
      </c>
      <c r="D367" s="1" t="s">
        <v>141</v>
      </c>
      <c r="E367" s="1">
        <v>2001</v>
      </c>
      <c r="F367" s="1" t="s">
        <v>20</v>
      </c>
      <c r="G367" s="1" t="s">
        <v>185</v>
      </c>
      <c r="H367" s="1">
        <v>153</v>
      </c>
      <c r="I367" s="1" t="s">
        <v>22</v>
      </c>
      <c r="J367" s="1">
        <v>8.6</v>
      </c>
      <c r="K367" s="1">
        <v>94.8</v>
      </c>
      <c r="L367" s="1" t="s">
        <v>171</v>
      </c>
      <c r="M367" s="1" t="s">
        <v>157</v>
      </c>
      <c r="N367" s="1" t="s">
        <v>102</v>
      </c>
      <c r="O367" s="1"/>
      <c r="P367" s="1">
        <v>54</v>
      </c>
      <c r="Q367" s="1">
        <v>301.3</v>
      </c>
      <c r="R367" s="8" t="str">
        <f>_xlfn.IFS(J367&gt;=8,"Hit",J367&gt;=6,"Average",J367&lt;6,"Flop")</f>
        <v>Hit</v>
      </c>
      <c r="S367" s="9" t="str">
        <f>_xlfn.IFS(K367&gt;=400,"Blockbuster",K367&gt;=200,"Popular",K367&lt;200,"Normal")</f>
        <v>Normal</v>
      </c>
      <c r="T367" s="10" t="str">
        <f>IF(OR(I367="PG",I367="G"),"Yes","No")</f>
        <v>No</v>
      </c>
      <c r="U367" s="11" t="str">
        <f>IF(P367&gt;=100,"High","Low")</f>
        <v>Low</v>
      </c>
      <c r="V367" s="28">
        <f t="shared" si="10"/>
        <v>247.3</v>
      </c>
      <c r="W367" s="29">
        <f t="shared" si="11"/>
        <v>557.96296296296305</v>
      </c>
    </row>
    <row r="368" spans="1:23" x14ac:dyDescent="0.3">
      <c r="A368" s="1" t="s">
        <v>1157</v>
      </c>
      <c r="B368" s="1" t="s">
        <v>1158</v>
      </c>
      <c r="C368" s="1" t="s">
        <v>18</v>
      </c>
      <c r="D368" s="1" t="s">
        <v>141</v>
      </c>
      <c r="E368" s="1">
        <v>2021</v>
      </c>
      <c r="F368" s="1" t="s">
        <v>76</v>
      </c>
      <c r="G368" s="1" t="s">
        <v>1159</v>
      </c>
      <c r="H368" s="1">
        <v>117</v>
      </c>
      <c r="I368" s="1" t="s">
        <v>40</v>
      </c>
      <c r="J368" s="1">
        <v>6</v>
      </c>
      <c r="K368" s="1">
        <v>540.70000000000005</v>
      </c>
      <c r="L368" s="1" t="s">
        <v>32</v>
      </c>
      <c r="M368" s="1" t="s">
        <v>106</v>
      </c>
      <c r="N368" s="1" t="s">
        <v>119</v>
      </c>
      <c r="O368" s="1"/>
      <c r="P368" s="1">
        <v>88</v>
      </c>
      <c r="Q368" s="1">
        <v>373.6</v>
      </c>
      <c r="R368" s="8" t="str">
        <f>_xlfn.IFS(J368&gt;=8,"Hit",J368&gt;=6,"Average",J368&lt;6,"Flop")</f>
        <v>Average</v>
      </c>
      <c r="S368" s="9" t="str">
        <f>_xlfn.IFS(K368&gt;=400,"Blockbuster",K368&gt;=200,"Popular",K368&lt;200,"Normal")</f>
        <v>Blockbuster</v>
      </c>
      <c r="T368" s="10" t="str">
        <f>IF(OR(I368="PG",I368="G"),"Yes","No")</f>
        <v>Yes</v>
      </c>
      <c r="U368" s="11" t="str">
        <f>IF(P368&gt;=100,"High","Low")</f>
        <v>Low</v>
      </c>
      <c r="V368" s="28">
        <f t="shared" si="10"/>
        <v>285.60000000000002</v>
      </c>
      <c r="W368" s="29">
        <f t="shared" si="11"/>
        <v>424.54545454545462</v>
      </c>
    </row>
    <row r="369" spans="1:23" x14ac:dyDescent="0.3">
      <c r="A369" s="1" t="s">
        <v>1160</v>
      </c>
      <c r="B369" s="1" t="s">
        <v>1161</v>
      </c>
      <c r="C369" s="1" t="s">
        <v>46</v>
      </c>
      <c r="D369" s="1" t="s">
        <v>117</v>
      </c>
      <c r="E369" s="1">
        <v>2019</v>
      </c>
      <c r="F369" s="1" t="s">
        <v>29</v>
      </c>
      <c r="G369" s="1" t="s">
        <v>1162</v>
      </c>
      <c r="H369" s="1">
        <v>42</v>
      </c>
      <c r="I369" s="1" t="s">
        <v>40</v>
      </c>
      <c r="J369" s="1">
        <v>6.8</v>
      </c>
      <c r="K369" s="1">
        <v>572.4</v>
      </c>
      <c r="L369" s="1" t="s">
        <v>41</v>
      </c>
      <c r="M369" s="1" t="s">
        <v>54</v>
      </c>
      <c r="N369" s="1" t="s">
        <v>60</v>
      </c>
      <c r="O369" s="1">
        <v>3</v>
      </c>
      <c r="P369" s="1">
        <v>106</v>
      </c>
      <c r="Q369" s="1">
        <v>411.3</v>
      </c>
      <c r="R369" s="8" t="str">
        <f>_xlfn.IFS(J369&gt;=8,"Hit",J369&gt;=6,"Average",J369&lt;6,"Flop")</f>
        <v>Average</v>
      </c>
      <c r="S369" s="9" t="str">
        <f>_xlfn.IFS(K369&gt;=400,"Blockbuster",K369&gt;=200,"Popular",K369&lt;200,"Normal")</f>
        <v>Blockbuster</v>
      </c>
      <c r="T369" s="10" t="str">
        <f>IF(OR(I369="PG",I369="G"),"Yes","No")</f>
        <v>Yes</v>
      </c>
      <c r="U369" s="11" t="str">
        <f>IF(P369&gt;=100,"High","Low")</f>
        <v>High</v>
      </c>
      <c r="V369" s="28">
        <f t="shared" si="10"/>
        <v>305.3</v>
      </c>
      <c r="W369" s="29">
        <f t="shared" si="11"/>
        <v>388.01886792452831</v>
      </c>
    </row>
    <row r="370" spans="1:23" x14ac:dyDescent="0.3">
      <c r="A370" s="1" t="s">
        <v>1163</v>
      </c>
      <c r="B370" s="1" t="s">
        <v>1164</v>
      </c>
      <c r="C370" s="1" t="s">
        <v>18</v>
      </c>
      <c r="D370" s="1" t="s">
        <v>19</v>
      </c>
      <c r="E370" s="1">
        <v>2010</v>
      </c>
      <c r="F370" s="1" t="s">
        <v>29</v>
      </c>
      <c r="G370" s="1" t="s">
        <v>1165</v>
      </c>
      <c r="H370" s="1">
        <v>165</v>
      </c>
      <c r="I370" s="1" t="s">
        <v>40</v>
      </c>
      <c r="J370" s="1">
        <v>5</v>
      </c>
      <c r="K370" s="1">
        <v>423.5</v>
      </c>
      <c r="L370" s="1" t="s">
        <v>41</v>
      </c>
      <c r="M370" s="1" t="s">
        <v>42</v>
      </c>
      <c r="N370" s="1" t="s">
        <v>79</v>
      </c>
      <c r="O370" s="1"/>
      <c r="P370" s="1">
        <v>88</v>
      </c>
      <c r="Q370" s="1">
        <v>311.39999999999998</v>
      </c>
      <c r="R370" s="8" t="str">
        <f>_xlfn.IFS(J370&gt;=8,"Hit",J370&gt;=6,"Average",J370&lt;6,"Flop")</f>
        <v>Flop</v>
      </c>
      <c r="S370" s="9" t="str">
        <f>_xlfn.IFS(K370&gt;=400,"Blockbuster",K370&gt;=200,"Popular",K370&lt;200,"Normal")</f>
        <v>Blockbuster</v>
      </c>
      <c r="T370" s="10" t="str">
        <f>IF(OR(I370="PG",I370="G"),"Yes","No")</f>
        <v>Yes</v>
      </c>
      <c r="U370" s="11" t="str">
        <f>IF(P370&gt;=100,"High","Low")</f>
        <v>Low</v>
      </c>
      <c r="V370" s="28">
        <f t="shared" si="10"/>
        <v>223.39999999999998</v>
      </c>
      <c r="W370" s="29">
        <f t="shared" si="11"/>
        <v>353.86363636363637</v>
      </c>
    </row>
    <row r="371" spans="1:23" x14ac:dyDescent="0.3">
      <c r="A371" s="1" t="s">
        <v>1166</v>
      </c>
      <c r="B371" s="1" t="s">
        <v>1167</v>
      </c>
      <c r="C371" s="1" t="s">
        <v>18</v>
      </c>
      <c r="D371" s="1" t="s">
        <v>75</v>
      </c>
      <c r="E371" s="1">
        <v>2013</v>
      </c>
      <c r="F371" s="1" t="s">
        <v>38</v>
      </c>
      <c r="G371" s="1" t="s">
        <v>740</v>
      </c>
      <c r="H371" s="1">
        <v>84</v>
      </c>
      <c r="I371" s="1" t="s">
        <v>22</v>
      </c>
      <c r="J371" s="1">
        <v>8.8000000000000007</v>
      </c>
      <c r="K371" s="1">
        <v>96.9</v>
      </c>
      <c r="L371" s="1" t="s">
        <v>41</v>
      </c>
      <c r="M371" s="1" t="s">
        <v>72</v>
      </c>
      <c r="N371" s="1" t="s">
        <v>153</v>
      </c>
      <c r="O371" s="1"/>
      <c r="P371" s="1">
        <v>177</v>
      </c>
      <c r="Q371" s="1">
        <v>461.9</v>
      </c>
      <c r="R371" s="8" t="str">
        <f>_xlfn.IFS(J371&gt;=8,"Hit",J371&gt;=6,"Average",J371&lt;6,"Flop")</f>
        <v>Hit</v>
      </c>
      <c r="S371" s="9" t="str">
        <f>_xlfn.IFS(K371&gt;=400,"Blockbuster",K371&gt;=200,"Popular",K371&lt;200,"Normal")</f>
        <v>Normal</v>
      </c>
      <c r="T371" s="10" t="str">
        <f>IF(OR(I371="PG",I371="G"),"Yes","No")</f>
        <v>No</v>
      </c>
      <c r="U371" s="11" t="str">
        <f>IF(P371&gt;=100,"High","Low")</f>
        <v>High</v>
      </c>
      <c r="V371" s="28">
        <f t="shared" si="10"/>
        <v>284.89999999999998</v>
      </c>
      <c r="W371" s="29">
        <f t="shared" si="11"/>
        <v>260.96045197740108</v>
      </c>
    </row>
    <row r="372" spans="1:23" x14ac:dyDescent="0.3">
      <c r="A372" s="1" t="s">
        <v>1168</v>
      </c>
      <c r="B372" s="1" t="s">
        <v>1169</v>
      </c>
      <c r="C372" s="1" t="s">
        <v>46</v>
      </c>
      <c r="D372" s="1" t="s">
        <v>94</v>
      </c>
      <c r="E372" s="1">
        <v>2000</v>
      </c>
      <c r="F372" s="1" t="s">
        <v>83</v>
      </c>
      <c r="G372" s="1" t="s">
        <v>1170</v>
      </c>
      <c r="H372" s="1">
        <v>42</v>
      </c>
      <c r="I372" s="1" t="s">
        <v>50</v>
      </c>
      <c r="J372" s="1">
        <v>9.3000000000000007</v>
      </c>
      <c r="K372" s="1">
        <v>189.9</v>
      </c>
      <c r="L372" s="1" t="s">
        <v>71</v>
      </c>
      <c r="M372" s="1" t="s">
        <v>124</v>
      </c>
      <c r="N372" s="1" t="s">
        <v>86</v>
      </c>
      <c r="O372" s="1">
        <v>5</v>
      </c>
      <c r="P372" s="1">
        <v>6</v>
      </c>
      <c r="Q372" s="1">
        <v>13.6</v>
      </c>
      <c r="R372" s="8" t="str">
        <f>_xlfn.IFS(J372&gt;=8,"Hit",J372&gt;=6,"Average",J372&lt;6,"Flop")</f>
        <v>Hit</v>
      </c>
      <c r="S372" s="9" t="str">
        <f>_xlfn.IFS(K372&gt;=400,"Blockbuster",K372&gt;=200,"Popular",K372&lt;200,"Normal")</f>
        <v>Normal</v>
      </c>
      <c r="T372" s="10" t="str">
        <f>IF(OR(I372="PG",I372="G"),"Yes","No")</f>
        <v>Yes</v>
      </c>
      <c r="U372" s="11" t="str">
        <f>IF(P372&gt;=100,"High","Low")</f>
        <v>Low</v>
      </c>
      <c r="V372" s="28">
        <f t="shared" si="10"/>
        <v>7.6</v>
      </c>
      <c r="W372" s="29">
        <f t="shared" si="11"/>
        <v>226.66666666666666</v>
      </c>
    </row>
    <row r="373" spans="1:23" x14ac:dyDescent="0.3">
      <c r="A373" s="1" t="s">
        <v>1171</v>
      </c>
      <c r="B373" s="1" t="s">
        <v>1172</v>
      </c>
      <c r="C373" s="1" t="s">
        <v>46</v>
      </c>
      <c r="D373" s="1" t="s">
        <v>117</v>
      </c>
      <c r="E373" s="1">
        <v>2012</v>
      </c>
      <c r="F373" s="1" t="s">
        <v>38</v>
      </c>
      <c r="G373" s="1" t="s">
        <v>1173</v>
      </c>
      <c r="H373" s="1">
        <v>49</v>
      </c>
      <c r="I373" s="1" t="s">
        <v>110</v>
      </c>
      <c r="J373" s="1">
        <v>8.3000000000000007</v>
      </c>
      <c r="K373" s="1">
        <v>57.5</v>
      </c>
      <c r="L373" s="1" t="s">
        <v>65</v>
      </c>
      <c r="M373" s="1" t="s">
        <v>78</v>
      </c>
      <c r="N373" s="1" t="s">
        <v>43</v>
      </c>
      <c r="O373" s="1">
        <v>2</v>
      </c>
      <c r="P373" s="1">
        <v>128</v>
      </c>
      <c r="Q373" s="1">
        <v>614.1</v>
      </c>
      <c r="R373" s="8" t="str">
        <f>_xlfn.IFS(J373&gt;=8,"Hit",J373&gt;=6,"Average",J373&lt;6,"Flop")</f>
        <v>Hit</v>
      </c>
      <c r="S373" s="9" t="str">
        <f>_xlfn.IFS(K373&gt;=400,"Blockbuster",K373&gt;=200,"Popular",K373&lt;200,"Normal")</f>
        <v>Normal</v>
      </c>
      <c r="T373" s="10" t="str">
        <f>IF(OR(I373="PG",I373="G"),"Yes","No")</f>
        <v>No</v>
      </c>
      <c r="U373" s="11" t="str">
        <f>IF(P373&gt;=100,"High","Low")</f>
        <v>High</v>
      </c>
      <c r="V373" s="28">
        <f t="shared" si="10"/>
        <v>486.1</v>
      </c>
      <c r="W373" s="29">
        <f t="shared" si="11"/>
        <v>479.765625</v>
      </c>
    </row>
    <row r="374" spans="1:23" x14ac:dyDescent="0.3">
      <c r="A374" s="1" t="s">
        <v>1174</v>
      </c>
      <c r="B374" s="1" t="s">
        <v>1175</v>
      </c>
      <c r="C374" s="1" t="s">
        <v>18</v>
      </c>
      <c r="D374" s="1" t="s">
        <v>47</v>
      </c>
      <c r="E374" s="1">
        <v>2016</v>
      </c>
      <c r="F374" s="1" t="s">
        <v>181</v>
      </c>
      <c r="G374" s="1" t="s">
        <v>278</v>
      </c>
      <c r="H374" s="1">
        <v>106</v>
      </c>
      <c r="I374" s="1" t="s">
        <v>22</v>
      </c>
      <c r="J374" s="1">
        <v>7.8</v>
      </c>
      <c r="K374" s="1">
        <v>358.7</v>
      </c>
      <c r="L374" s="1" t="s">
        <v>65</v>
      </c>
      <c r="M374" s="1" t="s">
        <v>78</v>
      </c>
      <c r="N374" s="1" t="s">
        <v>178</v>
      </c>
      <c r="O374" s="1"/>
      <c r="P374" s="1">
        <v>62</v>
      </c>
      <c r="Q374" s="1">
        <v>236.9</v>
      </c>
      <c r="R374" s="8" t="str">
        <f>_xlfn.IFS(J374&gt;=8,"Hit",J374&gt;=6,"Average",J374&lt;6,"Flop")</f>
        <v>Average</v>
      </c>
      <c r="S374" s="9" t="str">
        <f>_xlfn.IFS(K374&gt;=400,"Blockbuster",K374&gt;=200,"Popular",K374&lt;200,"Normal")</f>
        <v>Popular</v>
      </c>
      <c r="T374" s="10" t="str">
        <f>IF(OR(I374="PG",I374="G"),"Yes","No")</f>
        <v>No</v>
      </c>
      <c r="U374" s="11" t="str">
        <f>IF(P374&gt;=100,"High","Low")</f>
        <v>Low</v>
      </c>
      <c r="V374" s="28">
        <f t="shared" si="10"/>
        <v>174.9</v>
      </c>
      <c r="W374" s="29">
        <f t="shared" si="11"/>
        <v>382.09677419354841</v>
      </c>
    </row>
    <row r="375" spans="1:23" x14ac:dyDescent="0.3">
      <c r="A375" s="1" t="s">
        <v>1176</v>
      </c>
      <c r="B375" s="1" t="s">
        <v>1177</v>
      </c>
      <c r="C375" s="1" t="s">
        <v>46</v>
      </c>
      <c r="D375" s="1" t="s">
        <v>58</v>
      </c>
      <c r="E375" s="1">
        <v>2006</v>
      </c>
      <c r="F375" s="1" t="s">
        <v>38</v>
      </c>
      <c r="G375" s="1" t="s">
        <v>1178</v>
      </c>
      <c r="H375" s="1">
        <v>58</v>
      </c>
      <c r="I375" s="1" t="s">
        <v>50</v>
      </c>
      <c r="J375" s="1">
        <v>7.4</v>
      </c>
      <c r="K375" s="1">
        <v>237</v>
      </c>
      <c r="L375" s="1" t="s">
        <v>171</v>
      </c>
      <c r="M375" s="1" t="s">
        <v>132</v>
      </c>
      <c r="N375" s="1" t="s">
        <v>79</v>
      </c>
      <c r="O375" s="1">
        <v>6</v>
      </c>
      <c r="P375" s="1">
        <v>65</v>
      </c>
      <c r="Q375" s="1">
        <v>126.3</v>
      </c>
      <c r="R375" s="8" t="str">
        <f>_xlfn.IFS(J375&gt;=8,"Hit",J375&gt;=6,"Average",J375&lt;6,"Flop")</f>
        <v>Average</v>
      </c>
      <c r="S375" s="9" t="str">
        <f>_xlfn.IFS(K375&gt;=400,"Blockbuster",K375&gt;=200,"Popular",K375&lt;200,"Normal")</f>
        <v>Popular</v>
      </c>
      <c r="T375" s="10" t="str">
        <f>IF(OR(I375="PG",I375="G"),"Yes","No")</f>
        <v>Yes</v>
      </c>
      <c r="U375" s="11" t="str">
        <f>IF(P375&gt;=100,"High","Low")</f>
        <v>Low</v>
      </c>
      <c r="V375" s="28">
        <f t="shared" si="10"/>
        <v>61.3</v>
      </c>
      <c r="W375" s="29">
        <f t="shared" si="11"/>
        <v>194.30769230769229</v>
      </c>
    </row>
    <row r="376" spans="1:23" x14ac:dyDescent="0.3">
      <c r="A376" s="1" t="s">
        <v>1179</v>
      </c>
      <c r="B376" s="1" t="s">
        <v>1180</v>
      </c>
      <c r="C376" s="1" t="s">
        <v>46</v>
      </c>
      <c r="D376" s="1" t="s">
        <v>82</v>
      </c>
      <c r="E376" s="1">
        <v>2000</v>
      </c>
      <c r="F376" s="1" t="s">
        <v>20</v>
      </c>
      <c r="G376" s="1" t="s">
        <v>740</v>
      </c>
      <c r="H376" s="1">
        <v>46</v>
      </c>
      <c r="I376" s="1" t="s">
        <v>22</v>
      </c>
      <c r="J376" s="1">
        <v>5.6</v>
      </c>
      <c r="K376" s="1">
        <v>139</v>
      </c>
      <c r="L376" s="1" t="s">
        <v>32</v>
      </c>
      <c r="M376" s="1" t="s">
        <v>146</v>
      </c>
      <c r="N376" s="1" t="s">
        <v>67</v>
      </c>
      <c r="O376" s="1">
        <v>4</v>
      </c>
      <c r="P376" s="1">
        <v>93</v>
      </c>
      <c r="Q376" s="1">
        <v>194.8</v>
      </c>
      <c r="R376" s="8" t="str">
        <f>_xlfn.IFS(J376&gt;=8,"Hit",J376&gt;=6,"Average",J376&lt;6,"Flop")</f>
        <v>Flop</v>
      </c>
      <c r="S376" s="9" t="str">
        <f>_xlfn.IFS(K376&gt;=400,"Blockbuster",K376&gt;=200,"Popular",K376&lt;200,"Normal")</f>
        <v>Normal</v>
      </c>
      <c r="T376" s="10" t="str">
        <f>IF(OR(I376="PG",I376="G"),"Yes","No")</f>
        <v>No</v>
      </c>
      <c r="U376" s="11" t="str">
        <f>IF(P376&gt;=100,"High","Low")</f>
        <v>Low</v>
      </c>
      <c r="V376" s="28">
        <f t="shared" si="10"/>
        <v>101.80000000000001</v>
      </c>
      <c r="W376" s="29">
        <f t="shared" si="11"/>
        <v>209.46236559139786</v>
      </c>
    </row>
    <row r="377" spans="1:23" x14ac:dyDescent="0.3">
      <c r="A377" s="1" t="s">
        <v>1181</v>
      </c>
      <c r="B377" s="1" t="s">
        <v>1182</v>
      </c>
      <c r="C377" s="1" t="s">
        <v>18</v>
      </c>
      <c r="D377" s="1" t="s">
        <v>37</v>
      </c>
      <c r="E377" s="1">
        <v>2012</v>
      </c>
      <c r="F377" s="1" t="s">
        <v>122</v>
      </c>
      <c r="G377" s="1" t="s">
        <v>1183</v>
      </c>
      <c r="H377" s="1">
        <v>147</v>
      </c>
      <c r="I377" s="1" t="s">
        <v>31</v>
      </c>
      <c r="J377" s="1">
        <v>6</v>
      </c>
      <c r="K377" s="1">
        <v>216.4</v>
      </c>
      <c r="L377" s="1" t="s">
        <v>90</v>
      </c>
      <c r="M377" s="1" t="s">
        <v>111</v>
      </c>
      <c r="N377" s="1" t="s">
        <v>34</v>
      </c>
      <c r="O377" s="1"/>
      <c r="P377" s="1">
        <v>98</v>
      </c>
      <c r="Q377" s="1">
        <v>432.2</v>
      </c>
      <c r="R377" s="8" t="str">
        <f>_xlfn.IFS(J377&gt;=8,"Hit",J377&gt;=6,"Average",J377&lt;6,"Flop")</f>
        <v>Average</v>
      </c>
      <c r="S377" s="9" t="str">
        <f>_xlfn.IFS(K377&gt;=400,"Blockbuster",K377&gt;=200,"Popular",K377&lt;200,"Normal")</f>
        <v>Popular</v>
      </c>
      <c r="T377" s="10" t="str">
        <f>IF(OR(I377="PG",I377="G"),"Yes","No")</f>
        <v>No</v>
      </c>
      <c r="U377" s="11" t="str">
        <f>IF(P377&gt;=100,"High","Low")</f>
        <v>Low</v>
      </c>
      <c r="V377" s="28">
        <f t="shared" si="10"/>
        <v>334.2</v>
      </c>
      <c r="W377" s="29">
        <f t="shared" si="11"/>
        <v>441.0204081632653</v>
      </c>
    </row>
    <row r="378" spans="1:23" x14ac:dyDescent="0.3">
      <c r="A378" s="1" t="s">
        <v>1184</v>
      </c>
      <c r="B378" s="1" t="s">
        <v>1185</v>
      </c>
      <c r="C378" s="1" t="s">
        <v>18</v>
      </c>
      <c r="D378" s="1" t="s">
        <v>58</v>
      </c>
      <c r="E378" s="1">
        <v>2022</v>
      </c>
      <c r="F378" s="1" t="s">
        <v>122</v>
      </c>
      <c r="G378" s="1" t="s">
        <v>1186</v>
      </c>
      <c r="H378" s="1">
        <v>119</v>
      </c>
      <c r="I378" s="1" t="s">
        <v>31</v>
      </c>
      <c r="J378" s="1">
        <v>8.5</v>
      </c>
      <c r="K378" s="1">
        <v>229.6</v>
      </c>
      <c r="L378" s="1" t="s">
        <v>32</v>
      </c>
      <c r="M378" s="1" t="s">
        <v>33</v>
      </c>
      <c r="N378" s="1" t="s">
        <v>158</v>
      </c>
      <c r="O378" s="1"/>
      <c r="P378" s="1">
        <v>56</v>
      </c>
      <c r="Q378" s="1">
        <v>208.5</v>
      </c>
      <c r="R378" s="8" t="str">
        <f>_xlfn.IFS(J378&gt;=8,"Hit",J378&gt;=6,"Average",J378&lt;6,"Flop")</f>
        <v>Hit</v>
      </c>
      <c r="S378" s="9" t="str">
        <f>_xlfn.IFS(K378&gt;=400,"Blockbuster",K378&gt;=200,"Popular",K378&lt;200,"Normal")</f>
        <v>Popular</v>
      </c>
      <c r="T378" s="10" t="str">
        <f>IF(OR(I378="PG",I378="G"),"Yes","No")</f>
        <v>No</v>
      </c>
      <c r="U378" s="11" t="str">
        <f>IF(P378&gt;=100,"High","Low")</f>
        <v>Low</v>
      </c>
      <c r="V378" s="28">
        <f t="shared" si="10"/>
        <v>152.5</v>
      </c>
      <c r="W378" s="29">
        <f t="shared" si="11"/>
        <v>372.32142857142856</v>
      </c>
    </row>
    <row r="379" spans="1:23" x14ac:dyDescent="0.3">
      <c r="A379" s="1" t="s">
        <v>1187</v>
      </c>
      <c r="B379" s="1" t="s">
        <v>1188</v>
      </c>
      <c r="C379" s="1" t="s">
        <v>46</v>
      </c>
      <c r="D379" s="1" t="s">
        <v>63</v>
      </c>
      <c r="E379" s="1">
        <v>2009</v>
      </c>
      <c r="F379" s="1" t="s">
        <v>100</v>
      </c>
      <c r="G379" s="1" t="s">
        <v>1189</v>
      </c>
      <c r="H379" s="1">
        <v>58</v>
      </c>
      <c r="I379" s="1" t="s">
        <v>50</v>
      </c>
      <c r="J379" s="1">
        <v>7.9</v>
      </c>
      <c r="K379" s="1">
        <v>161.80000000000001</v>
      </c>
      <c r="L379" s="1" t="s">
        <v>41</v>
      </c>
      <c r="M379" s="1" t="s">
        <v>33</v>
      </c>
      <c r="N379" s="1" t="s">
        <v>119</v>
      </c>
      <c r="O379" s="1">
        <v>8</v>
      </c>
      <c r="P379" s="1">
        <v>36</v>
      </c>
      <c r="Q379" s="1">
        <v>225.5</v>
      </c>
      <c r="R379" s="8" t="str">
        <f>_xlfn.IFS(J379&gt;=8,"Hit",J379&gt;=6,"Average",J379&lt;6,"Flop")</f>
        <v>Average</v>
      </c>
      <c r="S379" s="9" t="str">
        <f>_xlfn.IFS(K379&gt;=400,"Blockbuster",K379&gt;=200,"Popular",K379&lt;200,"Normal")</f>
        <v>Normal</v>
      </c>
      <c r="T379" s="10" t="str">
        <f>IF(OR(I379="PG",I379="G"),"Yes","No")</f>
        <v>Yes</v>
      </c>
      <c r="U379" s="11" t="str">
        <f>IF(P379&gt;=100,"High","Low")</f>
        <v>Low</v>
      </c>
      <c r="V379" s="28">
        <f t="shared" si="10"/>
        <v>189.5</v>
      </c>
      <c r="W379" s="29">
        <f t="shared" si="11"/>
        <v>626.38888888888891</v>
      </c>
    </row>
    <row r="380" spans="1:23" x14ac:dyDescent="0.3">
      <c r="A380" s="1" t="s">
        <v>1190</v>
      </c>
      <c r="B380" s="1" t="s">
        <v>1191</v>
      </c>
      <c r="C380" s="1" t="s">
        <v>46</v>
      </c>
      <c r="D380" s="1" t="s">
        <v>28</v>
      </c>
      <c r="E380" s="1">
        <v>2014</v>
      </c>
      <c r="F380" s="1" t="s">
        <v>83</v>
      </c>
      <c r="G380" s="1" t="s">
        <v>1192</v>
      </c>
      <c r="H380" s="1">
        <v>53</v>
      </c>
      <c r="I380" s="1" t="s">
        <v>50</v>
      </c>
      <c r="J380" s="1">
        <v>5.0999999999999996</v>
      </c>
      <c r="K380" s="1">
        <v>496.5</v>
      </c>
      <c r="L380" s="1" t="s">
        <v>23</v>
      </c>
      <c r="M380" s="1" t="s">
        <v>106</v>
      </c>
      <c r="N380" s="1" t="s">
        <v>25</v>
      </c>
      <c r="O380" s="1">
        <v>6</v>
      </c>
      <c r="P380" s="1">
        <v>28</v>
      </c>
      <c r="Q380" s="1">
        <v>116.3</v>
      </c>
      <c r="R380" s="8" t="str">
        <f>_xlfn.IFS(J380&gt;=8,"Hit",J380&gt;=6,"Average",J380&lt;6,"Flop")</f>
        <v>Flop</v>
      </c>
      <c r="S380" s="9" t="str">
        <f>_xlfn.IFS(K380&gt;=400,"Blockbuster",K380&gt;=200,"Popular",K380&lt;200,"Normal")</f>
        <v>Blockbuster</v>
      </c>
      <c r="T380" s="10" t="str">
        <f>IF(OR(I380="PG",I380="G"),"Yes","No")</f>
        <v>Yes</v>
      </c>
      <c r="U380" s="11" t="str">
        <f>IF(P380&gt;=100,"High","Low")</f>
        <v>Low</v>
      </c>
      <c r="V380" s="28">
        <f t="shared" si="10"/>
        <v>88.3</v>
      </c>
      <c r="W380" s="29">
        <f t="shared" si="11"/>
        <v>415.35714285714283</v>
      </c>
    </row>
    <row r="381" spans="1:23" x14ac:dyDescent="0.3">
      <c r="A381" s="1" t="s">
        <v>1193</v>
      </c>
      <c r="B381" s="1" t="s">
        <v>1194</v>
      </c>
      <c r="C381" s="1" t="s">
        <v>18</v>
      </c>
      <c r="D381" s="1" t="s">
        <v>82</v>
      </c>
      <c r="E381" s="1">
        <v>2016</v>
      </c>
      <c r="F381" s="1" t="s">
        <v>122</v>
      </c>
      <c r="G381" s="1" t="s">
        <v>823</v>
      </c>
      <c r="H381" s="1">
        <v>141</v>
      </c>
      <c r="I381" s="1" t="s">
        <v>31</v>
      </c>
      <c r="J381" s="1">
        <v>9.1999999999999993</v>
      </c>
      <c r="K381" s="1">
        <v>168.1</v>
      </c>
      <c r="L381" s="1" t="s">
        <v>65</v>
      </c>
      <c r="M381" s="1" t="s">
        <v>33</v>
      </c>
      <c r="N381" s="1" t="s">
        <v>158</v>
      </c>
      <c r="O381" s="1"/>
      <c r="P381" s="1">
        <v>38</v>
      </c>
      <c r="Q381" s="1">
        <v>207</v>
      </c>
      <c r="R381" s="8" t="str">
        <f>_xlfn.IFS(J381&gt;=8,"Hit",J381&gt;=6,"Average",J381&lt;6,"Flop")</f>
        <v>Hit</v>
      </c>
      <c r="S381" s="9" t="str">
        <f>_xlfn.IFS(K381&gt;=400,"Blockbuster",K381&gt;=200,"Popular",K381&lt;200,"Normal")</f>
        <v>Normal</v>
      </c>
      <c r="T381" s="10" t="str">
        <f>IF(OR(I381="PG",I381="G"),"Yes","No")</f>
        <v>No</v>
      </c>
      <c r="U381" s="11" t="str">
        <f>IF(P381&gt;=100,"High","Low")</f>
        <v>Low</v>
      </c>
      <c r="V381" s="28">
        <f t="shared" si="10"/>
        <v>169</v>
      </c>
      <c r="W381" s="29">
        <f t="shared" si="11"/>
        <v>544.73684210526324</v>
      </c>
    </row>
    <row r="382" spans="1:23" x14ac:dyDescent="0.3">
      <c r="A382" s="1" t="s">
        <v>1195</v>
      </c>
      <c r="B382" s="1" t="s">
        <v>1196</v>
      </c>
      <c r="C382" s="1" t="s">
        <v>18</v>
      </c>
      <c r="D382" s="1" t="s">
        <v>63</v>
      </c>
      <c r="E382" s="1">
        <v>2019</v>
      </c>
      <c r="F382" s="1" t="s">
        <v>100</v>
      </c>
      <c r="G382" s="1" t="s">
        <v>1197</v>
      </c>
      <c r="H382" s="1">
        <v>154</v>
      </c>
      <c r="I382" s="1" t="s">
        <v>50</v>
      </c>
      <c r="J382" s="1">
        <v>6.3</v>
      </c>
      <c r="K382" s="1">
        <v>372.6</v>
      </c>
      <c r="L382" s="1" t="s">
        <v>171</v>
      </c>
      <c r="M382" s="1" t="s">
        <v>106</v>
      </c>
      <c r="N382" s="1" t="s">
        <v>79</v>
      </c>
      <c r="O382" s="1"/>
      <c r="P382" s="1">
        <v>131</v>
      </c>
      <c r="Q382" s="1">
        <v>786.7</v>
      </c>
      <c r="R382" s="8" t="str">
        <f>_xlfn.IFS(J382&gt;=8,"Hit",J382&gt;=6,"Average",J382&lt;6,"Flop")</f>
        <v>Average</v>
      </c>
      <c r="S382" s="9" t="str">
        <f>_xlfn.IFS(K382&gt;=400,"Blockbuster",K382&gt;=200,"Popular",K382&lt;200,"Normal")</f>
        <v>Popular</v>
      </c>
      <c r="T382" s="10" t="str">
        <f>IF(OR(I382="PG",I382="G"),"Yes","No")</f>
        <v>Yes</v>
      </c>
      <c r="U382" s="11" t="str">
        <f>IF(P382&gt;=100,"High","Low")</f>
        <v>High</v>
      </c>
      <c r="V382" s="28">
        <f t="shared" si="10"/>
        <v>655.7</v>
      </c>
      <c r="W382" s="29">
        <f t="shared" si="11"/>
        <v>600.53435114503827</v>
      </c>
    </row>
    <row r="383" spans="1:23" x14ac:dyDescent="0.3">
      <c r="A383" s="1" t="s">
        <v>1198</v>
      </c>
      <c r="B383" s="1" t="s">
        <v>1199</v>
      </c>
      <c r="C383" s="1" t="s">
        <v>46</v>
      </c>
      <c r="D383" s="1" t="s">
        <v>141</v>
      </c>
      <c r="E383" s="1">
        <v>2018</v>
      </c>
      <c r="F383" s="1" t="s">
        <v>83</v>
      </c>
      <c r="G383" s="1" t="s">
        <v>1200</v>
      </c>
      <c r="H383" s="1">
        <v>33</v>
      </c>
      <c r="I383" s="1" t="s">
        <v>22</v>
      </c>
      <c r="J383" s="1">
        <v>7.8</v>
      </c>
      <c r="K383" s="1">
        <v>452.3</v>
      </c>
      <c r="L383" s="1" t="s">
        <v>171</v>
      </c>
      <c r="M383" s="1" t="s">
        <v>42</v>
      </c>
      <c r="N383" s="1" t="s">
        <v>79</v>
      </c>
      <c r="O383" s="1">
        <v>2</v>
      </c>
      <c r="P383" s="1">
        <v>186</v>
      </c>
      <c r="Q383" s="1">
        <v>585.70000000000005</v>
      </c>
      <c r="R383" s="8" t="str">
        <f>_xlfn.IFS(J383&gt;=8,"Hit",J383&gt;=6,"Average",J383&lt;6,"Flop")</f>
        <v>Average</v>
      </c>
      <c r="S383" s="9" t="str">
        <f>_xlfn.IFS(K383&gt;=400,"Blockbuster",K383&gt;=200,"Popular",K383&lt;200,"Normal")</f>
        <v>Blockbuster</v>
      </c>
      <c r="T383" s="10" t="str">
        <f>IF(OR(I383="PG",I383="G"),"Yes","No")</f>
        <v>No</v>
      </c>
      <c r="U383" s="11" t="str">
        <f>IF(P383&gt;=100,"High","Low")</f>
        <v>High</v>
      </c>
      <c r="V383" s="28">
        <f t="shared" si="10"/>
        <v>399.70000000000005</v>
      </c>
      <c r="W383" s="29">
        <f t="shared" si="11"/>
        <v>314.89247311827961</v>
      </c>
    </row>
    <row r="384" spans="1:23" x14ac:dyDescent="0.3">
      <c r="A384" s="1" t="s">
        <v>1201</v>
      </c>
      <c r="B384" s="1" t="s">
        <v>1202</v>
      </c>
      <c r="C384" s="1" t="s">
        <v>18</v>
      </c>
      <c r="D384" s="1" t="s">
        <v>37</v>
      </c>
      <c r="E384" s="1">
        <v>2012</v>
      </c>
      <c r="F384" s="1" t="s">
        <v>181</v>
      </c>
      <c r="G384" s="1" t="s">
        <v>1203</v>
      </c>
      <c r="H384" s="1">
        <v>91</v>
      </c>
      <c r="I384" s="1" t="s">
        <v>40</v>
      </c>
      <c r="J384" s="1">
        <v>5.7</v>
      </c>
      <c r="K384" s="1">
        <v>93.1</v>
      </c>
      <c r="L384" s="1" t="s">
        <v>65</v>
      </c>
      <c r="M384" s="1" t="s">
        <v>157</v>
      </c>
      <c r="N384" s="1" t="s">
        <v>128</v>
      </c>
      <c r="O384" s="1"/>
      <c r="P384" s="1">
        <v>93</v>
      </c>
      <c r="Q384" s="1">
        <v>556.5</v>
      </c>
      <c r="R384" s="8" t="str">
        <f>_xlfn.IFS(J384&gt;=8,"Hit",J384&gt;=6,"Average",J384&lt;6,"Flop")</f>
        <v>Flop</v>
      </c>
      <c r="S384" s="9" t="str">
        <f>_xlfn.IFS(K384&gt;=400,"Blockbuster",K384&gt;=200,"Popular",K384&lt;200,"Normal")</f>
        <v>Normal</v>
      </c>
      <c r="T384" s="10" t="str">
        <f>IF(OR(I384="PG",I384="G"),"Yes","No")</f>
        <v>Yes</v>
      </c>
      <c r="U384" s="11" t="str">
        <f>IF(P384&gt;=100,"High","Low")</f>
        <v>Low</v>
      </c>
      <c r="V384" s="28">
        <f t="shared" si="10"/>
        <v>463.5</v>
      </c>
      <c r="W384" s="29">
        <f t="shared" si="11"/>
        <v>598.38709677419354</v>
      </c>
    </row>
    <row r="385" spans="1:23" x14ac:dyDescent="0.3">
      <c r="A385" s="1" t="s">
        <v>1204</v>
      </c>
      <c r="B385" s="1" t="s">
        <v>1205</v>
      </c>
      <c r="C385" s="1" t="s">
        <v>46</v>
      </c>
      <c r="D385" s="1" t="s">
        <v>28</v>
      </c>
      <c r="E385" s="1">
        <v>2012</v>
      </c>
      <c r="F385" s="1" t="s">
        <v>83</v>
      </c>
      <c r="G385" s="1" t="s">
        <v>191</v>
      </c>
      <c r="H385" s="1">
        <v>60</v>
      </c>
      <c r="I385" s="1" t="s">
        <v>110</v>
      </c>
      <c r="J385" s="1">
        <v>5</v>
      </c>
      <c r="K385" s="1">
        <v>530.1</v>
      </c>
      <c r="L385" s="1" t="s">
        <v>171</v>
      </c>
      <c r="M385" s="1" t="s">
        <v>72</v>
      </c>
      <c r="N385" s="1" t="s">
        <v>102</v>
      </c>
      <c r="O385" s="1">
        <v>6</v>
      </c>
      <c r="P385" s="1">
        <v>26</v>
      </c>
      <c r="Q385" s="1">
        <v>123.9</v>
      </c>
      <c r="R385" s="8" t="str">
        <f>_xlfn.IFS(J385&gt;=8,"Hit",J385&gt;=6,"Average",J385&lt;6,"Flop")</f>
        <v>Flop</v>
      </c>
      <c r="S385" s="9" t="str">
        <f>_xlfn.IFS(K385&gt;=400,"Blockbuster",K385&gt;=200,"Popular",K385&lt;200,"Normal")</f>
        <v>Blockbuster</v>
      </c>
      <c r="T385" s="10" t="str">
        <f>IF(OR(I385="PG",I385="G"),"Yes","No")</f>
        <v>No</v>
      </c>
      <c r="U385" s="11" t="str">
        <f>IF(P385&gt;=100,"High","Low")</f>
        <v>Low</v>
      </c>
      <c r="V385" s="28">
        <f t="shared" si="10"/>
        <v>97.9</v>
      </c>
      <c r="W385" s="29">
        <f t="shared" si="11"/>
        <v>476.53846153846155</v>
      </c>
    </row>
    <row r="386" spans="1:23" x14ac:dyDescent="0.3">
      <c r="A386" s="1" t="s">
        <v>1206</v>
      </c>
      <c r="B386" s="1" t="s">
        <v>1207</v>
      </c>
      <c r="C386" s="1" t="s">
        <v>18</v>
      </c>
      <c r="D386" s="1" t="s">
        <v>94</v>
      </c>
      <c r="E386" s="1">
        <v>2003</v>
      </c>
      <c r="F386" s="1" t="s">
        <v>100</v>
      </c>
      <c r="G386" s="1" t="s">
        <v>1208</v>
      </c>
      <c r="H386" s="1">
        <v>146</v>
      </c>
      <c r="I386" s="1" t="s">
        <v>40</v>
      </c>
      <c r="J386" s="1">
        <v>7.9</v>
      </c>
      <c r="K386" s="1">
        <v>368.7</v>
      </c>
      <c r="L386" s="1" t="s">
        <v>65</v>
      </c>
      <c r="M386" s="1" t="s">
        <v>72</v>
      </c>
      <c r="N386" s="1" t="s">
        <v>119</v>
      </c>
      <c r="O386" s="1"/>
      <c r="P386" s="1">
        <v>98</v>
      </c>
      <c r="Q386" s="1">
        <v>431.3</v>
      </c>
      <c r="R386" s="8" t="str">
        <f>_xlfn.IFS(J386&gt;=8,"Hit",J386&gt;=6,"Average",J386&lt;6,"Flop")</f>
        <v>Average</v>
      </c>
      <c r="S386" s="9" t="str">
        <f>_xlfn.IFS(K386&gt;=400,"Blockbuster",K386&gt;=200,"Popular",K386&lt;200,"Normal")</f>
        <v>Popular</v>
      </c>
      <c r="T386" s="10" t="str">
        <f>IF(OR(I386="PG",I386="G"),"Yes","No")</f>
        <v>Yes</v>
      </c>
      <c r="U386" s="11" t="str">
        <f>IF(P386&gt;=100,"High","Low")</f>
        <v>Low</v>
      </c>
      <c r="V386" s="28">
        <f t="shared" si="10"/>
        <v>333.3</v>
      </c>
      <c r="W386" s="29">
        <f t="shared" si="11"/>
        <v>440.10204081632656</v>
      </c>
    </row>
    <row r="387" spans="1:23" x14ac:dyDescent="0.3">
      <c r="A387" s="1" t="s">
        <v>1209</v>
      </c>
      <c r="B387" s="1" t="s">
        <v>1210</v>
      </c>
      <c r="C387" s="1" t="s">
        <v>18</v>
      </c>
      <c r="D387" s="1" t="s">
        <v>117</v>
      </c>
      <c r="E387" s="1">
        <v>2001</v>
      </c>
      <c r="F387" s="1" t="s">
        <v>38</v>
      </c>
      <c r="G387" s="1" t="s">
        <v>1211</v>
      </c>
      <c r="H387" s="1">
        <v>138</v>
      </c>
      <c r="I387" s="1" t="s">
        <v>40</v>
      </c>
      <c r="J387" s="1">
        <v>9</v>
      </c>
      <c r="K387" s="1">
        <v>457.4</v>
      </c>
      <c r="L387" s="1" t="s">
        <v>41</v>
      </c>
      <c r="M387" s="1" t="s">
        <v>42</v>
      </c>
      <c r="N387" s="1" t="s">
        <v>91</v>
      </c>
      <c r="O387" s="1"/>
      <c r="P387" s="1">
        <v>195</v>
      </c>
      <c r="Q387" s="1">
        <v>910.6</v>
      </c>
      <c r="R387" s="8" t="str">
        <f>_xlfn.IFS(J387&gt;=8,"Hit",J387&gt;=6,"Average",J387&lt;6,"Flop")</f>
        <v>Hit</v>
      </c>
      <c r="S387" s="9" t="str">
        <f>_xlfn.IFS(K387&gt;=400,"Blockbuster",K387&gt;=200,"Popular",K387&lt;200,"Normal")</f>
        <v>Blockbuster</v>
      </c>
      <c r="T387" s="10" t="str">
        <f>IF(OR(I387="PG",I387="G"),"Yes","No")</f>
        <v>Yes</v>
      </c>
      <c r="U387" s="11" t="str">
        <f>IF(P387&gt;=100,"High","Low")</f>
        <v>High</v>
      </c>
      <c r="V387" s="28">
        <f t="shared" ref="V387:V450" si="12">Q387-P387</f>
        <v>715.6</v>
      </c>
      <c r="W387" s="29">
        <f t="shared" ref="W387:W450" si="13">(Q387/P387)*100</f>
        <v>466.97435897435895</v>
      </c>
    </row>
    <row r="388" spans="1:23" x14ac:dyDescent="0.3">
      <c r="A388" s="1" t="s">
        <v>1212</v>
      </c>
      <c r="B388" s="1" t="s">
        <v>1213</v>
      </c>
      <c r="C388" s="1" t="s">
        <v>46</v>
      </c>
      <c r="D388" s="1" t="s">
        <v>58</v>
      </c>
      <c r="E388" s="1">
        <v>2004</v>
      </c>
      <c r="F388" s="1" t="s">
        <v>122</v>
      </c>
      <c r="G388" s="1" t="s">
        <v>1214</v>
      </c>
      <c r="H388" s="1">
        <v>31</v>
      </c>
      <c r="I388" s="1" t="s">
        <v>22</v>
      </c>
      <c r="J388" s="1">
        <v>8.8000000000000007</v>
      </c>
      <c r="K388" s="1">
        <v>313.10000000000002</v>
      </c>
      <c r="L388" s="1" t="s">
        <v>41</v>
      </c>
      <c r="M388" s="1" t="s">
        <v>33</v>
      </c>
      <c r="N388" s="1" t="s">
        <v>25</v>
      </c>
      <c r="O388" s="1">
        <v>7</v>
      </c>
      <c r="P388" s="1">
        <v>164</v>
      </c>
      <c r="Q388" s="1">
        <v>547.4</v>
      </c>
      <c r="R388" s="8" t="str">
        <f>_xlfn.IFS(J388&gt;=8,"Hit",J388&gt;=6,"Average",J388&lt;6,"Flop")</f>
        <v>Hit</v>
      </c>
      <c r="S388" s="9" t="str">
        <f>_xlfn.IFS(K388&gt;=400,"Blockbuster",K388&gt;=200,"Popular",K388&lt;200,"Normal")</f>
        <v>Popular</v>
      </c>
      <c r="T388" s="10" t="str">
        <f>IF(OR(I388="PG",I388="G"),"Yes","No")</f>
        <v>No</v>
      </c>
      <c r="U388" s="11" t="str">
        <f>IF(P388&gt;=100,"High","Low")</f>
        <v>High</v>
      </c>
      <c r="V388" s="28">
        <f t="shared" si="12"/>
        <v>383.4</v>
      </c>
      <c r="W388" s="29">
        <f t="shared" si="13"/>
        <v>333.78048780487808</v>
      </c>
    </row>
    <row r="389" spans="1:23" x14ac:dyDescent="0.3">
      <c r="A389" s="1" t="s">
        <v>1215</v>
      </c>
      <c r="B389" s="1" t="s">
        <v>1216</v>
      </c>
      <c r="C389" s="1" t="s">
        <v>18</v>
      </c>
      <c r="D389" s="1" t="s">
        <v>117</v>
      </c>
      <c r="E389" s="1">
        <v>2006</v>
      </c>
      <c r="F389" s="1" t="s">
        <v>181</v>
      </c>
      <c r="G389" s="1" t="s">
        <v>393</v>
      </c>
      <c r="H389" s="1">
        <v>86</v>
      </c>
      <c r="I389" s="1" t="s">
        <v>31</v>
      </c>
      <c r="J389" s="1">
        <v>4.5999999999999996</v>
      </c>
      <c r="K389" s="1">
        <v>68</v>
      </c>
      <c r="L389" s="1" t="s">
        <v>41</v>
      </c>
      <c r="M389" s="1" t="s">
        <v>78</v>
      </c>
      <c r="N389" s="1" t="s">
        <v>79</v>
      </c>
      <c r="O389" s="1"/>
      <c r="P389" s="1">
        <v>157</v>
      </c>
      <c r="Q389" s="1">
        <v>189.7</v>
      </c>
      <c r="R389" s="8" t="str">
        <f>_xlfn.IFS(J389&gt;=8,"Hit",J389&gt;=6,"Average",J389&lt;6,"Flop")</f>
        <v>Flop</v>
      </c>
      <c r="S389" s="9" t="str">
        <f>_xlfn.IFS(K389&gt;=400,"Blockbuster",K389&gt;=200,"Popular",K389&lt;200,"Normal")</f>
        <v>Normal</v>
      </c>
      <c r="T389" s="10" t="str">
        <f>IF(OR(I389="PG",I389="G"),"Yes","No")</f>
        <v>No</v>
      </c>
      <c r="U389" s="11" t="str">
        <f>IF(P389&gt;=100,"High","Low")</f>
        <v>High</v>
      </c>
      <c r="V389" s="28">
        <f t="shared" si="12"/>
        <v>32.699999999999989</v>
      </c>
      <c r="W389" s="29">
        <f t="shared" si="13"/>
        <v>120.82802547770699</v>
      </c>
    </row>
    <row r="390" spans="1:23" x14ac:dyDescent="0.3">
      <c r="A390" s="1" t="s">
        <v>1217</v>
      </c>
      <c r="B390" s="1" t="s">
        <v>1218</v>
      </c>
      <c r="C390" s="1" t="s">
        <v>46</v>
      </c>
      <c r="D390" s="1" t="s">
        <v>82</v>
      </c>
      <c r="E390" s="1">
        <v>2017</v>
      </c>
      <c r="F390" s="1" t="s">
        <v>38</v>
      </c>
      <c r="G390" s="1" t="s">
        <v>1219</v>
      </c>
      <c r="H390" s="1">
        <v>48</v>
      </c>
      <c r="I390" s="1" t="s">
        <v>110</v>
      </c>
      <c r="J390" s="1">
        <v>9.1999999999999993</v>
      </c>
      <c r="K390" s="1">
        <v>401.3</v>
      </c>
      <c r="L390" s="1" t="s">
        <v>41</v>
      </c>
      <c r="M390" s="1" t="s">
        <v>72</v>
      </c>
      <c r="N390" s="1" t="s">
        <v>79</v>
      </c>
      <c r="O390" s="1">
        <v>3</v>
      </c>
      <c r="P390" s="1">
        <v>150</v>
      </c>
      <c r="Q390" s="1">
        <v>529.79999999999995</v>
      </c>
      <c r="R390" s="8" t="str">
        <f>_xlfn.IFS(J390&gt;=8,"Hit",J390&gt;=6,"Average",J390&lt;6,"Flop")</f>
        <v>Hit</v>
      </c>
      <c r="S390" s="9" t="str">
        <f>_xlfn.IFS(K390&gt;=400,"Blockbuster",K390&gt;=200,"Popular",K390&lt;200,"Normal")</f>
        <v>Blockbuster</v>
      </c>
      <c r="T390" s="10" t="str">
        <f>IF(OR(I390="PG",I390="G"),"Yes","No")</f>
        <v>No</v>
      </c>
      <c r="U390" s="11" t="str">
        <f>IF(P390&gt;=100,"High","Low")</f>
        <v>High</v>
      </c>
      <c r="V390" s="28">
        <f t="shared" si="12"/>
        <v>379.79999999999995</v>
      </c>
      <c r="W390" s="29">
        <f t="shared" si="13"/>
        <v>353.19999999999993</v>
      </c>
    </row>
    <row r="391" spans="1:23" x14ac:dyDescent="0.3">
      <c r="A391" s="1" t="s">
        <v>1220</v>
      </c>
      <c r="B391" s="1" t="s">
        <v>1221</v>
      </c>
      <c r="C391" s="1" t="s">
        <v>18</v>
      </c>
      <c r="D391" s="1" t="s">
        <v>47</v>
      </c>
      <c r="E391" s="1">
        <v>2010</v>
      </c>
      <c r="F391" s="1" t="s">
        <v>76</v>
      </c>
      <c r="G391" s="1" t="s">
        <v>245</v>
      </c>
      <c r="H391" s="1">
        <v>133</v>
      </c>
      <c r="I391" s="1" t="s">
        <v>50</v>
      </c>
      <c r="J391" s="1">
        <v>6</v>
      </c>
      <c r="K391" s="1">
        <v>579.4</v>
      </c>
      <c r="L391" s="1" t="s">
        <v>23</v>
      </c>
      <c r="M391" s="1" t="s">
        <v>33</v>
      </c>
      <c r="N391" s="1" t="s">
        <v>43</v>
      </c>
      <c r="O391" s="1"/>
      <c r="P391" s="1">
        <v>199</v>
      </c>
      <c r="Q391" s="1">
        <v>352.6</v>
      </c>
      <c r="R391" s="8" t="str">
        <f>_xlfn.IFS(J391&gt;=8,"Hit",J391&gt;=6,"Average",J391&lt;6,"Flop")</f>
        <v>Average</v>
      </c>
      <c r="S391" s="9" t="str">
        <f>_xlfn.IFS(K391&gt;=400,"Blockbuster",K391&gt;=200,"Popular",K391&lt;200,"Normal")</f>
        <v>Blockbuster</v>
      </c>
      <c r="T391" s="10" t="str">
        <f>IF(OR(I391="PG",I391="G"),"Yes","No")</f>
        <v>Yes</v>
      </c>
      <c r="U391" s="11" t="str">
        <f>IF(P391&gt;=100,"High","Low")</f>
        <v>High</v>
      </c>
      <c r="V391" s="28">
        <f t="shared" si="12"/>
        <v>153.60000000000002</v>
      </c>
      <c r="W391" s="29">
        <f t="shared" si="13"/>
        <v>177.18592964824123</v>
      </c>
    </row>
    <row r="392" spans="1:23" x14ac:dyDescent="0.3">
      <c r="A392" s="1" t="s">
        <v>1222</v>
      </c>
      <c r="B392" s="1" t="s">
        <v>1223</v>
      </c>
      <c r="C392" s="1" t="s">
        <v>18</v>
      </c>
      <c r="D392" s="1" t="s">
        <v>19</v>
      </c>
      <c r="E392" s="1">
        <v>2003</v>
      </c>
      <c r="F392" s="1" t="s">
        <v>95</v>
      </c>
      <c r="G392" s="1" t="s">
        <v>826</v>
      </c>
      <c r="H392" s="1">
        <v>86</v>
      </c>
      <c r="I392" s="1" t="s">
        <v>110</v>
      </c>
      <c r="J392" s="1">
        <v>5.3</v>
      </c>
      <c r="K392" s="1">
        <v>358.5</v>
      </c>
      <c r="L392" s="1" t="s">
        <v>41</v>
      </c>
      <c r="M392" s="1" t="s">
        <v>66</v>
      </c>
      <c r="N392" s="1" t="s">
        <v>67</v>
      </c>
      <c r="O392" s="1"/>
      <c r="P392" s="1">
        <v>134</v>
      </c>
      <c r="Q392" s="1">
        <v>458.4</v>
      </c>
      <c r="R392" s="8" t="str">
        <f>_xlfn.IFS(J392&gt;=8,"Hit",J392&gt;=6,"Average",J392&lt;6,"Flop")</f>
        <v>Flop</v>
      </c>
      <c r="S392" s="9" t="str">
        <f>_xlfn.IFS(K392&gt;=400,"Blockbuster",K392&gt;=200,"Popular",K392&lt;200,"Normal")</f>
        <v>Popular</v>
      </c>
      <c r="T392" s="10" t="str">
        <f>IF(OR(I392="PG",I392="G"),"Yes","No")</f>
        <v>No</v>
      </c>
      <c r="U392" s="11" t="str">
        <f>IF(P392&gt;=100,"High","Low")</f>
        <v>High</v>
      </c>
      <c r="V392" s="28">
        <f t="shared" si="12"/>
        <v>324.39999999999998</v>
      </c>
      <c r="W392" s="29">
        <f t="shared" si="13"/>
        <v>342.08955223880599</v>
      </c>
    </row>
    <row r="393" spans="1:23" x14ac:dyDescent="0.3">
      <c r="A393" s="1" t="s">
        <v>1224</v>
      </c>
      <c r="B393" s="1" t="s">
        <v>1225</v>
      </c>
      <c r="C393" s="1" t="s">
        <v>46</v>
      </c>
      <c r="D393" s="1" t="s">
        <v>117</v>
      </c>
      <c r="E393" s="1">
        <v>2006</v>
      </c>
      <c r="F393" s="1" t="s">
        <v>181</v>
      </c>
      <c r="G393" s="1" t="s">
        <v>1226</v>
      </c>
      <c r="H393" s="1">
        <v>41</v>
      </c>
      <c r="I393" s="1" t="s">
        <v>110</v>
      </c>
      <c r="J393" s="1">
        <v>4.9000000000000004</v>
      </c>
      <c r="K393" s="1">
        <v>226.7</v>
      </c>
      <c r="L393" s="1" t="s">
        <v>23</v>
      </c>
      <c r="M393" s="1" t="s">
        <v>54</v>
      </c>
      <c r="N393" s="1" t="s">
        <v>102</v>
      </c>
      <c r="O393" s="1">
        <v>4</v>
      </c>
      <c r="P393" s="1">
        <v>170</v>
      </c>
      <c r="Q393" s="1">
        <v>804.2</v>
      </c>
      <c r="R393" s="8" t="str">
        <f>_xlfn.IFS(J393&gt;=8,"Hit",J393&gt;=6,"Average",J393&lt;6,"Flop")</f>
        <v>Flop</v>
      </c>
      <c r="S393" s="9" t="str">
        <f>_xlfn.IFS(K393&gt;=400,"Blockbuster",K393&gt;=200,"Popular",K393&lt;200,"Normal")</f>
        <v>Popular</v>
      </c>
      <c r="T393" s="10" t="str">
        <f>IF(OR(I393="PG",I393="G"),"Yes","No")</f>
        <v>No</v>
      </c>
      <c r="U393" s="11" t="str">
        <f>IF(P393&gt;=100,"High","Low")</f>
        <v>High</v>
      </c>
      <c r="V393" s="28">
        <f t="shared" si="12"/>
        <v>634.20000000000005</v>
      </c>
      <c r="W393" s="29">
        <f t="shared" si="13"/>
        <v>473.05882352941177</v>
      </c>
    </row>
    <row r="394" spans="1:23" x14ac:dyDescent="0.3">
      <c r="A394" s="1" t="s">
        <v>1227</v>
      </c>
      <c r="B394" s="1" t="s">
        <v>1228</v>
      </c>
      <c r="C394" s="1" t="s">
        <v>46</v>
      </c>
      <c r="D394" s="1" t="s">
        <v>63</v>
      </c>
      <c r="E394" s="1">
        <v>2022</v>
      </c>
      <c r="F394" s="1" t="s">
        <v>83</v>
      </c>
      <c r="G394" s="1" t="s">
        <v>1229</v>
      </c>
      <c r="H394" s="1">
        <v>53</v>
      </c>
      <c r="I394" s="1" t="s">
        <v>110</v>
      </c>
      <c r="J394" s="1">
        <v>9.5</v>
      </c>
      <c r="K394" s="1">
        <v>435.7</v>
      </c>
      <c r="L394" s="1" t="s">
        <v>41</v>
      </c>
      <c r="M394" s="1" t="s">
        <v>78</v>
      </c>
      <c r="N394" s="1" t="s">
        <v>34</v>
      </c>
      <c r="O394" s="1">
        <v>5</v>
      </c>
      <c r="P394" s="1">
        <v>86</v>
      </c>
      <c r="Q394" s="1">
        <v>414.3</v>
      </c>
      <c r="R394" s="8" t="str">
        <f>_xlfn.IFS(J394&gt;=8,"Hit",J394&gt;=6,"Average",J394&lt;6,"Flop")</f>
        <v>Hit</v>
      </c>
      <c r="S394" s="9" t="str">
        <f>_xlfn.IFS(K394&gt;=400,"Blockbuster",K394&gt;=200,"Popular",K394&lt;200,"Normal")</f>
        <v>Blockbuster</v>
      </c>
      <c r="T394" s="10" t="str">
        <f>IF(OR(I394="PG",I394="G"),"Yes","No")</f>
        <v>No</v>
      </c>
      <c r="U394" s="11" t="str">
        <f>IF(P394&gt;=100,"High","Low")</f>
        <v>Low</v>
      </c>
      <c r="V394" s="28">
        <f t="shared" si="12"/>
        <v>328.3</v>
      </c>
      <c r="W394" s="29">
        <f t="shared" si="13"/>
        <v>481.74418604651169</v>
      </c>
    </row>
    <row r="395" spans="1:23" x14ac:dyDescent="0.3">
      <c r="A395" s="1" t="s">
        <v>1230</v>
      </c>
      <c r="B395" s="1" t="s">
        <v>1231</v>
      </c>
      <c r="C395" s="1" t="s">
        <v>18</v>
      </c>
      <c r="D395" s="1" t="s">
        <v>63</v>
      </c>
      <c r="E395" s="1">
        <v>2018</v>
      </c>
      <c r="F395" s="1" t="s">
        <v>181</v>
      </c>
      <c r="G395" s="1" t="s">
        <v>1232</v>
      </c>
      <c r="H395" s="1">
        <v>120</v>
      </c>
      <c r="I395" s="1" t="s">
        <v>40</v>
      </c>
      <c r="J395" s="1">
        <v>6.1</v>
      </c>
      <c r="K395" s="1">
        <v>321.5</v>
      </c>
      <c r="L395" s="1" t="s">
        <v>41</v>
      </c>
      <c r="M395" s="1" t="s">
        <v>106</v>
      </c>
      <c r="N395" s="1" t="s">
        <v>25</v>
      </c>
      <c r="O395" s="1"/>
      <c r="P395" s="1">
        <v>38</v>
      </c>
      <c r="Q395" s="1">
        <v>222.3</v>
      </c>
      <c r="R395" s="8" t="str">
        <f>_xlfn.IFS(J395&gt;=8,"Hit",J395&gt;=6,"Average",J395&lt;6,"Flop")</f>
        <v>Average</v>
      </c>
      <c r="S395" s="9" t="str">
        <f>_xlfn.IFS(K395&gt;=400,"Blockbuster",K395&gt;=200,"Popular",K395&lt;200,"Normal")</f>
        <v>Popular</v>
      </c>
      <c r="T395" s="10" t="str">
        <f>IF(OR(I395="PG",I395="G"),"Yes","No")</f>
        <v>Yes</v>
      </c>
      <c r="U395" s="11" t="str">
        <f>IF(P395&gt;=100,"High","Low")</f>
        <v>Low</v>
      </c>
      <c r="V395" s="28">
        <f t="shared" si="12"/>
        <v>184.3</v>
      </c>
      <c r="W395" s="29">
        <f t="shared" si="13"/>
        <v>585</v>
      </c>
    </row>
    <row r="396" spans="1:23" x14ac:dyDescent="0.3">
      <c r="A396" s="1" t="s">
        <v>1233</v>
      </c>
      <c r="B396" s="1" t="s">
        <v>1234</v>
      </c>
      <c r="C396" s="1" t="s">
        <v>46</v>
      </c>
      <c r="D396" s="1" t="s">
        <v>141</v>
      </c>
      <c r="E396" s="1">
        <v>2001</v>
      </c>
      <c r="F396" s="1" t="s">
        <v>122</v>
      </c>
      <c r="G396" s="1" t="s">
        <v>1235</v>
      </c>
      <c r="H396" s="1">
        <v>52</v>
      </c>
      <c r="I396" s="1" t="s">
        <v>50</v>
      </c>
      <c r="J396" s="1">
        <v>6.1</v>
      </c>
      <c r="K396" s="1">
        <v>75.400000000000006</v>
      </c>
      <c r="L396" s="1" t="s">
        <v>71</v>
      </c>
      <c r="M396" s="1" t="s">
        <v>97</v>
      </c>
      <c r="N396" s="1" t="s">
        <v>91</v>
      </c>
      <c r="O396" s="1">
        <v>1</v>
      </c>
      <c r="P396" s="1">
        <v>186</v>
      </c>
      <c r="Q396" s="1">
        <v>1010</v>
      </c>
      <c r="R396" s="8" t="str">
        <f>_xlfn.IFS(J396&gt;=8,"Hit",J396&gt;=6,"Average",J396&lt;6,"Flop")</f>
        <v>Average</v>
      </c>
      <c r="S396" s="9" t="str">
        <f>_xlfn.IFS(K396&gt;=400,"Blockbuster",K396&gt;=200,"Popular",K396&lt;200,"Normal")</f>
        <v>Normal</v>
      </c>
      <c r="T396" s="10" t="str">
        <f>IF(OR(I396="PG",I396="G"),"Yes","No")</f>
        <v>Yes</v>
      </c>
      <c r="U396" s="11" t="str">
        <f>IF(P396&gt;=100,"High","Low")</f>
        <v>High</v>
      </c>
      <c r="V396" s="28">
        <f t="shared" si="12"/>
        <v>824</v>
      </c>
      <c r="W396" s="29">
        <f t="shared" si="13"/>
        <v>543.01075268817203</v>
      </c>
    </row>
    <row r="397" spans="1:23" x14ac:dyDescent="0.3">
      <c r="A397" s="1" t="s">
        <v>1236</v>
      </c>
      <c r="B397" s="1" t="s">
        <v>1237</v>
      </c>
      <c r="C397" s="1" t="s">
        <v>18</v>
      </c>
      <c r="D397" s="1" t="s">
        <v>58</v>
      </c>
      <c r="E397" s="1">
        <v>2000</v>
      </c>
      <c r="F397" s="1" t="s">
        <v>181</v>
      </c>
      <c r="G397" s="1" t="s">
        <v>1238</v>
      </c>
      <c r="H397" s="1">
        <v>113</v>
      </c>
      <c r="I397" s="1" t="s">
        <v>50</v>
      </c>
      <c r="J397" s="1">
        <v>7.6</v>
      </c>
      <c r="K397" s="1">
        <v>112.9</v>
      </c>
      <c r="L397" s="1" t="s">
        <v>90</v>
      </c>
      <c r="M397" s="1" t="s">
        <v>54</v>
      </c>
      <c r="N397" s="1" t="s">
        <v>67</v>
      </c>
      <c r="O397" s="1"/>
      <c r="P397" s="1">
        <v>138</v>
      </c>
      <c r="Q397" s="1">
        <v>821.4</v>
      </c>
      <c r="R397" s="8" t="str">
        <f>_xlfn.IFS(J397&gt;=8,"Hit",J397&gt;=6,"Average",J397&lt;6,"Flop")</f>
        <v>Average</v>
      </c>
      <c r="S397" s="9" t="str">
        <f>_xlfn.IFS(K397&gt;=400,"Blockbuster",K397&gt;=200,"Popular",K397&lt;200,"Normal")</f>
        <v>Normal</v>
      </c>
      <c r="T397" s="10" t="str">
        <f>IF(OR(I397="PG",I397="G"),"Yes","No")</f>
        <v>Yes</v>
      </c>
      <c r="U397" s="11" t="str">
        <f>IF(P397&gt;=100,"High","Low")</f>
        <v>High</v>
      </c>
      <c r="V397" s="28">
        <f t="shared" si="12"/>
        <v>683.4</v>
      </c>
      <c r="W397" s="29">
        <f t="shared" si="13"/>
        <v>595.21739130434787</v>
      </c>
    </row>
    <row r="398" spans="1:23" x14ac:dyDescent="0.3">
      <c r="A398" s="1" t="s">
        <v>1239</v>
      </c>
      <c r="B398" s="1" t="s">
        <v>1240</v>
      </c>
      <c r="C398" s="1" t="s">
        <v>46</v>
      </c>
      <c r="D398" s="1" t="s">
        <v>19</v>
      </c>
      <c r="E398" s="1">
        <v>2023</v>
      </c>
      <c r="F398" s="1" t="s">
        <v>95</v>
      </c>
      <c r="G398" s="1" t="s">
        <v>1241</v>
      </c>
      <c r="H398" s="1">
        <v>58</v>
      </c>
      <c r="I398" s="1" t="s">
        <v>22</v>
      </c>
      <c r="J398" s="1">
        <v>4.7</v>
      </c>
      <c r="K398" s="1">
        <v>357.8</v>
      </c>
      <c r="L398" s="1" t="s">
        <v>90</v>
      </c>
      <c r="M398" s="1" t="s">
        <v>78</v>
      </c>
      <c r="N398" s="1" t="s">
        <v>158</v>
      </c>
      <c r="O398" s="1">
        <v>8</v>
      </c>
      <c r="P398" s="1">
        <v>172</v>
      </c>
      <c r="Q398" s="1">
        <v>1108.2</v>
      </c>
      <c r="R398" s="8" t="str">
        <f>_xlfn.IFS(J398&gt;=8,"Hit",J398&gt;=6,"Average",J398&lt;6,"Flop")</f>
        <v>Flop</v>
      </c>
      <c r="S398" s="9" t="str">
        <f>_xlfn.IFS(K398&gt;=400,"Blockbuster",K398&gt;=200,"Popular",K398&lt;200,"Normal")</f>
        <v>Popular</v>
      </c>
      <c r="T398" s="10" t="str">
        <f>IF(OR(I398="PG",I398="G"),"Yes","No")</f>
        <v>No</v>
      </c>
      <c r="U398" s="11" t="str">
        <f>IF(P398&gt;=100,"High","Low")</f>
        <v>High</v>
      </c>
      <c r="V398" s="28">
        <f t="shared" si="12"/>
        <v>936.2</v>
      </c>
      <c r="W398" s="29">
        <f t="shared" si="13"/>
        <v>644.30232558139539</v>
      </c>
    </row>
    <row r="399" spans="1:23" x14ac:dyDescent="0.3">
      <c r="A399" s="1" t="s">
        <v>1242</v>
      </c>
      <c r="B399" s="1" t="s">
        <v>1243</v>
      </c>
      <c r="C399" s="1" t="s">
        <v>18</v>
      </c>
      <c r="D399" s="1" t="s">
        <v>28</v>
      </c>
      <c r="E399" s="1">
        <v>2008</v>
      </c>
      <c r="F399" s="1" t="s">
        <v>20</v>
      </c>
      <c r="G399" s="1" t="s">
        <v>1244</v>
      </c>
      <c r="H399" s="1">
        <v>180</v>
      </c>
      <c r="I399" s="1" t="s">
        <v>50</v>
      </c>
      <c r="J399" s="1">
        <v>4.7</v>
      </c>
      <c r="K399" s="1">
        <v>169.9</v>
      </c>
      <c r="L399" s="1" t="s">
        <v>90</v>
      </c>
      <c r="M399" s="1" t="s">
        <v>42</v>
      </c>
      <c r="N399" s="1" t="s">
        <v>43</v>
      </c>
      <c r="O399" s="1"/>
      <c r="P399" s="1">
        <v>60</v>
      </c>
      <c r="Q399" s="1">
        <v>167.1</v>
      </c>
      <c r="R399" s="8" t="str">
        <f>_xlfn.IFS(J399&gt;=8,"Hit",J399&gt;=6,"Average",J399&lt;6,"Flop")</f>
        <v>Flop</v>
      </c>
      <c r="S399" s="9" t="str">
        <f>_xlfn.IFS(K399&gt;=400,"Blockbuster",K399&gt;=200,"Popular",K399&lt;200,"Normal")</f>
        <v>Normal</v>
      </c>
      <c r="T399" s="10" t="str">
        <f>IF(OR(I399="PG",I399="G"),"Yes","No")</f>
        <v>Yes</v>
      </c>
      <c r="U399" s="11" t="str">
        <f>IF(P399&gt;=100,"High","Low")</f>
        <v>Low</v>
      </c>
      <c r="V399" s="28">
        <f t="shared" si="12"/>
        <v>107.1</v>
      </c>
      <c r="W399" s="29">
        <f t="shared" si="13"/>
        <v>278.49999999999994</v>
      </c>
    </row>
    <row r="400" spans="1:23" x14ac:dyDescent="0.3">
      <c r="A400" s="1" t="s">
        <v>1245</v>
      </c>
      <c r="B400" s="1" t="s">
        <v>1246</v>
      </c>
      <c r="C400" s="1" t="s">
        <v>46</v>
      </c>
      <c r="D400" s="1" t="s">
        <v>28</v>
      </c>
      <c r="E400" s="1">
        <v>2005</v>
      </c>
      <c r="F400" s="1" t="s">
        <v>38</v>
      </c>
      <c r="G400" s="1" t="s">
        <v>1247</v>
      </c>
      <c r="H400" s="1">
        <v>49</v>
      </c>
      <c r="I400" s="1" t="s">
        <v>50</v>
      </c>
      <c r="J400" s="1">
        <v>6.5</v>
      </c>
      <c r="K400" s="1">
        <v>510.1</v>
      </c>
      <c r="L400" s="1" t="s">
        <v>65</v>
      </c>
      <c r="M400" s="1" t="s">
        <v>33</v>
      </c>
      <c r="N400" s="1" t="s">
        <v>153</v>
      </c>
      <c r="O400" s="1">
        <v>6</v>
      </c>
      <c r="P400" s="1">
        <v>145</v>
      </c>
      <c r="Q400" s="1">
        <v>516.4</v>
      </c>
      <c r="R400" s="8" t="str">
        <f>_xlfn.IFS(J400&gt;=8,"Hit",J400&gt;=6,"Average",J400&lt;6,"Flop")</f>
        <v>Average</v>
      </c>
      <c r="S400" s="9" t="str">
        <f>_xlfn.IFS(K400&gt;=400,"Blockbuster",K400&gt;=200,"Popular",K400&lt;200,"Normal")</f>
        <v>Blockbuster</v>
      </c>
      <c r="T400" s="10" t="str">
        <f>IF(OR(I400="PG",I400="G"),"Yes","No")</f>
        <v>Yes</v>
      </c>
      <c r="U400" s="11" t="str">
        <f>IF(P400&gt;=100,"High","Low")</f>
        <v>High</v>
      </c>
      <c r="V400" s="28">
        <f t="shared" si="12"/>
        <v>371.4</v>
      </c>
      <c r="W400" s="29">
        <f t="shared" si="13"/>
        <v>356.13793103448273</v>
      </c>
    </row>
    <row r="401" spans="1:23" x14ac:dyDescent="0.3">
      <c r="A401" s="1" t="s">
        <v>1248</v>
      </c>
      <c r="B401" s="1" t="s">
        <v>1249</v>
      </c>
      <c r="C401" s="1" t="s">
        <v>18</v>
      </c>
      <c r="D401" s="1" t="s">
        <v>117</v>
      </c>
      <c r="E401" s="1">
        <v>2006</v>
      </c>
      <c r="F401" s="1" t="s">
        <v>48</v>
      </c>
      <c r="G401" s="1" t="s">
        <v>1250</v>
      </c>
      <c r="H401" s="1">
        <v>132</v>
      </c>
      <c r="I401" s="1" t="s">
        <v>22</v>
      </c>
      <c r="J401" s="1">
        <v>4.7</v>
      </c>
      <c r="K401" s="1">
        <v>407</v>
      </c>
      <c r="L401" s="1" t="s">
        <v>41</v>
      </c>
      <c r="M401" s="1" t="s">
        <v>85</v>
      </c>
      <c r="N401" s="1" t="s">
        <v>158</v>
      </c>
      <c r="O401" s="1"/>
      <c r="P401" s="1">
        <v>120</v>
      </c>
      <c r="Q401" s="1">
        <v>232.3</v>
      </c>
      <c r="R401" s="8" t="str">
        <f>_xlfn.IFS(J401&gt;=8,"Hit",J401&gt;=6,"Average",J401&lt;6,"Flop")</f>
        <v>Flop</v>
      </c>
      <c r="S401" s="9" t="str">
        <f>_xlfn.IFS(K401&gt;=400,"Blockbuster",K401&gt;=200,"Popular",K401&lt;200,"Normal")</f>
        <v>Blockbuster</v>
      </c>
      <c r="T401" s="10" t="str">
        <f>IF(OR(I401="PG",I401="G"),"Yes","No")</f>
        <v>No</v>
      </c>
      <c r="U401" s="11" t="str">
        <f>IF(P401&gt;=100,"High","Low")</f>
        <v>High</v>
      </c>
      <c r="V401" s="28">
        <f t="shared" si="12"/>
        <v>112.30000000000001</v>
      </c>
      <c r="W401" s="29">
        <f t="shared" si="13"/>
        <v>193.58333333333334</v>
      </c>
    </row>
    <row r="402" spans="1:23" x14ac:dyDescent="0.3">
      <c r="A402" s="1" t="s">
        <v>1251</v>
      </c>
      <c r="B402" s="1" t="s">
        <v>1252</v>
      </c>
      <c r="C402" s="1" t="s">
        <v>46</v>
      </c>
      <c r="D402" s="1" t="s">
        <v>19</v>
      </c>
      <c r="E402" s="1">
        <v>2017</v>
      </c>
      <c r="F402" s="1" t="s">
        <v>29</v>
      </c>
      <c r="G402" s="1" t="s">
        <v>1253</v>
      </c>
      <c r="H402" s="1">
        <v>51</v>
      </c>
      <c r="I402" s="1" t="s">
        <v>110</v>
      </c>
      <c r="J402" s="1">
        <v>6.9</v>
      </c>
      <c r="K402" s="1">
        <v>255.6</v>
      </c>
      <c r="L402" s="1" t="s">
        <v>65</v>
      </c>
      <c r="M402" s="1" t="s">
        <v>42</v>
      </c>
      <c r="N402" s="1" t="s">
        <v>25</v>
      </c>
      <c r="O402" s="1">
        <v>3</v>
      </c>
      <c r="P402" s="1">
        <v>122</v>
      </c>
      <c r="Q402" s="1">
        <v>312.89999999999998</v>
      </c>
      <c r="R402" s="8" t="str">
        <f>_xlfn.IFS(J402&gt;=8,"Hit",J402&gt;=6,"Average",J402&lt;6,"Flop")</f>
        <v>Average</v>
      </c>
      <c r="S402" s="9" t="str">
        <f>_xlfn.IFS(K402&gt;=400,"Blockbuster",K402&gt;=200,"Popular",K402&lt;200,"Normal")</f>
        <v>Popular</v>
      </c>
      <c r="T402" s="10" t="str">
        <f>IF(OR(I402="PG",I402="G"),"Yes","No")</f>
        <v>No</v>
      </c>
      <c r="U402" s="11" t="str">
        <f>IF(P402&gt;=100,"High","Low")</f>
        <v>High</v>
      </c>
      <c r="V402" s="28">
        <f t="shared" si="12"/>
        <v>190.89999999999998</v>
      </c>
      <c r="W402" s="29">
        <f t="shared" si="13"/>
        <v>256.47540983606552</v>
      </c>
    </row>
    <row r="403" spans="1:23" x14ac:dyDescent="0.3">
      <c r="A403" s="1" t="s">
        <v>1254</v>
      </c>
      <c r="B403" s="1" t="s">
        <v>1255</v>
      </c>
      <c r="C403" s="1" t="s">
        <v>46</v>
      </c>
      <c r="D403" s="1" t="s">
        <v>75</v>
      </c>
      <c r="E403" s="1">
        <v>2023</v>
      </c>
      <c r="F403" s="1" t="s">
        <v>83</v>
      </c>
      <c r="G403" s="1" t="s">
        <v>1256</v>
      </c>
      <c r="H403" s="1">
        <v>60</v>
      </c>
      <c r="I403" s="1" t="s">
        <v>22</v>
      </c>
      <c r="J403" s="1">
        <v>9.6</v>
      </c>
      <c r="K403" s="1">
        <v>538.6</v>
      </c>
      <c r="L403" s="1" t="s">
        <v>90</v>
      </c>
      <c r="M403" s="1" t="s">
        <v>54</v>
      </c>
      <c r="N403" s="1" t="s">
        <v>79</v>
      </c>
      <c r="O403" s="1">
        <v>1</v>
      </c>
      <c r="P403" s="1">
        <v>160</v>
      </c>
      <c r="Q403" s="1">
        <v>424</v>
      </c>
      <c r="R403" s="8" t="str">
        <f>_xlfn.IFS(J403&gt;=8,"Hit",J403&gt;=6,"Average",J403&lt;6,"Flop")</f>
        <v>Hit</v>
      </c>
      <c r="S403" s="9" t="str">
        <f>_xlfn.IFS(K403&gt;=400,"Blockbuster",K403&gt;=200,"Popular",K403&lt;200,"Normal")</f>
        <v>Blockbuster</v>
      </c>
      <c r="T403" s="10" t="str">
        <f>IF(OR(I403="PG",I403="G"),"Yes","No")</f>
        <v>No</v>
      </c>
      <c r="U403" s="11" t="str">
        <f>IF(P403&gt;=100,"High","Low")</f>
        <v>High</v>
      </c>
      <c r="V403" s="28">
        <f t="shared" si="12"/>
        <v>264</v>
      </c>
      <c r="W403" s="29">
        <f t="shared" si="13"/>
        <v>265</v>
      </c>
    </row>
    <row r="404" spans="1:23" x14ac:dyDescent="0.3">
      <c r="A404" s="1" t="s">
        <v>1257</v>
      </c>
      <c r="B404" s="1" t="s">
        <v>1258</v>
      </c>
      <c r="C404" s="1" t="s">
        <v>46</v>
      </c>
      <c r="D404" s="1" t="s">
        <v>63</v>
      </c>
      <c r="E404" s="1">
        <v>2017</v>
      </c>
      <c r="F404" s="1" t="s">
        <v>76</v>
      </c>
      <c r="G404" s="1" t="s">
        <v>1259</v>
      </c>
      <c r="H404" s="1">
        <v>45</v>
      </c>
      <c r="I404" s="1" t="s">
        <v>50</v>
      </c>
      <c r="J404" s="1">
        <v>7.6</v>
      </c>
      <c r="K404" s="1">
        <v>322.2</v>
      </c>
      <c r="L404" s="1" t="s">
        <v>71</v>
      </c>
      <c r="M404" s="1" t="s">
        <v>111</v>
      </c>
      <c r="N404" s="1" t="s">
        <v>86</v>
      </c>
      <c r="O404" s="1">
        <v>6</v>
      </c>
      <c r="P404" s="1">
        <v>161</v>
      </c>
      <c r="Q404" s="1">
        <v>842.9</v>
      </c>
      <c r="R404" s="8" t="str">
        <f>_xlfn.IFS(J404&gt;=8,"Hit",J404&gt;=6,"Average",J404&lt;6,"Flop")</f>
        <v>Average</v>
      </c>
      <c r="S404" s="9" t="str">
        <f>_xlfn.IFS(K404&gt;=400,"Blockbuster",K404&gt;=200,"Popular",K404&lt;200,"Normal")</f>
        <v>Popular</v>
      </c>
      <c r="T404" s="10" t="str">
        <f>IF(OR(I404="PG",I404="G"),"Yes","No")</f>
        <v>Yes</v>
      </c>
      <c r="U404" s="11" t="str">
        <f>IF(P404&gt;=100,"High","Low")</f>
        <v>High</v>
      </c>
      <c r="V404" s="28">
        <f t="shared" si="12"/>
        <v>681.9</v>
      </c>
      <c r="W404" s="29">
        <f t="shared" si="13"/>
        <v>523.54037267080741</v>
      </c>
    </row>
    <row r="405" spans="1:23" x14ac:dyDescent="0.3">
      <c r="A405" s="1" t="s">
        <v>1260</v>
      </c>
      <c r="B405" s="1" t="s">
        <v>1261</v>
      </c>
      <c r="C405" s="1" t="s">
        <v>18</v>
      </c>
      <c r="D405" s="1" t="s">
        <v>82</v>
      </c>
      <c r="E405" s="1">
        <v>2013</v>
      </c>
      <c r="F405" s="1" t="s">
        <v>95</v>
      </c>
      <c r="G405" s="1" t="s">
        <v>1262</v>
      </c>
      <c r="H405" s="1">
        <v>118</v>
      </c>
      <c r="I405" s="1" t="s">
        <v>110</v>
      </c>
      <c r="J405" s="1">
        <v>9.4</v>
      </c>
      <c r="K405" s="1">
        <v>304.39999999999998</v>
      </c>
      <c r="L405" s="1" t="s">
        <v>32</v>
      </c>
      <c r="M405" s="1" t="s">
        <v>132</v>
      </c>
      <c r="N405" s="1" t="s">
        <v>34</v>
      </c>
      <c r="O405" s="1"/>
      <c r="P405" s="1">
        <v>86</v>
      </c>
      <c r="Q405" s="1">
        <v>317.3</v>
      </c>
      <c r="R405" s="8" t="str">
        <f>_xlfn.IFS(J405&gt;=8,"Hit",J405&gt;=6,"Average",J405&lt;6,"Flop")</f>
        <v>Hit</v>
      </c>
      <c r="S405" s="9" t="str">
        <f>_xlfn.IFS(K405&gt;=400,"Blockbuster",K405&gt;=200,"Popular",K405&lt;200,"Normal")</f>
        <v>Popular</v>
      </c>
      <c r="T405" s="10" t="str">
        <f>IF(OR(I405="PG",I405="G"),"Yes","No")</f>
        <v>No</v>
      </c>
      <c r="U405" s="11" t="str">
        <f>IF(P405&gt;=100,"High","Low")</f>
        <v>Low</v>
      </c>
      <c r="V405" s="28">
        <f t="shared" si="12"/>
        <v>231.3</v>
      </c>
      <c r="W405" s="29">
        <f t="shared" si="13"/>
        <v>368.95348837209303</v>
      </c>
    </row>
    <row r="406" spans="1:23" x14ac:dyDescent="0.3">
      <c r="A406" s="1" t="s">
        <v>1263</v>
      </c>
      <c r="B406" s="1" t="s">
        <v>1264</v>
      </c>
      <c r="C406" s="1" t="s">
        <v>18</v>
      </c>
      <c r="D406" s="1" t="s">
        <v>47</v>
      </c>
      <c r="E406" s="1">
        <v>2004</v>
      </c>
      <c r="F406" s="1" t="s">
        <v>38</v>
      </c>
      <c r="G406" s="1" t="s">
        <v>1265</v>
      </c>
      <c r="H406" s="1">
        <v>107</v>
      </c>
      <c r="I406" s="1" t="s">
        <v>22</v>
      </c>
      <c r="J406" s="1">
        <v>9.1</v>
      </c>
      <c r="K406" s="1">
        <v>272.7</v>
      </c>
      <c r="L406" s="1" t="s">
        <v>71</v>
      </c>
      <c r="M406" s="1" t="s">
        <v>33</v>
      </c>
      <c r="N406" s="1" t="s">
        <v>178</v>
      </c>
      <c r="O406" s="1"/>
      <c r="P406" s="1">
        <v>106</v>
      </c>
      <c r="Q406" s="1">
        <v>686.3</v>
      </c>
      <c r="R406" s="8" t="str">
        <f>_xlfn.IFS(J406&gt;=8,"Hit",J406&gt;=6,"Average",J406&lt;6,"Flop")</f>
        <v>Hit</v>
      </c>
      <c r="S406" s="9" t="str">
        <f>_xlfn.IFS(K406&gt;=400,"Blockbuster",K406&gt;=200,"Popular",K406&lt;200,"Normal")</f>
        <v>Popular</v>
      </c>
      <c r="T406" s="10" t="str">
        <f>IF(OR(I406="PG",I406="G"),"Yes","No")</f>
        <v>No</v>
      </c>
      <c r="U406" s="11" t="str">
        <f>IF(P406&gt;=100,"High","Low")</f>
        <v>High</v>
      </c>
      <c r="V406" s="28">
        <f t="shared" si="12"/>
        <v>580.29999999999995</v>
      </c>
      <c r="W406" s="29">
        <f t="shared" si="13"/>
        <v>647.45283018867917</v>
      </c>
    </row>
    <row r="407" spans="1:23" x14ac:dyDescent="0.3">
      <c r="A407" s="1" t="s">
        <v>1266</v>
      </c>
      <c r="B407" s="1" t="s">
        <v>1267</v>
      </c>
      <c r="C407" s="1" t="s">
        <v>18</v>
      </c>
      <c r="D407" s="1" t="s">
        <v>94</v>
      </c>
      <c r="E407" s="1">
        <v>2008</v>
      </c>
      <c r="F407" s="1" t="s">
        <v>29</v>
      </c>
      <c r="G407" s="1" t="s">
        <v>278</v>
      </c>
      <c r="H407" s="1">
        <v>165</v>
      </c>
      <c r="I407" s="1" t="s">
        <v>50</v>
      </c>
      <c r="J407" s="1">
        <v>8.8000000000000007</v>
      </c>
      <c r="K407" s="1">
        <v>149.69999999999999</v>
      </c>
      <c r="L407" s="1" t="s">
        <v>32</v>
      </c>
      <c r="M407" s="1" t="s">
        <v>111</v>
      </c>
      <c r="N407" s="1" t="s">
        <v>102</v>
      </c>
      <c r="O407" s="1"/>
      <c r="P407" s="1">
        <v>45</v>
      </c>
      <c r="Q407" s="1">
        <v>121.4</v>
      </c>
      <c r="R407" s="8" t="str">
        <f>_xlfn.IFS(J407&gt;=8,"Hit",J407&gt;=6,"Average",J407&lt;6,"Flop")</f>
        <v>Hit</v>
      </c>
      <c r="S407" s="9" t="str">
        <f>_xlfn.IFS(K407&gt;=400,"Blockbuster",K407&gt;=200,"Popular",K407&lt;200,"Normal")</f>
        <v>Normal</v>
      </c>
      <c r="T407" s="10" t="str">
        <f>IF(OR(I407="PG",I407="G"),"Yes","No")</f>
        <v>Yes</v>
      </c>
      <c r="U407" s="11" t="str">
        <f>IF(P407&gt;=100,"High","Low")</f>
        <v>Low</v>
      </c>
      <c r="V407" s="28">
        <f t="shared" si="12"/>
        <v>76.400000000000006</v>
      </c>
      <c r="W407" s="29">
        <f t="shared" si="13"/>
        <v>269.77777777777783</v>
      </c>
    </row>
    <row r="408" spans="1:23" x14ac:dyDescent="0.3">
      <c r="A408" s="1" t="s">
        <v>1268</v>
      </c>
      <c r="B408" s="1" t="s">
        <v>1269</v>
      </c>
      <c r="C408" s="1" t="s">
        <v>18</v>
      </c>
      <c r="D408" s="1" t="s">
        <v>28</v>
      </c>
      <c r="E408" s="1">
        <v>2009</v>
      </c>
      <c r="F408" s="1" t="s">
        <v>29</v>
      </c>
      <c r="G408" s="1" t="s">
        <v>1270</v>
      </c>
      <c r="H408" s="1">
        <v>179</v>
      </c>
      <c r="I408" s="1" t="s">
        <v>31</v>
      </c>
      <c r="J408" s="1">
        <v>8.6999999999999993</v>
      </c>
      <c r="K408" s="1">
        <v>342.6</v>
      </c>
      <c r="L408" s="1" t="s">
        <v>90</v>
      </c>
      <c r="M408" s="1" t="s">
        <v>72</v>
      </c>
      <c r="N408" s="1" t="s">
        <v>86</v>
      </c>
      <c r="O408" s="1"/>
      <c r="P408" s="1">
        <v>38</v>
      </c>
      <c r="Q408" s="1">
        <v>157.6</v>
      </c>
      <c r="R408" s="8" t="str">
        <f>_xlfn.IFS(J408&gt;=8,"Hit",J408&gt;=6,"Average",J408&lt;6,"Flop")</f>
        <v>Hit</v>
      </c>
      <c r="S408" s="9" t="str">
        <f>_xlfn.IFS(K408&gt;=400,"Blockbuster",K408&gt;=200,"Popular",K408&lt;200,"Normal")</f>
        <v>Popular</v>
      </c>
      <c r="T408" s="10" t="str">
        <f>IF(OR(I408="PG",I408="G"),"Yes","No")</f>
        <v>No</v>
      </c>
      <c r="U408" s="11" t="str">
        <f>IF(P408&gt;=100,"High","Low")</f>
        <v>Low</v>
      </c>
      <c r="V408" s="28">
        <f t="shared" si="12"/>
        <v>119.6</v>
      </c>
      <c r="W408" s="29">
        <f t="shared" si="13"/>
        <v>414.73684210526312</v>
      </c>
    </row>
    <row r="409" spans="1:23" x14ac:dyDescent="0.3">
      <c r="A409" s="1" t="s">
        <v>1271</v>
      </c>
      <c r="B409" s="1" t="s">
        <v>1272</v>
      </c>
      <c r="C409" s="1" t="s">
        <v>46</v>
      </c>
      <c r="D409" s="1" t="s">
        <v>94</v>
      </c>
      <c r="E409" s="1">
        <v>2004</v>
      </c>
      <c r="F409" s="1" t="s">
        <v>181</v>
      </c>
      <c r="G409" s="1" t="s">
        <v>831</v>
      </c>
      <c r="H409" s="1">
        <v>42</v>
      </c>
      <c r="I409" s="1" t="s">
        <v>40</v>
      </c>
      <c r="J409" s="1">
        <v>6.1</v>
      </c>
      <c r="K409" s="1">
        <v>343.6</v>
      </c>
      <c r="L409" s="1" t="s">
        <v>71</v>
      </c>
      <c r="M409" s="1" t="s">
        <v>111</v>
      </c>
      <c r="N409" s="1" t="s">
        <v>128</v>
      </c>
      <c r="O409" s="1">
        <v>6</v>
      </c>
      <c r="P409" s="1">
        <v>37</v>
      </c>
      <c r="Q409" s="1">
        <v>53.8</v>
      </c>
      <c r="R409" s="8" t="str">
        <f>_xlfn.IFS(J409&gt;=8,"Hit",J409&gt;=6,"Average",J409&lt;6,"Flop")</f>
        <v>Average</v>
      </c>
      <c r="S409" s="9" t="str">
        <f>_xlfn.IFS(K409&gt;=400,"Blockbuster",K409&gt;=200,"Popular",K409&lt;200,"Normal")</f>
        <v>Popular</v>
      </c>
      <c r="T409" s="10" t="str">
        <f>IF(OR(I409="PG",I409="G"),"Yes","No")</f>
        <v>Yes</v>
      </c>
      <c r="U409" s="11" t="str">
        <f>IF(P409&gt;=100,"High","Low")</f>
        <v>Low</v>
      </c>
      <c r="V409" s="28">
        <f t="shared" si="12"/>
        <v>16.799999999999997</v>
      </c>
      <c r="W409" s="29">
        <f t="shared" si="13"/>
        <v>145.40540540540542</v>
      </c>
    </row>
    <row r="410" spans="1:23" x14ac:dyDescent="0.3">
      <c r="A410" s="1" t="s">
        <v>1273</v>
      </c>
      <c r="B410" s="1" t="s">
        <v>1274</v>
      </c>
      <c r="C410" s="1" t="s">
        <v>46</v>
      </c>
      <c r="D410" s="1" t="s">
        <v>19</v>
      </c>
      <c r="E410" s="1">
        <v>2021</v>
      </c>
      <c r="F410" s="1" t="s">
        <v>83</v>
      </c>
      <c r="G410" s="1" t="s">
        <v>740</v>
      </c>
      <c r="H410" s="1">
        <v>33</v>
      </c>
      <c r="I410" s="1" t="s">
        <v>40</v>
      </c>
      <c r="J410" s="1">
        <v>5.0999999999999996</v>
      </c>
      <c r="K410" s="1">
        <v>584.9</v>
      </c>
      <c r="L410" s="1" t="s">
        <v>90</v>
      </c>
      <c r="M410" s="1" t="s">
        <v>42</v>
      </c>
      <c r="N410" s="1" t="s">
        <v>79</v>
      </c>
      <c r="O410" s="1">
        <v>7</v>
      </c>
      <c r="P410" s="1">
        <v>12</v>
      </c>
      <c r="Q410" s="1">
        <v>21.2</v>
      </c>
      <c r="R410" s="8" t="str">
        <f>_xlfn.IFS(J410&gt;=8,"Hit",J410&gt;=6,"Average",J410&lt;6,"Flop")</f>
        <v>Flop</v>
      </c>
      <c r="S410" s="9" t="str">
        <f>_xlfn.IFS(K410&gt;=400,"Blockbuster",K410&gt;=200,"Popular",K410&lt;200,"Normal")</f>
        <v>Blockbuster</v>
      </c>
      <c r="T410" s="10" t="str">
        <f>IF(OR(I410="PG",I410="G"),"Yes","No")</f>
        <v>Yes</v>
      </c>
      <c r="U410" s="11" t="str">
        <f>IF(P410&gt;=100,"High","Low")</f>
        <v>Low</v>
      </c>
      <c r="V410" s="28">
        <f t="shared" si="12"/>
        <v>9.1999999999999993</v>
      </c>
      <c r="W410" s="29">
        <f t="shared" si="13"/>
        <v>176.66666666666666</v>
      </c>
    </row>
    <row r="411" spans="1:23" x14ac:dyDescent="0.3">
      <c r="A411" s="1" t="s">
        <v>1275</v>
      </c>
      <c r="B411" s="1" t="s">
        <v>1276</v>
      </c>
      <c r="C411" s="1" t="s">
        <v>18</v>
      </c>
      <c r="D411" s="1" t="s">
        <v>82</v>
      </c>
      <c r="E411" s="1">
        <v>2007</v>
      </c>
      <c r="F411" s="1" t="s">
        <v>122</v>
      </c>
      <c r="G411" s="1" t="s">
        <v>1277</v>
      </c>
      <c r="H411" s="1">
        <v>91</v>
      </c>
      <c r="I411" s="1" t="s">
        <v>22</v>
      </c>
      <c r="J411" s="1">
        <v>5.5</v>
      </c>
      <c r="K411" s="1">
        <v>573.4</v>
      </c>
      <c r="L411" s="1" t="s">
        <v>41</v>
      </c>
      <c r="M411" s="1" t="s">
        <v>124</v>
      </c>
      <c r="N411" s="1" t="s">
        <v>158</v>
      </c>
      <c r="O411" s="1"/>
      <c r="P411" s="1">
        <v>188</v>
      </c>
      <c r="Q411" s="1">
        <v>1136.4000000000001</v>
      </c>
      <c r="R411" s="8" t="str">
        <f>_xlfn.IFS(J411&gt;=8,"Hit",J411&gt;=6,"Average",J411&lt;6,"Flop")</f>
        <v>Flop</v>
      </c>
      <c r="S411" s="9" t="str">
        <f>_xlfn.IFS(K411&gt;=400,"Blockbuster",K411&gt;=200,"Popular",K411&lt;200,"Normal")</f>
        <v>Blockbuster</v>
      </c>
      <c r="T411" s="10" t="str">
        <f>IF(OR(I411="PG",I411="G"),"Yes","No")</f>
        <v>No</v>
      </c>
      <c r="U411" s="11" t="str">
        <f>IF(P411&gt;=100,"High","Low")</f>
        <v>High</v>
      </c>
      <c r="V411" s="28">
        <f t="shared" si="12"/>
        <v>948.40000000000009</v>
      </c>
      <c r="W411" s="29">
        <f t="shared" si="13"/>
        <v>604.46808510638311</v>
      </c>
    </row>
    <row r="412" spans="1:23" x14ac:dyDescent="0.3">
      <c r="A412" s="1" t="s">
        <v>1278</v>
      </c>
      <c r="B412" s="1" t="s">
        <v>1279</v>
      </c>
      <c r="C412" s="1" t="s">
        <v>46</v>
      </c>
      <c r="D412" s="1" t="s">
        <v>28</v>
      </c>
      <c r="E412" s="1">
        <v>2023</v>
      </c>
      <c r="F412" s="1" t="s">
        <v>100</v>
      </c>
      <c r="G412" s="1" t="s">
        <v>1280</v>
      </c>
      <c r="H412" s="1">
        <v>36</v>
      </c>
      <c r="I412" s="1" t="s">
        <v>22</v>
      </c>
      <c r="J412" s="1">
        <v>6.9</v>
      </c>
      <c r="K412" s="1">
        <v>565.70000000000005</v>
      </c>
      <c r="L412" s="1" t="s">
        <v>23</v>
      </c>
      <c r="M412" s="1" t="s">
        <v>85</v>
      </c>
      <c r="N412" s="1" t="s">
        <v>25</v>
      </c>
      <c r="O412" s="1">
        <v>6</v>
      </c>
      <c r="P412" s="1">
        <v>93</v>
      </c>
      <c r="Q412" s="1">
        <v>350.9</v>
      </c>
      <c r="R412" s="8" t="str">
        <f>_xlfn.IFS(J412&gt;=8,"Hit",J412&gt;=6,"Average",J412&lt;6,"Flop")</f>
        <v>Average</v>
      </c>
      <c r="S412" s="9" t="str">
        <f>_xlfn.IFS(K412&gt;=400,"Blockbuster",K412&gt;=200,"Popular",K412&lt;200,"Normal")</f>
        <v>Blockbuster</v>
      </c>
      <c r="T412" s="10" t="str">
        <f>IF(OR(I412="PG",I412="G"),"Yes","No")</f>
        <v>No</v>
      </c>
      <c r="U412" s="11" t="str">
        <f>IF(P412&gt;=100,"High","Low")</f>
        <v>Low</v>
      </c>
      <c r="V412" s="28">
        <f t="shared" si="12"/>
        <v>257.89999999999998</v>
      </c>
      <c r="W412" s="29">
        <f t="shared" si="13"/>
        <v>377.31182795698925</v>
      </c>
    </row>
    <row r="413" spans="1:23" x14ac:dyDescent="0.3">
      <c r="A413" s="1" t="s">
        <v>1281</v>
      </c>
      <c r="B413" s="1" t="s">
        <v>1282</v>
      </c>
      <c r="C413" s="1" t="s">
        <v>46</v>
      </c>
      <c r="D413" s="1" t="s">
        <v>75</v>
      </c>
      <c r="E413" s="1">
        <v>2012</v>
      </c>
      <c r="F413" s="1" t="s">
        <v>95</v>
      </c>
      <c r="G413" s="1" t="s">
        <v>1283</v>
      </c>
      <c r="H413" s="1">
        <v>36</v>
      </c>
      <c r="I413" s="1" t="s">
        <v>40</v>
      </c>
      <c r="J413" s="1">
        <v>5.9</v>
      </c>
      <c r="K413" s="1">
        <v>268.8</v>
      </c>
      <c r="L413" s="1" t="s">
        <v>65</v>
      </c>
      <c r="M413" s="1" t="s">
        <v>33</v>
      </c>
      <c r="N413" s="1" t="s">
        <v>158</v>
      </c>
      <c r="O413" s="1">
        <v>3</v>
      </c>
      <c r="P413" s="1">
        <v>183</v>
      </c>
      <c r="Q413" s="1">
        <v>483.2</v>
      </c>
      <c r="R413" s="8" t="str">
        <f>_xlfn.IFS(J413&gt;=8,"Hit",J413&gt;=6,"Average",J413&lt;6,"Flop")</f>
        <v>Flop</v>
      </c>
      <c r="S413" s="9" t="str">
        <f>_xlfn.IFS(K413&gt;=400,"Blockbuster",K413&gt;=200,"Popular",K413&lt;200,"Normal")</f>
        <v>Popular</v>
      </c>
      <c r="T413" s="10" t="str">
        <f>IF(OR(I413="PG",I413="G"),"Yes","No")</f>
        <v>Yes</v>
      </c>
      <c r="U413" s="11" t="str">
        <f>IF(P413&gt;=100,"High","Low")</f>
        <v>High</v>
      </c>
      <c r="V413" s="28">
        <f t="shared" si="12"/>
        <v>300.2</v>
      </c>
      <c r="W413" s="29">
        <f t="shared" si="13"/>
        <v>264.04371584699453</v>
      </c>
    </row>
    <row r="414" spans="1:23" x14ac:dyDescent="0.3">
      <c r="A414" s="1" t="s">
        <v>1284</v>
      </c>
      <c r="B414" s="1" t="s">
        <v>1285</v>
      </c>
      <c r="C414" s="1" t="s">
        <v>46</v>
      </c>
      <c r="D414" s="1" t="s">
        <v>19</v>
      </c>
      <c r="E414" s="1">
        <v>2021</v>
      </c>
      <c r="F414" s="1" t="s">
        <v>100</v>
      </c>
      <c r="G414" s="1" t="s">
        <v>728</v>
      </c>
      <c r="H414" s="1">
        <v>33</v>
      </c>
      <c r="I414" s="1" t="s">
        <v>110</v>
      </c>
      <c r="J414" s="1">
        <v>7.1</v>
      </c>
      <c r="K414" s="1">
        <v>30.2</v>
      </c>
      <c r="L414" s="1" t="s">
        <v>90</v>
      </c>
      <c r="M414" s="1" t="s">
        <v>24</v>
      </c>
      <c r="N414" s="1" t="s">
        <v>153</v>
      </c>
      <c r="O414" s="1">
        <v>3</v>
      </c>
      <c r="P414" s="1">
        <v>50</v>
      </c>
      <c r="Q414" s="1">
        <v>123</v>
      </c>
      <c r="R414" s="8" t="str">
        <f>_xlfn.IFS(J414&gt;=8,"Hit",J414&gt;=6,"Average",J414&lt;6,"Flop")</f>
        <v>Average</v>
      </c>
      <c r="S414" s="9" t="str">
        <f>_xlfn.IFS(K414&gt;=400,"Blockbuster",K414&gt;=200,"Popular",K414&lt;200,"Normal")</f>
        <v>Normal</v>
      </c>
      <c r="T414" s="10" t="str">
        <f>IF(OR(I414="PG",I414="G"),"Yes","No")</f>
        <v>No</v>
      </c>
      <c r="U414" s="11" t="str">
        <f>IF(P414&gt;=100,"High","Low")</f>
        <v>Low</v>
      </c>
      <c r="V414" s="28">
        <f t="shared" si="12"/>
        <v>73</v>
      </c>
      <c r="W414" s="29">
        <f t="shared" si="13"/>
        <v>246</v>
      </c>
    </row>
    <row r="415" spans="1:23" x14ac:dyDescent="0.3">
      <c r="A415" s="1" t="s">
        <v>1286</v>
      </c>
      <c r="B415" s="1" t="s">
        <v>1287</v>
      </c>
      <c r="C415" s="1" t="s">
        <v>46</v>
      </c>
      <c r="D415" s="1" t="s">
        <v>75</v>
      </c>
      <c r="E415" s="1">
        <v>2003</v>
      </c>
      <c r="F415" s="1" t="s">
        <v>76</v>
      </c>
      <c r="G415" s="1" t="s">
        <v>1288</v>
      </c>
      <c r="H415" s="1">
        <v>37</v>
      </c>
      <c r="I415" s="1" t="s">
        <v>110</v>
      </c>
      <c r="J415" s="1">
        <v>6.1</v>
      </c>
      <c r="K415" s="1">
        <v>363.9</v>
      </c>
      <c r="L415" s="1" t="s">
        <v>41</v>
      </c>
      <c r="M415" s="1" t="s">
        <v>54</v>
      </c>
      <c r="N415" s="1" t="s">
        <v>34</v>
      </c>
      <c r="O415" s="1">
        <v>4</v>
      </c>
      <c r="P415" s="1">
        <v>175</v>
      </c>
      <c r="Q415" s="1">
        <v>993.4</v>
      </c>
      <c r="R415" s="8" t="str">
        <f>_xlfn.IFS(J415&gt;=8,"Hit",J415&gt;=6,"Average",J415&lt;6,"Flop")</f>
        <v>Average</v>
      </c>
      <c r="S415" s="9" t="str">
        <f>_xlfn.IFS(K415&gt;=400,"Blockbuster",K415&gt;=200,"Popular",K415&lt;200,"Normal")</f>
        <v>Popular</v>
      </c>
      <c r="T415" s="10" t="str">
        <f>IF(OR(I415="PG",I415="G"),"Yes","No")</f>
        <v>No</v>
      </c>
      <c r="U415" s="11" t="str">
        <f>IF(P415&gt;=100,"High","Low")</f>
        <v>High</v>
      </c>
      <c r="V415" s="28">
        <f t="shared" si="12"/>
        <v>818.4</v>
      </c>
      <c r="W415" s="29">
        <f t="shared" si="13"/>
        <v>567.65714285714284</v>
      </c>
    </row>
    <row r="416" spans="1:23" x14ac:dyDescent="0.3">
      <c r="A416" s="1" t="s">
        <v>1289</v>
      </c>
      <c r="B416" s="1" t="s">
        <v>1290</v>
      </c>
      <c r="C416" s="1" t="s">
        <v>18</v>
      </c>
      <c r="D416" s="1" t="s">
        <v>47</v>
      </c>
      <c r="E416" s="1">
        <v>2000</v>
      </c>
      <c r="F416" s="1" t="s">
        <v>29</v>
      </c>
      <c r="G416" s="1" t="s">
        <v>1291</v>
      </c>
      <c r="H416" s="1">
        <v>99</v>
      </c>
      <c r="I416" s="1" t="s">
        <v>50</v>
      </c>
      <c r="J416" s="1">
        <v>6.7</v>
      </c>
      <c r="K416" s="1">
        <v>79.400000000000006</v>
      </c>
      <c r="L416" s="1" t="s">
        <v>23</v>
      </c>
      <c r="M416" s="1" t="s">
        <v>97</v>
      </c>
      <c r="N416" s="1" t="s">
        <v>34</v>
      </c>
      <c r="O416" s="1"/>
      <c r="P416" s="1">
        <v>134</v>
      </c>
      <c r="Q416" s="1">
        <v>435.8</v>
      </c>
      <c r="R416" s="8" t="str">
        <f>_xlfn.IFS(J416&gt;=8,"Hit",J416&gt;=6,"Average",J416&lt;6,"Flop")</f>
        <v>Average</v>
      </c>
      <c r="S416" s="9" t="str">
        <f>_xlfn.IFS(K416&gt;=400,"Blockbuster",K416&gt;=200,"Popular",K416&lt;200,"Normal")</f>
        <v>Normal</v>
      </c>
      <c r="T416" s="10" t="str">
        <f>IF(OR(I416="PG",I416="G"),"Yes","No")</f>
        <v>Yes</v>
      </c>
      <c r="U416" s="11" t="str">
        <f>IF(P416&gt;=100,"High","Low")</f>
        <v>High</v>
      </c>
      <c r="V416" s="28">
        <f t="shared" si="12"/>
        <v>301.8</v>
      </c>
      <c r="W416" s="29">
        <f t="shared" si="13"/>
        <v>325.22388059701495</v>
      </c>
    </row>
    <row r="417" spans="1:23" x14ac:dyDescent="0.3">
      <c r="A417" s="1" t="s">
        <v>1292</v>
      </c>
      <c r="B417" s="1" t="s">
        <v>1293</v>
      </c>
      <c r="C417" s="1" t="s">
        <v>18</v>
      </c>
      <c r="D417" s="1" t="s">
        <v>141</v>
      </c>
      <c r="E417" s="1">
        <v>2000</v>
      </c>
      <c r="F417" s="1" t="s">
        <v>100</v>
      </c>
      <c r="G417" s="1" t="s">
        <v>1294</v>
      </c>
      <c r="H417" s="1">
        <v>120</v>
      </c>
      <c r="I417" s="1" t="s">
        <v>110</v>
      </c>
      <c r="J417" s="1">
        <v>8.5</v>
      </c>
      <c r="K417" s="1">
        <v>181.7</v>
      </c>
      <c r="L417" s="1" t="s">
        <v>65</v>
      </c>
      <c r="M417" s="1" t="s">
        <v>111</v>
      </c>
      <c r="N417" s="1" t="s">
        <v>86</v>
      </c>
      <c r="O417" s="1"/>
      <c r="P417" s="1">
        <v>41</v>
      </c>
      <c r="Q417" s="1">
        <v>127.4</v>
      </c>
      <c r="R417" s="8" t="str">
        <f>_xlfn.IFS(J417&gt;=8,"Hit",J417&gt;=6,"Average",J417&lt;6,"Flop")</f>
        <v>Hit</v>
      </c>
      <c r="S417" s="9" t="str">
        <f>_xlfn.IFS(K417&gt;=400,"Blockbuster",K417&gt;=200,"Popular",K417&lt;200,"Normal")</f>
        <v>Normal</v>
      </c>
      <c r="T417" s="10" t="str">
        <f>IF(OR(I417="PG",I417="G"),"Yes","No")</f>
        <v>No</v>
      </c>
      <c r="U417" s="11" t="str">
        <f>IF(P417&gt;=100,"High","Low")</f>
        <v>Low</v>
      </c>
      <c r="V417" s="28">
        <f t="shared" si="12"/>
        <v>86.4</v>
      </c>
      <c r="W417" s="29">
        <f t="shared" si="13"/>
        <v>310.73170731707319</v>
      </c>
    </row>
    <row r="418" spans="1:23" x14ac:dyDescent="0.3">
      <c r="A418" s="1" t="s">
        <v>1295</v>
      </c>
      <c r="B418" s="1" t="s">
        <v>1296</v>
      </c>
      <c r="C418" s="1" t="s">
        <v>18</v>
      </c>
      <c r="D418" s="1" t="s">
        <v>141</v>
      </c>
      <c r="E418" s="1">
        <v>2001</v>
      </c>
      <c r="F418" s="1" t="s">
        <v>100</v>
      </c>
      <c r="G418" s="1" t="s">
        <v>1297</v>
      </c>
      <c r="H418" s="1">
        <v>147</v>
      </c>
      <c r="I418" s="1" t="s">
        <v>50</v>
      </c>
      <c r="J418" s="1">
        <v>9.6</v>
      </c>
      <c r="K418" s="1">
        <v>596</v>
      </c>
      <c r="L418" s="1" t="s">
        <v>65</v>
      </c>
      <c r="M418" s="1" t="s">
        <v>54</v>
      </c>
      <c r="N418" s="1" t="s">
        <v>119</v>
      </c>
      <c r="O418" s="1"/>
      <c r="P418" s="1">
        <v>89</v>
      </c>
      <c r="Q418" s="1">
        <v>279</v>
      </c>
      <c r="R418" s="8" t="str">
        <f>_xlfn.IFS(J418&gt;=8,"Hit",J418&gt;=6,"Average",J418&lt;6,"Flop")</f>
        <v>Hit</v>
      </c>
      <c r="S418" s="9" t="str">
        <f>_xlfn.IFS(K418&gt;=400,"Blockbuster",K418&gt;=200,"Popular",K418&lt;200,"Normal")</f>
        <v>Blockbuster</v>
      </c>
      <c r="T418" s="10" t="str">
        <f>IF(OR(I418="PG",I418="G"),"Yes","No")</f>
        <v>Yes</v>
      </c>
      <c r="U418" s="11" t="str">
        <f>IF(P418&gt;=100,"High","Low")</f>
        <v>Low</v>
      </c>
      <c r="V418" s="28">
        <f t="shared" si="12"/>
        <v>190</v>
      </c>
      <c r="W418" s="29">
        <f t="shared" si="13"/>
        <v>313.4831460674157</v>
      </c>
    </row>
    <row r="419" spans="1:23" x14ac:dyDescent="0.3">
      <c r="A419" s="1" t="s">
        <v>1298</v>
      </c>
      <c r="B419" s="1" t="s">
        <v>1299</v>
      </c>
      <c r="C419" s="1" t="s">
        <v>46</v>
      </c>
      <c r="D419" s="1" t="s">
        <v>47</v>
      </c>
      <c r="E419" s="1">
        <v>2009</v>
      </c>
      <c r="F419" s="1" t="s">
        <v>122</v>
      </c>
      <c r="G419" s="1" t="s">
        <v>1300</v>
      </c>
      <c r="H419" s="1">
        <v>43</v>
      </c>
      <c r="I419" s="1" t="s">
        <v>31</v>
      </c>
      <c r="J419" s="1">
        <v>7.1</v>
      </c>
      <c r="K419" s="1">
        <v>446.6</v>
      </c>
      <c r="L419" s="1" t="s">
        <v>71</v>
      </c>
      <c r="M419" s="1" t="s">
        <v>72</v>
      </c>
      <c r="N419" s="1" t="s">
        <v>91</v>
      </c>
      <c r="O419" s="1">
        <v>5</v>
      </c>
      <c r="P419" s="1">
        <v>57</v>
      </c>
      <c r="Q419" s="1">
        <v>352.6</v>
      </c>
      <c r="R419" s="8" t="str">
        <f>_xlfn.IFS(J419&gt;=8,"Hit",J419&gt;=6,"Average",J419&lt;6,"Flop")</f>
        <v>Average</v>
      </c>
      <c r="S419" s="9" t="str">
        <f>_xlfn.IFS(K419&gt;=400,"Blockbuster",K419&gt;=200,"Popular",K419&lt;200,"Normal")</f>
        <v>Blockbuster</v>
      </c>
      <c r="T419" s="10" t="str">
        <f>IF(OR(I419="PG",I419="G"),"Yes","No")</f>
        <v>No</v>
      </c>
      <c r="U419" s="11" t="str">
        <f>IF(P419&gt;=100,"High","Low")</f>
        <v>Low</v>
      </c>
      <c r="V419" s="28">
        <f t="shared" si="12"/>
        <v>295.60000000000002</v>
      </c>
      <c r="W419" s="29">
        <f t="shared" si="13"/>
        <v>618.59649122807014</v>
      </c>
    </row>
    <row r="420" spans="1:23" x14ac:dyDescent="0.3">
      <c r="A420" s="1" t="s">
        <v>1301</v>
      </c>
      <c r="B420" s="1" t="s">
        <v>1302</v>
      </c>
      <c r="C420" s="1" t="s">
        <v>18</v>
      </c>
      <c r="D420" s="1" t="s">
        <v>58</v>
      </c>
      <c r="E420" s="1">
        <v>2012</v>
      </c>
      <c r="F420" s="1" t="s">
        <v>83</v>
      </c>
      <c r="G420" s="1" t="s">
        <v>1303</v>
      </c>
      <c r="H420" s="1">
        <v>154</v>
      </c>
      <c r="I420" s="1" t="s">
        <v>22</v>
      </c>
      <c r="J420" s="1">
        <v>7.1</v>
      </c>
      <c r="K420" s="1">
        <v>543.4</v>
      </c>
      <c r="L420" s="1" t="s">
        <v>32</v>
      </c>
      <c r="M420" s="1" t="s">
        <v>24</v>
      </c>
      <c r="N420" s="1" t="s">
        <v>153</v>
      </c>
      <c r="O420" s="1"/>
      <c r="P420" s="1">
        <v>52</v>
      </c>
      <c r="Q420" s="1">
        <v>310.10000000000002</v>
      </c>
      <c r="R420" s="8" t="str">
        <f>_xlfn.IFS(J420&gt;=8,"Hit",J420&gt;=6,"Average",J420&lt;6,"Flop")</f>
        <v>Average</v>
      </c>
      <c r="S420" s="9" t="str">
        <f>_xlfn.IFS(K420&gt;=400,"Blockbuster",K420&gt;=200,"Popular",K420&lt;200,"Normal")</f>
        <v>Blockbuster</v>
      </c>
      <c r="T420" s="10" t="str">
        <f>IF(OR(I420="PG",I420="G"),"Yes","No")</f>
        <v>No</v>
      </c>
      <c r="U420" s="11" t="str">
        <f>IF(P420&gt;=100,"High","Low")</f>
        <v>Low</v>
      </c>
      <c r="V420" s="28">
        <f t="shared" si="12"/>
        <v>258.10000000000002</v>
      </c>
      <c r="W420" s="29">
        <f t="shared" si="13"/>
        <v>596.34615384615392</v>
      </c>
    </row>
    <row r="421" spans="1:23" x14ac:dyDescent="0.3">
      <c r="A421" s="1" t="s">
        <v>1304</v>
      </c>
      <c r="B421" s="1" t="s">
        <v>1305</v>
      </c>
      <c r="C421" s="1" t="s">
        <v>46</v>
      </c>
      <c r="D421" s="1" t="s">
        <v>28</v>
      </c>
      <c r="E421" s="1">
        <v>2008</v>
      </c>
      <c r="F421" s="1" t="s">
        <v>29</v>
      </c>
      <c r="G421" s="1" t="s">
        <v>269</v>
      </c>
      <c r="H421" s="1">
        <v>43</v>
      </c>
      <c r="I421" s="1" t="s">
        <v>22</v>
      </c>
      <c r="J421" s="1">
        <v>7.5</v>
      </c>
      <c r="K421" s="1">
        <v>252.8</v>
      </c>
      <c r="L421" s="1" t="s">
        <v>171</v>
      </c>
      <c r="M421" s="1" t="s">
        <v>157</v>
      </c>
      <c r="N421" s="1" t="s">
        <v>128</v>
      </c>
      <c r="O421" s="1">
        <v>1</v>
      </c>
      <c r="P421" s="1">
        <v>84</v>
      </c>
      <c r="Q421" s="1">
        <v>179.4</v>
      </c>
      <c r="R421" s="8" t="str">
        <f>_xlfn.IFS(J421&gt;=8,"Hit",J421&gt;=6,"Average",J421&lt;6,"Flop")</f>
        <v>Average</v>
      </c>
      <c r="S421" s="9" t="str">
        <f>_xlfn.IFS(K421&gt;=400,"Blockbuster",K421&gt;=200,"Popular",K421&lt;200,"Normal")</f>
        <v>Popular</v>
      </c>
      <c r="T421" s="10" t="str">
        <f>IF(OR(I421="PG",I421="G"),"Yes","No")</f>
        <v>No</v>
      </c>
      <c r="U421" s="11" t="str">
        <f>IF(P421&gt;=100,"High","Low")</f>
        <v>Low</v>
      </c>
      <c r="V421" s="28">
        <f t="shared" si="12"/>
        <v>95.4</v>
      </c>
      <c r="W421" s="29">
        <f t="shared" si="13"/>
        <v>213.57142857142856</v>
      </c>
    </row>
    <row r="422" spans="1:23" x14ac:dyDescent="0.3">
      <c r="A422" s="1" t="s">
        <v>1306</v>
      </c>
      <c r="B422" s="1" t="s">
        <v>1307</v>
      </c>
      <c r="C422" s="1" t="s">
        <v>46</v>
      </c>
      <c r="D422" s="1" t="s">
        <v>75</v>
      </c>
      <c r="E422" s="1">
        <v>2010</v>
      </c>
      <c r="F422" s="1" t="s">
        <v>48</v>
      </c>
      <c r="G422" s="1" t="s">
        <v>1308</v>
      </c>
      <c r="H422" s="1">
        <v>50</v>
      </c>
      <c r="I422" s="1" t="s">
        <v>110</v>
      </c>
      <c r="J422" s="1">
        <v>8.6</v>
      </c>
      <c r="K422" s="1">
        <v>535.79999999999995</v>
      </c>
      <c r="L422" s="1" t="s">
        <v>171</v>
      </c>
      <c r="M422" s="1" t="s">
        <v>24</v>
      </c>
      <c r="N422" s="1" t="s">
        <v>158</v>
      </c>
      <c r="O422" s="1">
        <v>3</v>
      </c>
      <c r="P422" s="1">
        <v>116</v>
      </c>
      <c r="Q422" s="1">
        <v>249.4</v>
      </c>
      <c r="R422" s="8" t="str">
        <f>_xlfn.IFS(J422&gt;=8,"Hit",J422&gt;=6,"Average",J422&lt;6,"Flop")</f>
        <v>Hit</v>
      </c>
      <c r="S422" s="9" t="str">
        <f>_xlfn.IFS(K422&gt;=400,"Blockbuster",K422&gt;=200,"Popular",K422&lt;200,"Normal")</f>
        <v>Blockbuster</v>
      </c>
      <c r="T422" s="10" t="str">
        <f>IF(OR(I422="PG",I422="G"),"Yes","No")</f>
        <v>No</v>
      </c>
      <c r="U422" s="11" t="str">
        <f>IF(P422&gt;=100,"High","Low")</f>
        <v>High</v>
      </c>
      <c r="V422" s="28">
        <f t="shared" si="12"/>
        <v>133.4</v>
      </c>
      <c r="W422" s="29">
        <f t="shared" si="13"/>
        <v>215</v>
      </c>
    </row>
    <row r="423" spans="1:23" x14ac:dyDescent="0.3">
      <c r="A423" s="1" t="s">
        <v>1309</v>
      </c>
      <c r="B423" s="1" t="s">
        <v>1310</v>
      </c>
      <c r="C423" s="1" t="s">
        <v>46</v>
      </c>
      <c r="D423" s="1" t="s">
        <v>47</v>
      </c>
      <c r="E423" s="1">
        <v>2011</v>
      </c>
      <c r="F423" s="1" t="s">
        <v>48</v>
      </c>
      <c r="G423" s="1" t="s">
        <v>1311</v>
      </c>
      <c r="H423" s="1">
        <v>41</v>
      </c>
      <c r="I423" s="1" t="s">
        <v>22</v>
      </c>
      <c r="J423" s="1">
        <v>5.0999999999999996</v>
      </c>
      <c r="K423" s="1">
        <v>185.3</v>
      </c>
      <c r="L423" s="1" t="s">
        <v>90</v>
      </c>
      <c r="M423" s="1" t="s">
        <v>33</v>
      </c>
      <c r="N423" s="1" t="s">
        <v>128</v>
      </c>
      <c r="O423" s="1">
        <v>7</v>
      </c>
      <c r="P423" s="1">
        <v>92</v>
      </c>
      <c r="Q423" s="1">
        <v>179.8</v>
      </c>
      <c r="R423" s="8" t="str">
        <f>_xlfn.IFS(J423&gt;=8,"Hit",J423&gt;=6,"Average",J423&lt;6,"Flop")</f>
        <v>Flop</v>
      </c>
      <c r="S423" s="9" t="str">
        <f>_xlfn.IFS(K423&gt;=400,"Blockbuster",K423&gt;=200,"Popular",K423&lt;200,"Normal")</f>
        <v>Normal</v>
      </c>
      <c r="T423" s="10" t="str">
        <f>IF(OR(I423="PG",I423="G"),"Yes","No")</f>
        <v>No</v>
      </c>
      <c r="U423" s="11" t="str">
        <f>IF(P423&gt;=100,"High","Low")</f>
        <v>Low</v>
      </c>
      <c r="V423" s="28">
        <f t="shared" si="12"/>
        <v>87.800000000000011</v>
      </c>
      <c r="W423" s="29">
        <f t="shared" si="13"/>
        <v>195.43478260869566</v>
      </c>
    </row>
    <row r="424" spans="1:23" x14ac:dyDescent="0.3">
      <c r="A424" s="1" t="s">
        <v>1312</v>
      </c>
      <c r="B424" s="1" t="s">
        <v>1313</v>
      </c>
      <c r="C424" s="1" t="s">
        <v>46</v>
      </c>
      <c r="D424" s="1" t="s">
        <v>63</v>
      </c>
      <c r="E424" s="1">
        <v>2023</v>
      </c>
      <c r="F424" s="1" t="s">
        <v>100</v>
      </c>
      <c r="G424" s="1" t="s">
        <v>1314</v>
      </c>
      <c r="H424" s="1">
        <v>39</v>
      </c>
      <c r="I424" s="1" t="s">
        <v>50</v>
      </c>
      <c r="J424" s="1">
        <v>9.1999999999999993</v>
      </c>
      <c r="K424" s="1">
        <v>157.4</v>
      </c>
      <c r="L424" s="1" t="s">
        <v>171</v>
      </c>
      <c r="M424" s="1" t="s">
        <v>42</v>
      </c>
      <c r="N424" s="1" t="s">
        <v>86</v>
      </c>
      <c r="O424" s="1">
        <v>6</v>
      </c>
      <c r="P424" s="1">
        <v>34</v>
      </c>
      <c r="Q424" s="1">
        <v>48.2</v>
      </c>
      <c r="R424" s="8" t="str">
        <f>_xlfn.IFS(J424&gt;=8,"Hit",J424&gt;=6,"Average",J424&lt;6,"Flop")</f>
        <v>Hit</v>
      </c>
      <c r="S424" s="9" t="str">
        <f>_xlfn.IFS(K424&gt;=400,"Blockbuster",K424&gt;=200,"Popular",K424&lt;200,"Normal")</f>
        <v>Normal</v>
      </c>
      <c r="T424" s="10" t="str">
        <f>IF(OR(I424="PG",I424="G"),"Yes","No")</f>
        <v>Yes</v>
      </c>
      <c r="U424" s="11" t="str">
        <f>IF(P424&gt;=100,"High","Low")</f>
        <v>Low</v>
      </c>
      <c r="V424" s="28">
        <f t="shared" si="12"/>
        <v>14.200000000000003</v>
      </c>
      <c r="W424" s="29">
        <f t="shared" si="13"/>
        <v>141.76470588235296</v>
      </c>
    </row>
    <row r="425" spans="1:23" x14ac:dyDescent="0.3">
      <c r="A425" s="1" t="s">
        <v>1315</v>
      </c>
      <c r="B425" s="1" t="s">
        <v>1316</v>
      </c>
      <c r="C425" s="1" t="s">
        <v>18</v>
      </c>
      <c r="D425" s="1" t="s">
        <v>58</v>
      </c>
      <c r="E425" s="1">
        <v>2017</v>
      </c>
      <c r="F425" s="1" t="s">
        <v>100</v>
      </c>
      <c r="G425" s="1" t="s">
        <v>1317</v>
      </c>
      <c r="H425" s="1">
        <v>158</v>
      </c>
      <c r="I425" s="1" t="s">
        <v>40</v>
      </c>
      <c r="J425" s="1">
        <v>6.3</v>
      </c>
      <c r="K425" s="1">
        <v>115.1</v>
      </c>
      <c r="L425" s="1" t="s">
        <v>90</v>
      </c>
      <c r="M425" s="1" t="s">
        <v>124</v>
      </c>
      <c r="N425" s="1" t="s">
        <v>128</v>
      </c>
      <c r="O425" s="1"/>
      <c r="P425" s="1">
        <v>59</v>
      </c>
      <c r="Q425" s="1">
        <v>243.5</v>
      </c>
      <c r="R425" s="8" t="str">
        <f>_xlfn.IFS(J425&gt;=8,"Hit",J425&gt;=6,"Average",J425&lt;6,"Flop")</f>
        <v>Average</v>
      </c>
      <c r="S425" s="9" t="str">
        <f>_xlfn.IFS(K425&gt;=400,"Blockbuster",K425&gt;=200,"Popular",K425&lt;200,"Normal")</f>
        <v>Normal</v>
      </c>
      <c r="T425" s="10" t="str">
        <f>IF(OR(I425="PG",I425="G"),"Yes","No")</f>
        <v>Yes</v>
      </c>
      <c r="U425" s="11" t="str">
        <f>IF(P425&gt;=100,"High","Low")</f>
        <v>Low</v>
      </c>
      <c r="V425" s="28">
        <f t="shared" si="12"/>
        <v>184.5</v>
      </c>
      <c r="W425" s="29">
        <f t="shared" si="13"/>
        <v>412.71186440677968</v>
      </c>
    </row>
    <row r="426" spans="1:23" x14ac:dyDescent="0.3">
      <c r="A426" s="1" t="s">
        <v>1318</v>
      </c>
      <c r="B426" s="1" t="s">
        <v>1319</v>
      </c>
      <c r="C426" s="1" t="s">
        <v>18</v>
      </c>
      <c r="D426" s="1" t="s">
        <v>58</v>
      </c>
      <c r="E426" s="1">
        <v>2000</v>
      </c>
      <c r="F426" s="1" t="s">
        <v>48</v>
      </c>
      <c r="G426" s="1" t="s">
        <v>1320</v>
      </c>
      <c r="H426" s="1">
        <v>85</v>
      </c>
      <c r="I426" s="1" t="s">
        <v>22</v>
      </c>
      <c r="J426" s="1">
        <v>8.6999999999999993</v>
      </c>
      <c r="K426" s="1">
        <v>158.30000000000001</v>
      </c>
      <c r="L426" s="1" t="s">
        <v>32</v>
      </c>
      <c r="M426" s="1" t="s">
        <v>54</v>
      </c>
      <c r="N426" s="1" t="s">
        <v>178</v>
      </c>
      <c r="O426" s="1"/>
      <c r="P426" s="1">
        <v>38</v>
      </c>
      <c r="Q426" s="1">
        <v>79.7</v>
      </c>
      <c r="R426" s="8" t="str">
        <f>_xlfn.IFS(J426&gt;=8,"Hit",J426&gt;=6,"Average",J426&lt;6,"Flop")</f>
        <v>Hit</v>
      </c>
      <c r="S426" s="9" t="str">
        <f>_xlfn.IFS(K426&gt;=400,"Blockbuster",K426&gt;=200,"Popular",K426&lt;200,"Normal")</f>
        <v>Normal</v>
      </c>
      <c r="T426" s="10" t="str">
        <f>IF(OR(I426="PG",I426="G"),"Yes","No")</f>
        <v>No</v>
      </c>
      <c r="U426" s="11" t="str">
        <f>IF(P426&gt;=100,"High","Low")</f>
        <v>Low</v>
      </c>
      <c r="V426" s="28">
        <f t="shared" si="12"/>
        <v>41.7</v>
      </c>
      <c r="W426" s="29">
        <f t="shared" si="13"/>
        <v>209.73684210526318</v>
      </c>
    </row>
    <row r="427" spans="1:23" x14ac:dyDescent="0.3">
      <c r="A427" s="1" t="s">
        <v>1321</v>
      </c>
      <c r="B427" s="1" t="s">
        <v>1322</v>
      </c>
      <c r="C427" s="1" t="s">
        <v>46</v>
      </c>
      <c r="D427" s="1" t="s">
        <v>19</v>
      </c>
      <c r="E427" s="1">
        <v>2009</v>
      </c>
      <c r="F427" s="1" t="s">
        <v>95</v>
      </c>
      <c r="G427" s="1" t="s">
        <v>1323</v>
      </c>
      <c r="H427" s="1">
        <v>37</v>
      </c>
      <c r="I427" s="1" t="s">
        <v>22</v>
      </c>
      <c r="J427" s="1">
        <v>8.5</v>
      </c>
      <c r="K427" s="1">
        <v>346.7</v>
      </c>
      <c r="L427" s="1" t="s">
        <v>171</v>
      </c>
      <c r="M427" s="1" t="s">
        <v>54</v>
      </c>
      <c r="N427" s="1" t="s">
        <v>43</v>
      </c>
      <c r="O427" s="1">
        <v>5</v>
      </c>
      <c r="P427" s="1">
        <v>106</v>
      </c>
      <c r="Q427" s="1">
        <v>618.1</v>
      </c>
      <c r="R427" s="8" t="str">
        <f>_xlfn.IFS(J427&gt;=8,"Hit",J427&gt;=6,"Average",J427&lt;6,"Flop")</f>
        <v>Hit</v>
      </c>
      <c r="S427" s="9" t="str">
        <f>_xlfn.IFS(K427&gt;=400,"Blockbuster",K427&gt;=200,"Popular",K427&lt;200,"Normal")</f>
        <v>Popular</v>
      </c>
      <c r="T427" s="10" t="str">
        <f>IF(OR(I427="PG",I427="G"),"Yes","No")</f>
        <v>No</v>
      </c>
      <c r="U427" s="11" t="str">
        <f>IF(P427&gt;=100,"High","Low")</f>
        <v>High</v>
      </c>
      <c r="V427" s="28">
        <f t="shared" si="12"/>
        <v>512.1</v>
      </c>
      <c r="W427" s="29">
        <f t="shared" si="13"/>
        <v>583.11320754716985</v>
      </c>
    </row>
    <row r="428" spans="1:23" x14ac:dyDescent="0.3">
      <c r="A428" s="1" t="s">
        <v>1324</v>
      </c>
      <c r="B428" s="1" t="s">
        <v>1325</v>
      </c>
      <c r="C428" s="1" t="s">
        <v>46</v>
      </c>
      <c r="D428" s="1" t="s">
        <v>47</v>
      </c>
      <c r="E428" s="1">
        <v>2020</v>
      </c>
      <c r="F428" s="1" t="s">
        <v>38</v>
      </c>
      <c r="G428" s="1" t="s">
        <v>1326</v>
      </c>
      <c r="H428" s="1">
        <v>52</v>
      </c>
      <c r="I428" s="1" t="s">
        <v>22</v>
      </c>
      <c r="J428" s="1">
        <v>6.5</v>
      </c>
      <c r="K428" s="1">
        <v>33.200000000000003</v>
      </c>
      <c r="L428" s="1" t="s">
        <v>23</v>
      </c>
      <c r="M428" s="1" t="s">
        <v>72</v>
      </c>
      <c r="N428" s="1" t="s">
        <v>153</v>
      </c>
      <c r="O428" s="1">
        <v>7</v>
      </c>
      <c r="P428" s="1">
        <v>136</v>
      </c>
      <c r="Q428" s="1">
        <v>495.8</v>
      </c>
      <c r="R428" s="8" t="str">
        <f>_xlfn.IFS(J428&gt;=8,"Hit",J428&gt;=6,"Average",J428&lt;6,"Flop")</f>
        <v>Average</v>
      </c>
      <c r="S428" s="9" t="str">
        <f>_xlfn.IFS(K428&gt;=400,"Blockbuster",K428&gt;=200,"Popular",K428&lt;200,"Normal")</f>
        <v>Normal</v>
      </c>
      <c r="T428" s="10" t="str">
        <f>IF(OR(I428="PG",I428="G"),"Yes","No")</f>
        <v>No</v>
      </c>
      <c r="U428" s="11" t="str">
        <f>IF(P428&gt;=100,"High","Low")</f>
        <v>High</v>
      </c>
      <c r="V428" s="28">
        <f t="shared" si="12"/>
        <v>359.8</v>
      </c>
      <c r="W428" s="29">
        <f t="shared" si="13"/>
        <v>364.55882352941177</v>
      </c>
    </row>
    <row r="429" spans="1:23" x14ac:dyDescent="0.3">
      <c r="A429" s="1" t="s">
        <v>1327</v>
      </c>
      <c r="B429" s="1" t="s">
        <v>1328</v>
      </c>
      <c r="C429" s="1" t="s">
        <v>46</v>
      </c>
      <c r="D429" s="1" t="s">
        <v>117</v>
      </c>
      <c r="E429" s="1">
        <v>2005</v>
      </c>
      <c r="F429" s="1" t="s">
        <v>100</v>
      </c>
      <c r="G429" s="1" t="s">
        <v>1329</v>
      </c>
      <c r="H429" s="1">
        <v>30</v>
      </c>
      <c r="I429" s="1" t="s">
        <v>50</v>
      </c>
      <c r="J429" s="1">
        <v>5.0999999999999996</v>
      </c>
      <c r="K429" s="1">
        <v>44.1</v>
      </c>
      <c r="L429" s="1" t="s">
        <v>171</v>
      </c>
      <c r="M429" s="1" t="s">
        <v>78</v>
      </c>
      <c r="N429" s="1" t="s">
        <v>119</v>
      </c>
      <c r="O429" s="1">
        <v>6</v>
      </c>
      <c r="P429" s="1">
        <v>182</v>
      </c>
      <c r="Q429" s="1">
        <v>315.2</v>
      </c>
      <c r="R429" s="8" t="str">
        <f>_xlfn.IFS(J429&gt;=8,"Hit",J429&gt;=6,"Average",J429&lt;6,"Flop")</f>
        <v>Flop</v>
      </c>
      <c r="S429" s="9" t="str">
        <f>_xlfn.IFS(K429&gt;=400,"Blockbuster",K429&gt;=200,"Popular",K429&lt;200,"Normal")</f>
        <v>Normal</v>
      </c>
      <c r="T429" s="10" t="str">
        <f>IF(OR(I429="PG",I429="G"),"Yes","No")</f>
        <v>Yes</v>
      </c>
      <c r="U429" s="11" t="str">
        <f>IF(P429&gt;=100,"High","Low")</f>
        <v>High</v>
      </c>
      <c r="V429" s="28">
        <f t="shared" si="12"/>
        <v>133.19999999999999</v>
      </c>
      <c r="W429" s="29">
        <f t="shared" si="13"/>
        <v>173.18681318681317</v>
      </c>
    </row>
    <row r="430" spans="1:23" x14ac:dyDescent="0.3">
      <c r="A430" s="1" t="s">
        <v>1330</v>
      </c>
      <c r="B430" s="1" t="s">
        <v>1331</v>
      </c>
      <c r="C430" s="1" t="s">
        <v>46</v>
      </c>
      <c r="D430" s="1" t="s">
        <v>141</v>
      </c>
      <c r="E430" s="1">
        <v>2020</v>
      </c>
      <c r="F430" s="1" t="s">
        <v>83</v>
      </c>
      <c r="G430" s="1" t="s">
        <v>1332</v>
      </c>
      <c r="H430" s="1">
        <v>54</v>
      </c>
      <c r="I430" s="1" t="s">
        <v>110</v>
      </c>
      <c r="J430" s="1">
        <v>5.4</v>
      </c>
      <c r="K430" s="1">
        <v>342</v>
      </c>
      <c r="L430" s="1" t="s">
        <v>23</v>
      </c>
      <c r="M430" s="1" t="s">
        <v>146</v>
      </c>
      <c r="N430" s="1" t="s">
        <v>158</v>
      </c>
      <c r="O430" s="1">
        <v>7</v>
      </c>
      <c r="P430" s="1">
        <v>191</v>
      </c>
      <c r="Q430" s="1">
        <v>475.8</v>
      </c>
      <c r="R430" s="8" t="str">
        <f>_xlfn.IFS(J430&gt;=8,"Hit",J430&gt;=6,"Average",J430&lt;6,"Flop")</f>
        <v>Flop</v>
      </c>
      <c r="S430" s="9" t="str">
        <f>_xlfn.IFS(K430&gt;=400,"Blockbuster",K430&gt;=200,"Popular",K430&lt;200,"Normal")</f>
        <v>Popular</v>
      </c>
      <c r="T430" s="10" t="str">
        <f>IF(OR(I430="PG",I430="G"),"Yes","No")</f>
        <v>No</v>
      </c>
      <c r="U430" s="11" t="str">
        <f>IF(P430&gt;=100,"High","Low")</f>
        <v>High</v>
      </c>
      <c r="V430" s="28">
        <f t="shared" si="12"/>
        <v>284.8</v>
      </c>
      <c r="W430" s="29">
        <f t="shared" si="13"/>
        <v>249.10994764397904</v>
      </c>
    </row>
    <row r="431" spans="1:23" x14ac:dyDescent="0.3">
      <c r="A431" s="1" t="s">
        <v>1333</v>
      </c>
      <c r="B431" s="1" t="s">
        <v>1334</v>
      </c>
      <c r="C431" s="1" t="s">
        <v>18</v>
      </c>
      <c r="D431" s="1" t="s">
        <v>58</v>
      </c>
      <c r="E431" s="1">
        <v>2001</v>
      </c>
      <c r="F431" s="1" t="s">
        <v>95</v>
      </c>
      <c r="G431" s="1" t="s">
        <v>1335</v>
      </c>
      <c r="H431" s="1">
        <v>118</v>
      </c>
      <c r="I431" s="1" t="s">
        <v>50</v>
      </c>
      <c r="J431" s="1">
        <v>8.9</v>
      </c>
      <c r="K431" s="1">
        <v>248.1</v>
      </c>
      <c r="L431" s="1" t="s">
        <v>171</v>
      </c>
      <c r="M431" s="1" t="s">
        <v>66</v>
      </c>
      <c r="N431" s="1" t="s">
        <v>43</v>
      </c>
      <c r="O431" s="1"/>
      <c r="P431" s="1">
        <v>117</v>
      </c>
      <c r="Q431" s="1">
        <v>562.79999999999995</v>
      </c>
      <c r="R431" s="8" t="str">
        <f>_xlfn.IFS(J431&gt;=8,"Hit",J431&gt;=6,"Average",J431&lt;6,"Flop")</f>
        <v>Hit</v>
      </c>
      <c r="S431" s="9" t="str">
        <f>_xlfn.IFS(K431&gt;=400,"Blockbuster",K431&gt;=200,"Popular",K431&lt;200,"Normal")</f>
        <v>Popular</v>
      </c>
      <c r="T431" s="10" t="str">
        <f>IF(OR(I431="PG",I431="G"),"Yes","No")</f>
        <v>Yes</v>
      </c>
      <c r="U431" s="11" t="str">
        <f>IF(P431&gt;=100,"High","Low")</f>
        <v>High</v>
      </c>
      <c r="V431" s="28">
        <f t="shared" si="12"/>
        <v>445.79999999999995</v>
      </c>
      <c r="W431" s="29">
        <f t="shared" si="13"/>
        <v>481.02564102564099</v>
      </c>
    </row>
    <row r="432" spans="1:23" x14ac:dyDescent="0.3">
      <c r="A432" s="1" t="s">
        <v>1336</v>
      </c>
      <c r="B432" s="1" t="s">
        <v>1337</v>
      </c>
      <c r="C432" s="1" t="s">
        <v>46</v>
      </c>
      <c r="D432" s="1" t="s">
        <v>47</v>
      </c>
      <c r="E432" s="1">
        <v>2013</v>
      </c>
      <c r="F432" s="1" t="s">
        <v>76</v>
      </c>
      <c r="G432" s="1" t="s">
        <v>1338</v>
      </c>
      <c r="H432" s="1">
        <v>60</v>
      </c>
      <c r="I432" s="1" t="s">
        <v>40</v>
      </c>
      <c r="J432" s="1">
        <v>4.7</v>
      </c>
      <c r="K432" s="1">
        <v>493</v>
      </c>
      <c r="L432" s="1" t="s">
        <v>32</v>
      </c>
      <c r="M432" s="1" t="s">
        <v>124</v>
      </c>
      <c r="N432" s="1" t="s">
        <v>86</v>
      </c>
      <c r="O432" s="1">
        <v>5</v>
      </c>
      <c r="P432" s="1">
        <v>152</v>
      </c>
      <c r="Q432" s="1">
        <v>438.8</v>
      </c>
      <c r="R432" s="8" t="str">
        <f>_xlfn.IFS(J432&gt;=8,"Hit",J432&gt;=6,"Average",J432&lt;6,"Flop")</f>
        <v>Flop</v>
      </c>
      <c r="S432" s="9" t="str">
        <f>_xlfn.IFS(K432&gt;=400,"Blockbuster",K432&gt;=200,"Popular",K432&lt;200,"Normal")</f>
        <v>Blockbuster</v>
      </c>
      <c r="T432" s="10" t="str">
        <f>IF(OR(I432="PG",I432="G"),"Yes","No")</f>
        <v>Yes</v>
      </c>
      <c r="U432" s="11" t="str">
        <f>IF(P432&gt;=100,"High","Low")</f>
        <v>High</v>
      </c>
      <c r="V432" s="28">
        <f t="shared" si="12"/>
        <v>286.8</v>
      </c>
      <c r="W432" s="29">
        <f t="shared" si="13"/>
        <v>288.68421052631578</v>
      </c>
    </row>
    <row r="433" spans="1:23" x14ac:dyDescent="0.3">
      <c r="A433" s="1" t="s">
        <v>1339</v>
      </c>
      <c r="B433" s="1" t="s">
        <v>1340</v>
      </c>
      <c r="C433" s="1" t="s">
        <v>46</v>
      </c>
      <c r="D433" s="1" t="s">
        <v>94</v>
      </c>
      <c r="E433" s="1">
        <v>2013</v>
      </c>
      <c r="F433" s="1" t="s">
        <v>181</v>
      </c>
      <c r="G433" s="1" t="s">
        <v>1341</v>
      </c>
      <c r="H433" s="1">
        <v>41</v>
      </c>
      <c r="I433" s="1" t="s">
        <v>40</v>
      </c>
      <c r="J433" s="1">
        <v>7.3</v>
      </c>
      <c r="K433" s="1">
        <v>516.70000000000005</v>
      </c>
      <c r="L433" s="1" t="s">
        <v>171</v>
      </c>
      <c r="M433" s="1" t="s">
        <v>72</v>
      </c>
      <c r="N433" s="1" t="s">
        <v>102</v>
      </c>
      <c r="O433" s="1">
        <v>6</v>
      </c>
      <c r="P433" s="1">
        <v>45</v>
      </c>
      <c r="Q433" s="1">
        <v>195.6</v>
      </c>
      <c r="R433" s="8" t="str">
        <f>_xlfn.IFS(J433&gt;=8,"Hit",J433&gt;=6,"Average",J433&lt;6,"Flop")</f>
        <v>Average</v>
      </c>
      <c r="S433" s="9" t="str">
        <f>_xlfn.IFS(K433&gt;=400,"Blockbuster",K433&gt;=200,"Popular",K433&lt;200,"Normal")</f>
        <v>Blockbuster</v>
      </c>
      <c r="T433" s="10" t="str">
        <f>IF(OR(I433="PG",I433="G"),"Yes","No")</f>
        <v>Yes</v>
      </c>
      <c r="U433" s="11" t="str">
        <f>IF(P433&gt;=100,"High","Low")</f>
        <v>Low</v>
      </c>
      <c r="V433" s="28">
        <f t="shared" si="12"/>
        <v>150.6</v>
      </c>
      <c r="W433" s="29">
        <f t="shared" si="13"/>
        <v>434.66666666666669</v>
      </c>
    </row>
    <row r="434" spans="1:23" x14ac:dyDescent="0.3">
      <c r="A434" s="1" t="s">
        <v>1342</v>
      </c>
      <c r="B434" s="1" t="s">
        <v>1343</v>
      </c>
      <c r="C434" s="1" t="s">
        <v>18</v>
      </c>
      <c r="D434" s="1" t="s">
        <v>28</v>
      </c>
      <c r="E434" s="1">
        <v>2015</v>
      </c>
      <c r="F434" s="1" t="s">
        <v>122</v>
      </c>
      <c r="G434" s="1" t="s">
        <v>1256</v>
      </c>
      <c r="H434" s="1">
        <v>102</v>
      </c>
      <c r="I434" s="1" t="s">
        <v>40</v>
      </c>
      <c r="J434" s="1">
        <v>8.9</v>
      </c>
      <c r="K434" s="1">
        <v>326.39999999999998</v>
      </c>
      <c r="L434" s="1" t="s">
        <v>32</v>
      </c>
      <c r="M434" s="1" t="s">
        <v>146</v>
      </c>
      <c r="N434" s="1" t="s">
        <v>178</v>
      </c>
      <c r="O434" s="1"/>
      <c r="P434" s="1">
        <v>98</v>
      </c>
      <c r="Q434" s="1">
        <v>405.7</v>
      </c>
      <c r="R434" s="8" t="str">
        <f>_xlfn.IFS(J434&gt;=8,"Hit",J434&gt;=6,"Average",J434&lt;6,"Flop")</f>
        <v>Hit</v>
      </c>
      <c r="S434" s="9" t="str">
        <f>_xlfn.IFS(K434&gt;=400,"Blockbuster",K434&gt;=200,"Popular",K434&lt;200,"Normal")</f>
        <v>Popular</v>
      </c>
      <c r="T434" s="10" t="str">
        <f>IF(OR(I434="PG",I434="G"),"Yes","No")</f>
        <v>Yes</v>
      </c>
      <c r="U434" s="11" t="str">
        <f>IF(P434&gt;=100,"High","Low")</f>
        <v>Low</v>
      </c>
      <c r="V434" s="28">
        <f t="shared" si="12"/>
        <v>307.7</v>
      </c>
      <c r="W434" s="29">
        <f t="shared" si="13"/>
        <v>413.9795918367347</v>
      </c>
    </row>
    <row r="435" spans="1:23" x14ac:dyDescent="0.3">
      <c r="A435" s="1" t="s">
        <v>1344</v>
      </c>
      <c r="B435" s="1" t="s">
        <v>1345</v>
      </c>
      <c r="C435" s="1" t="s">
        <v>18</v>
      </c>
      <c r="D435" s="1" t="s">
        <v>37</v>
      </c>
      <c r="E435" s="1">
        <v>2006</v>
      </c>
      <c r="F435" s="1" t="s">
        <v>95</v>
      </c>
      <c r="G435" s="1" t="s">
        <v>1346</v>
      </c>
      <c r="H435" s="1">
        <v>140</v>
      </c>
      <c r="I435" s="1" t="s">
        <v>31</v>
      </c>
      <c r="J435" s="1">
        <v>9.1</v>
      </c>
      <c r="K435" s="1">
        <v>521.9</v>
      </c>
      <c r="L435" s="1" t="s">
        <v>41</v>
      </c>
      <c r="M435" s="1" t="s">
        <v>42</v>
      </c>
      <c r="N435" s="1" t="s">
        <v>91</v>
      </c>
      <c r="O435" s="1"/>
      <c r="P435" s="1">
        <v>12</v>
      </c>
      <c r="Q435" s="1">
        <v>73.8</v>
      </c>
      <c r="R435" s="8" t="str">
        <f>_xlfn.IFS(J435&gt;=8,"Hit",J435&gt;=6,"Average",J435&lt;6,"Flop")</f>
        <v>Hit</v>
      </c>
      <c r="S435" s="9" t="str">
        <f>_xlfn.IFS(K435&gt;=400,"Blockbuster",K435&gt;=200,"Popular",K435&lt;200,"Normal")</f>
        <v>Blockbuster</v>
      </c>
      <c r="T435" s="10" t="str">
        <f>IF(OR(I435="PG",I435="G"),"Yes","No")</f>
        <v>No</v>
      </c>
      <c r="U435" s="11" t="str">
        <f>IF(P435&gt;=100,"High","Low")</f>
        <v>Low</v>
      </c>
      <c r="V435" s="28">
        <f t="shared" si="12"/>
        <v>61.8</v>
      </c>
      <c r="W435" s="29">
        <f t="shared" si="13"/>
        <v>615</v>
      </c>
    </row>
    <row r="436" spans="1:23" x14ac:dyDescent="0.3">
      <c r="A436" s="1" t="s">
        <v>1347</v>
      </c>
      <c r="B436" s="1" t="s">
        <v>1348</v>
      </c>
      <c r="C436" s="1" t="s">
        <v>46</v>
      </c>
      <c r="D436" s="1" t="s">
        <v>28</v>
      </c>
      <c r="E436" s="1">
        <v>2009</v>
      </c>
      <c r="F436" s="1" t="s">
        <v>38</v>
      </c>
      <c r="G436" s="1" t="s">
        <v>831</v>
      </c>
      <c r="H436" s="1">
        <v>50</v>
      </c>
      <c r="I436" s="1" t="s">
        <v>31</v>
      </c>
      <c r="J436" s="1">
        <v>7.8</v>
      </c>
      <c r="K436" s="1">
        <v>519.9</v>
      </c>
      <c r="L436" s="1" t="s">
        <v>41</v>
      </c>
      <c r="M436" s="1" t="s">
        <v>42</v>
      </c>
      <c r="N436" s="1" t="s">
        <v>55</v>
      </c>
      <c r="O436" s="1">
        <v>6</v>
      </c>
      <c r="P436" s="1">
        <v>121</v>
      </c>
      <c r="Q436" s="1">
        <v>732.7</v>
      </c>
      <c r="R436" s="8" t="str">
        <f>_xlfn.IFS(J436&gt;=8,"Hit",J436&gt;=6,"Average",J436&lt;6,"Flop")</f>
        <v>Average</v>
      </c>
      <c r="S436" s="9" t="str">
        <f>_xlfn.IFS(K436&gt;=400,"Blockbuster",K436&gt;=200,"Popular",K436&lt;200,"Normal")</f>
        <v>Blockbuster</v>
      </c>
      <c r="T436" s="10" t="str">
        <f>IF(OR(I436="PG",I436="G"),"Yes","No")</f>
        <v>No</v>
      </c>
      <c r="U436" s="11" t="str">
        <f>IF(P436&gt;=100,"High","Low")</f>
        <v>High</v>
      </c>
      <c r="V436" s="28">
        <f t="shared" si="12"/>
        <v>611.70000000000005</v>
      </c>
      <c r="W436" s="29">
        <f t="shared" si="13"/>
        <v>605.53719008264466</v>
      </c>
    </row>
    <row r="437" spans="1:23" x14ac:dyDescent="0.3">
      <c r="A437" s="1" t="s">
        <v>1349</v>
      </c>
      <c r="B437" s="1" t="s">
        <v>1350</v>
      </c>
      <c r="C437" s="1" t="s">
        <v>18</v>
      </c>
      <c r="D437" s="1" t="s">
        <v>117</v>
      </c>
      <c r="E437" s="1">
        <v>2012</v>
      </c>
      <c r="F437" s="1" t="s">
        <v>95</v>
      </c>
      <c r="G437" s="1" t="s">
        <v>775</v>
      </c>
      <c r="H437" s="1">
        <v>135</v>
      </c>
      <c r="I437" s="1" t="s">
        <v>40</v>
      </c>
      <c r="J437" s="1">
        <v>8.6</v>
      </c>
      <c r="K437" s="1">
        <v>33.200000000000003</v>
      </c>
      <c r="L437" s="1" t="s">
        <v>23</v>
      </c>
      <c r="M437" s="1" t="s">
        <v>124</v>
      </c>
      <c r="N437" s="1" t="s">
        <v>43</v>
      </c>
      <c r="O437" s="1"/>
      <c r="P437" s="1">
        <v>56</v>
      </c>
      <c r="Q437" s="1">
        <v>160</v>
      </c>
      <c r="R437" s="8" t="str">
        <f>_xlfn.IFS(J437&gt;=8,"Hit",J437&gt;=6,"Average",J437&lt;6,"Flop")</f>
        <v>Hit</v>
      </c>
      <c r="S437" s="9" t="str">
        <f>_xlfn.IFS(K437&gt;=400,"Blockbuster",K437&gt;=200,"Popular",K437&lt;200,"Normal")</f>
        <v>Normal</v>
      </c>
      <c r="T437" s="10" t="str">
        <f>IF(OR(I437="PG",I437="G"),"Yes","No")</f>
        <v>Yes</v>
      </c>
      <c r="U437" s="11" t="str">
        <f>IF(P437&gt;=100,"High","Low")</f>
        <v>Low</v>
      </c>
      <c r="V437" s="28">
        <f t="shared" si="12"/>
        <v>104</v>
      </c>
      <c r="W437" s="29">
        <f t="shared" si="13"/>
        <v>285.71428571428572</v>
      </c>
    </row>
    <row r="438" spans="1:23" x14ac:dyDescent="0.3">
      <c r="A438" s="1" t="s">
        <v>1351</v>
      </c>
      <c r="B438" s="1" t="s">
        <v>1352</v>
      </c>
      <c r="C438" s="1" t="s">
        <v>18</v>
      </c>
      <c r="D438" s="1" t="s">
        <v>19</v>
      </c>
      <c r="E438" s="1">
        <v>2006</v>
      </c>
      <c r="F438" s="1" t="s">
        <v>48</v>
      </c>
      <c r="G438" s="1" t="s">
        <v>855</v>
      </c>
      <c r="H438" s="1">
        <v>123</v>
      </c>
      <c r="I438" s="1" t="s">
        <v>110</v>
      </c>
      <c r="J438" s="1">
        <v>5.5</v>
      </c>
      <c r="K438" s="1">
        <v>542.70000000000005</v>
      </c>
      <c r="L438" s="1" t="s">
        <v>23</v>
      </c>
      <c r="M438" s="1" t="s">
        <v>132</v>
      </c>
      <c r="N438" s="1" t="s">
        <v>60</v>
      </c>
      <c r="O438" s="1"/>
      <c r="P438" s="1">
        <v>96</v>
      </c>
      <c r="Q438" s="1">
        <v>438.5</v>
      </c>
      <c r="R438" s="8" t="str">
        <f>_xlfn.IFS(J438&gt;=8,"Hit",J438&gt;=6,"Average",J438&lt;6,"Flop")</f>
        <v>Flop</v>
      </c>
      <c r="S438" s="9" t="str">
        <f>_xlfn.IFS(K438&gt;=400,"Blockbuster",K438&gt;=200,"Popular",K438&lt;200,"Normal")</f>
        <v>Blockbuster</v>
      </c>
      <c r="T438" s="10" t="str">
        <f>IF(OR(I438="PG",I438="G"),"Yes","No")</f>
        <v>No</v>
      </c>
      <c r="U438" s="11" t="str">
        <f>IF(P438&gt;=100,"High","Low")</f>
        <v>Low</v>
      </c>
      <c r="V438" s="28">
        <f t="shared" si="12"/>
        <v>342.5</v>
      </c>
      <c r="W438" s="29">
        <f t="shared" si="13"/>
        <v>456.77083333333331</v>
      </c>
    </row>
    <row r="439" spans="1:23" x14ac:dyDescent="0.3">
      <c r="A439" s="1" t="s">
        <v>1353</v>
      </c>
      <c r="B439" s="1" t="s">
        <v>1354</v>
      </c>
      <c r="C439" s="1" t="s">
        <v>18</v>
      </c>
      <c r="D439" s="1" t="s">
        <v>141</v>
      </c>
      <c r="E439" s="1">
        <v>2005</v>
      </c>
      <c r="F439" s="1" t="s">
        <v>83</v>
      </c>
      <c r="G439" s="1" t="s">
        <v>1355</v>
      </c>
      <c r="H439" s="1">
        <v>127</v>
      </c>
      <c r="I439" s="1" t="s">
        <v>22</v>
      </c>
      <c r="J439" s="1">
        <v>8.9</v>
      </c>
      <c r="K439" s="1">
        <v>214.6</v>
      </c>
      <c r="L439" s="1" t="s">
        <v>41</v>
      </c>
      <c r="M439" s="1" t="s">
        <v>132</v>
      </c>
      <c r="N439" s="1" t="s">
        <v>79</v>
      </c>
      <c r="O439" s="1"/>
      <c r="P439" s="1">
        <v>60</v>
      </c>
      <c r="Q439" s="1">
        <v>344.7</v>
      </c>
      <c r="R439" s="8" t="str">
        <f>_xlfn.IFS(J439&gt;=8,"Hit",J439&gt;=6,"Average",J439&lt;6,"Flop")</f>
        <v>Hit</v>
      </c>
      <c r="S439" s="9" t="str">
        <f>_xlfn.IFS(K439&gt;=400,"Blockbuster",K439&gt;=200,"Popular",K439&lt;200,"Normal")</f>
        <v>Popular</v>
      </c>
      <c r="T439" s="10" t="str">
        <f>IF(OR(I439="PG",I439="G"),"Yes","No")</f>
        <v>No</v>
      </c>
      <c r="U439" s="11" t="str">
        <f>IF(P439&gt;=100,"High","Low")</f>
        <v>Low</v>
      </c>
      <c r="V439" s="28">
        <f t="shared" si="12"/>
        <v>284.7</v>
      </c>
      <c r="W439" s="29">
        <f t="shared" si="13"/>
        <v>574.5</v>
      </c>
    </row>
    <row r="440" spans="1:23" x14ac:dyDescent="0.3">
      <c r="A440" s="1" t="s">
        <v>1356</v>
      </c>
      <c r="B440" s="1" t="s">
        <v>1357</v>
      </c>
      <c r="C440" s="1" t="s">
        <v>18</v>
      </c>
      <c r="D440" s="1" t="s">
        <v>28</v>
      </c>
      <c r="E440" s="1">
        <v>2001</v>
      </c>
      <c r="F440" s="1" t="s">
        <v>95</v>
      </c>
      <c r="G440" s="1" t="s">
        <v>1358</v>
      </c>
      <c r="H440" s="1">
        <v>126</v>
      </c>
      <c r="I440" s="1" t="s">
        <v>22</v>
      </c>
      <c r="J440" s="1">
        <v>6.6</v>
      </c>
      <c r="K440" s="1">
        <v>546.5</v>
      </c>
      <c r="L440" s="1" t="s">
        <v>65</v>
      </c>
      <c r="M440" s="1" t="s">
        <v>24</v>
      </c>
      <c r="N440" s="1" t="s">
        <v>128</v>
      </c>
      <c r="O440" s="1"/>
      <c r="P440" s="1">
        <v>162</v>
      </c>
      <c r="Q440" s="1">
        <v>1035.8</v>
      </c>
      <c r="R440" s="8" t="str">
        <f>_xlfn.IFS(J440&gt;=8,"Hit",J440&gt;=6,"Average",J440&lt;6,"Flop")</f>
        <v>Average</v>
      </c>
      <c r="S440" s="9" t="str">
        <f>_xlfn.IFS(K440&gt;=400,"Blockbuster",K440&gt;=200,"Popular",K440&lt;200,"Normal")</f>
        <v>Blockbuster</v>
      </c>
      <c r="T440" s="10" t="str">
        <f>IF(OR(I440="PG",I440="G"),"Yes","No")</f>
        <v>No</v>
      </c>
      <c r="U440" s="11" t="str">
        <f>IF(P440&gt;=100,"High","Low")</f>
        <v>High</v>
      </c>
      <c r="V440" s="28">
        <f t="shared" si="12"/>
        <v>873.8</v>
      </c>
      <c r="W440" s="29">
        <f t="shared" si="13"/>
        <v>639.38271604938268</v>
      </c>
    </row>
    <row r="441" spans="1:23" x14ac:dyDescent="0.3">
      <c r="A441" s="1" t="s">
        <v>1359</v>
      </c>
      <c r="B441" s="1" t="s">
        <v>1360</v>
      </c>
      <c r="C441" s="1" t="s">
        <v>18</v>
      </c>
      <c r="D441" s="1" t="s">
        <v>82</v>
      </c>
      <c r="E441" s="1">
        <v>2008</v>
      </c>
      <c r="F441" s="1" t="s">
        <v>95</v>
      </c>
      <c r="G441" s="1" t="s">
        <v>1361</v>
      </c>
      <c r="H441" s="1">
        <v>160</v>
      </c>
      <c r="I441" s="1" t="s">
        <v>22</v>
      </c>
      <c r="J441" s="1">
        <v>7.6</v>
      </c>
      <c r="K441" s="1">
        <v>28.3</v>
      </c>
      <c r="L441" s="1" t="s">
        <v>65</v>
      </c>
      <c r="M441" s="1" t="s">
        <v>24</v>
      </c>
      <c r="N441" s="1" t="s">
        <v>43</v>
      </c>
      <c r="O441" s="1"/>
      <c r="P441" s="1">
        <v>78</v>
      </c>
      <c r="Q441" s="1">
        <v>170.1</v>
      </c>
      <c r="R441" s="8" t="str">
        <f>_xlfn.IFS(J441&gt;=8,"Hit",J441&gt;=6,"Average",J441&lt;6,"Flop")</f>
        <v>Average</v>
      </c>
      <c r="S441" s="9" t="str">
        <f>_xlfn.IFS(K441&gt;=400,"Blockbuster",K441&gt;=200,"Popular",K441&lt;200,"Normal")</f>
        <v>Normal</v>
      </c>
      <c r="T441" s="10" t="str">
        <f>IF(OR(I441="PG",I441="G"),"Yes","No")</f>
        <v>No</v>
      </c>
      <c r="U441" s="11" t="str">
        <f>IF(P441&gt;=100,"High","Low")</f>
        <v>Low</v>
      </c>
      <c r="V441" s="28">
        <f t="shared" si="12"/>
        <v>92.1</v>
      </c>
      <c r="W441" s="29">
        <f t="shared" si="13"/>
        <v>218.07692307692307</v>
      </c>
    </row>
    <row r="442" spans="1:23" x14ac:dyDescent="0.3">
      <c r="A442" s="1" t="s">
        <v>1362</v>
      </c>
      <c r="B442" s="1" t="s">
        <v>1363</v>
      </c>
      <c r="C442" s="1" t="s">
        <v>46</v>
      </c>
      <c r="D442" s="1" t="s">
        <v>37</v>
      </c>
      <c r="E442" s="1">
        <v>2023</v>
      </c>
      <c r="F442" s="1" t="s">
        <v>20</v>
      </c>
      <c r="G442" s="1" t="s">
        <v>1364</v>
      </c>
      <c r="H442" s="1">
        <v>35</v>
      </c>
      <c r="I442" s="1" t="s">
        <v>22</v>
      </c>
      <c r="J442" s="1">
        <v>8.6</v>
      </c>
      <c r="K442" s="1">
        <v>343.1</v>
      </c>
      <c r="L442" s="1" t="s">
        <v>65</v>
      </c>
      <c r="M442" s="1" t="s">
        <v>132</v>
      </c>
      <c r="N442" s="1" t="s">
        <v>86</v>
      </c>
      <c r="O442" s="1">
        <v>4</v>
      </c>
      <c r="P442" s="1">
        <v>185</v>
      </c>
      <c r="Q442" s="1">
        <v>1102.9000000000001</v>
      </c>
      <c r="R442" s="8" t="str">
        <f>_xlfn.IFS(J442&gt;=8,"Hit",J442&gt;=6,"Average",J442&lt;6,"Flop")</f>
        <v>Hit</v>
      </c>
      <c r="S442" s="9" t="str">
        <f>_xlfn.IFS(K442&gt;=400,"Blockbuster",K442&gt;=200,"Popular",K442&lt;200,"Normal")</f>
        <v>Popular</v>
      </c>
      <c r="T442" s="10" t="str">
        <f>IF(OR(I442="PG",I442="G"),"Yes","No")</f>
        <v>No</v>
      </c>
      <c r="U442" s="11" t="str">
        <f>IF(P442&gt;=100,"High","Low")</f>
        <v>High</v>
      </c>
      <c r="V442" s="28">
        <f t="shared" si="12"/>
        <v>917.90000000000009</v>
      </c>
      <c r="W442" s="29">
        <f t="shared" si="13"/>
        <v>596.16216216216219</v>
      </c>
    </row>
    <row r="443" spans="1:23" x14ac:dyDescent="0.3">
      <c r="A443" s="1" t="s">
        <v>1365</v>
      </c>
      <c r="B443" s="1" t="s">
        <v>1366</v>
      </c>
      <c r="C443" s="1" t="s">
        <v>18</v>
      </c>
      <c r="D443" s="1" t="s">
        <v>28</v>
      </c>
      <c r="E443" s="1">
        <v>2023</v>
      </c>
      <c r="F443" s="1" t="s">
        <v>95</v>
      </c>
      <c r="G443" s="1" t="s">
        <v>1367</v>
      </c>
      <c r="H443" s="1">
        <v>151</v>
      </c>
      <c r="I443" s="1" t="s">
        <v>31</v>
      </c>
      <c r="J443" s="1">
        <v>8.8000000000000007</v>
      </c>
      <c r="K443" s="1">
        <v>579.5</v>
      </c>
      <c r="L443" s="1" t="s">
        <v>23</v>
      </c>
      <c r="M443" s="1" t="s">
        <v>42</v>
      </c>
      <c r="N443" s="1" t="s">
        <v>25</v>
      </c>
      <c r="O443" s="1"/>
      <c r="P443" s="1">
        <v>39</v>
      </c>
      <c r="Q443" s="1">
        <v>75.2</v>
      </c>
      <c r="R443" s="8" t="str">
        <f>_xlfn.IFS(J443&gt;=8,"Hit",J443&gt;=6,"Average",J443&lt;6,"Flop")</f>
        <v>Hit</v>
      </c>
      <c r="S443" s="9" t="str">
        <f>_xlfn.IFS(K443&gt;=400,"Blockbuster",K443&gt;=200,"Popular",K443&lt;200,"Normal")</f>
        <v>Blockbuster</v>
      </c>
      <c r="T443" s="10" t="str">
        <f>IF(OR(I443="PG",I443="G"),"Yes","No")</f>
        <v>No</v>
      </c>
      <c r="U443" s="11" t="str">
        <f>IF(P443&gt;=100,"High","Low")</f>
        <v>Low</v>
      </c>
      <c r="V443" s="28">
        <f t="shared" si="12"/>
        <v>36.200000000000003</v>
      </c>
      <c r="W443" s="29">
        <f t="shared" si="13"/>
        <v>192.82051282051282</v>
      </c>
    </row>
    <row r="444" spans="1:23" x14ac:dyDescent="0.3">
      <c r="A444" s="1" t="s">
        <v>1368</v>
      </c>
      <c r="B444" s="1" t="s">
        <v>1369</v>
      </c>
      <c r="C444" s="1" t="s">
        <v>18</v>
      </c>
      <c r="D444" s="1" t="s">
        <v>37</v>
      </c>
      <c r="E444" s="1">
        <v>2005</v>
      </c>
      <c r="F444" s="1" t="s">
        <v>181</v>
      </c>
      <c r="G444" s="1" t="s">
        <v>1370</v>
      </c>
      <c r="H444" s="1">
        <v>81</v>
      </c>
      <c r="I444" s="1" t="s">
        <v>50</v>
      </c>
      <c r="J444" s="1">
        <v>9.4</v>
      </c>
      <c r="K444" s="1">
        <v>110.3</v>
      </c>
      <c r="L444" s="1" t="s">
        <v>171</v>
      </c>
      <c r="M444" s="1" t="s">
        <v>66</v>
      </c>
      <c r="N444" s="1" t="s">
        <v>25</v>
      </c>
      <c r="O444" s="1"/>
      <c r="P444" s="1">
        <v>126</v>
      </c>
      <c r="Q444" s="1">
        <v>491.8</v>
      </c>
      <c r="R444" s="8" t="str">
        <f>_xlfn.IFS(J444&gt;=8,"Hit",J444&gt;=6,"Average",J444&lt;6,"Flop")</f>
        <v>Hit</v>
      </c>
      <c r="S444" s="9" t="str">
        <f>_xlfn.IFS(K444&gt;=400,"Blockbuster",K444&gt;=200,"Popular",K444&lt;200,"Normal")</f>
        <v>Normal</v>
      </c>
      <c r="T444" s="10" t="str">
        <f>IF(OR(I444="PG",I444="G"),"Yes","No")</f>
        <v>Yes</v>
      </c>
      <c r="U444" s="11" t="str">
        <f>IF(P444&gt;=100,"High","Low")</f>
        <v>High</v>
      </c>
      <c r="V444" s="28">
        <f t="shared" si="12"/>
        <v>365.8</v>
      </c>
      <c r="W444" s="29">
        <f t="shared" si="13"/>
        <v>390.3174603174603</v>
      </c>
    </row>
    <row r="445" spans="1:23" x14ac:dyDescent="0.3">
      <c r="A445" s="1" t="s">
        <v>1371</v>
      </c>
      <c r="B445" s="1" t="s">
        <v>1372</v>
      </c>
      <c r="C445" s="1" t="s">
        <v>46</v>
      </c>
      <c r="D445" s="1" t="s">
        <v>82</v>
      </c>
      <c r="E445" s="1">
        <v>2017</v>
      </c>
      <c r="F445" s="1" t="s">
        <v>122</v>
      </c>
      <c r="G445" s="1" t="s">
        <v>1373</v>
      </c>
      <c r="H445" s="1">
        <v>41</v>
      </c>
      <c r="I445" s="1" t="s">
        <v>50</v>
      </c>
      <c r="J445" s="1">
        <v>9.1999999999999993</v>
      </c>
      <c r="K445" s="1">
        <v>120.2</v>
      </c>
      <c r="L445" s="1" t="s">
        <v>41</v>
      </c>
      <c r="M445" s="1" t="s">
        <v>78</v>
      </c>
      <c r="N445" s="1" t="s">
        <v>86</v>
      </c>
      <c r="O445" s="1">
        <v>6</v>
      </c>
      <c r="P445" s="1">
        <v>81</v>
      </c>
      <c r="Q445" s="1">
        <v>476.1</v>
      </c>
      <c r="R445" s="8" t="str">
        <f>_xlfn.IFS(J445&gt;=8,"Hit",J445&gt;=6,"Average",J445&lt;6,"Flop")</f>
        <v>Hit</v>
      </c>
      <c r="S445" s="9" t="str">
        <f>_xlfn.IFS(K445&gt;=400,"Blockbuster",K445&gt;=200,"Popular",K445&lt;200,"Normal")</f>
        <v>Normal</v>
      </c>
      <c r="T445" s="10" t="str">
        <f>IF(OR(I445="PG",I445="G"),"Yes","No")</f>
        <v>Yes</v>
      </c>
      <c r="U445" s="11" t="str">
        <f>IF(P445&gt;=100,"High","Low")</f>
        <v>Low</v>
      </c>
      <c r="V445" s="28">
        <f t="shared" si="12"/>
        <v>395.1</v>
      </c>
      <c r="W445" s="29">
        <f t="shared" si="13"/>
        <v>587.77777777777783</v>
      </c>
    </row>
    <row r="446" spans="1:23" x14ac:dyDescent="0.3">
      <c r="A446" s="1" t="s">
        <v>1374</v>
      </c>
      <c r="B446" s="1" t="s">
        <v>1375</v>
      </c>
      <c r="C446" s="1" t="s">
        <v>18</v>
      </c>
      <c r="D446" s="1" t="s">
        <v>94</v>
      </c>
      <c r="E446" s="1">
        <v>2019</v>
      </c>
      <c r="F446" s="1" t="s">
        <v>38</v>
      </c>
      <c r="G446" s="1" t="s">
        <v>683</v>
      </c>
      <c r="H446" s="1">
        <v>132</v>
      </c>
      <c r="I446" s="1" t="s">
        <v>31</v>
      </c>
      <c r="J446" s="1">
        <v>4.8</v>
      </c>
      <c r="K446" s="1">
        <v>60.8</v>
      </c>
      <c r="L446" s="1" t="s">
        <v>90</v>
      </c>
      <c r="M446" s="1" t="s">
        <v>97</v>
      </c>
      <c r="N446" s="1" t="s">
        <v>119</v>
      </c>
      <c r="O446" s="1"/>
      <c r="P446" s="1">
        <v>36</v>
      </c>
      <c r="Q446" s="1">
        <v>51.9</v>
      </c>
      <c r="R446" s="8" t="str">
        <f>_xlfn.IFS(J446&gt;=8,"Hit",J446&gt;=6,"Average",J446&lt;6,"Flop")</f>
        <v>Flop</v>
      </c>
      <c r="S446" s="9" t="str">
        <f>_xlfn.IFS(K446&gt;=400,"Blockbuster",K446&gt;=200,"Popular",K446&lt;200,"Normal")</f>
        <v>Normal</v>
      </c>
      <c r="T446" s="10" t="str">
        <f>IF(OR(I446="PG",I446="G"),"Yes","No")</f>
        <v>No</v>
      </c>
      <c r="U446" s="11" t="str">
        <f>IF(P446&gt;=100,"High","Low")</f>
        <v>Low</v>
      </c>
      <c r="V446" s="28">
        <f t="shared" si="12"/>
        <v>15.899999999999999</v>
      </c>
      <c r="W446" s="29">
        <f t="shared" si="13"/>
        <v>144.16666666666666</v>
      </c>
    </row>
    <row r="447" spans="1:23" x14ac:dyDescent="0.3">
      <c r="A447" s="1" t="s">
        <v>1376</v>
      </c>
      <c r="B447" s="1" t="s">
        <v>1377</v>
      </c>
      <c r="C447" s="1" t="s">
        <v>18</v>
      </c>
      <c r="D447" s="1" t="s">
        <v>58</v>
      </c>
      <c r="E447" s="1">
        <v>2023</v>
      </c>
      <c r="F447" s="1" t="s">
        <v>38</v>
      </c>
      <c r="G447" s="1" t="s">
        <v>1378</v>
      </c>
      <c r="H447" s="1">
        <v>103</v>
      </c>
      <c r="I447" s="1" t="s">
        <v>50</v>
      </c>
      <c r="J447" s="1">
        <v>9.6</v>
      </c>
      <c r="K447" s="1">
        <v>362.8</v>
      </c>
      <c r="L447" s="1" t="s">
        <v>71</v>
      </c>
      <c r="M447" s="1" t="s">
        <v>72</v>
      </c>
      <c r="N447" s="1" t="s">
        <v>158</v>
      </c>
      <c r="O447" s="1"/>
      <c r="P447" s="1">
        <v>102</v>
      </c>
      <c r="Q447" s="1">
        <v>196.9</v>
      </c>
      <c r="R447" s="8" t="str">
        <f>_xlfn.IFS(J447&gt;=8,"Hit",J447&gt;=6,"Average",J447&lt;6,"Flop")</f>
        <v>Hit</v>
      </c>
      <c r="S447" s="9" t="str">
        <f>_xlfn.IFS(K447&gt;=400,"Blockbuster",K447&gt;=200,"Popular",K447&lt;200,"Normal")</f>
        <v>Popular</v>
      </c>
      <c r="T447" s="10" t="str">
        <f>IF(OR(I447="PG",I447="G"),"Yes","No")</f>
        <v>Yes</v>
      </c>
      <c r="U447" s="11" t="str">
        <f>IF(P447&gt;=100,"High","Low")</f>
        <v>High</v>
      </c>
      <c r="V447" s="28">
        <f t="shared" si="12"/>
        <v>94.9</v>
      </c>
      <c r="W447" s="29">
        <f t="shared" si="13"/>
        <v>193.0392156862745</v>
      </c>
    </row>
    <row r="448" spans="1:23" x14ac:dyDescent="0.3">
      <c r="A448" s="1" t="s">
        <v>1379</v>
      </c>
      <c r="B448" s="1" t="s">
        <v>1380</v>
      </c>
      <c r="C448" s="1" t="s">
        <v>18</v>
      </c>
      <c r="D448" s="1" t="s">
        <v>75</v>
      </c>
      <c r="E448" s="1">
        <v>2014</v>
      </c>
      <c r="F448" s="1" t="s">
        <v>48</v>
      </c>
      <c r="G448" s="1" t="s">
        <v>1381</v>
      </c>
      <c r="H448" s="1">
        <v>100</v>
      </c>
      <c r="I448" s="1" t="s">
        <v>50</v>
      </c>
      <c r="J448" s="1">
        <v>9</v>
      </c>
      <c r="K448" s="1">
        <v>225.4</v>
      </c>
      <c r="L448" s="1" t="s">
        <v>65</v>
      </c>
      <c r="M448" s="1" t="s">
        <v>24</v>
      </c>
      <c r="N448" s="1" t="s">
        <v>55</v>
      </c>
      <c r="O448" s="1"/>
      <c r="P448" s="1">
        <v>71</v>
      </c>
      <c r="Q448" s="1">
        <v>372.9</v>
      </c>
      <c r="R448" s="8" t="str">
        <f>_xlfn.IFS(J448&gt;=8,"Hit",J448&gt;=6,"Average",J448&lt;6,"Flop")</f>
        <v>Hit</v>
      </c>
      <c r="S448" s="9" t="str">
        <f>_xlfn.IFS(K448&gt;=400,"Blockbuster",K448&gt;=200,"Popular",K448&lt;200,"Normal")</f>
        <v>Popular</v>
      </c>
      <c r="T448" s="10" t="str">
        <f>IF(OR(I448="PG",I448="G"),"Yes","No")</f>
        <v>Yes</v>
      </c>
      <c r="U448" s="11" t="str">
        <f>IF(P448&gt;=100,"High","Low")</f>
        <v>Low</v>
      </c>
      <c r="V448" s="28">
        <f t="shared" si="12"/>
        <v>301.89999999999998</v>
      </c>
      <c r="W448" s="29">
        <f t="shared" si="13"/>
        <v>525.21126760563379</v>
      </c>
    </row>
    <row r="449" spans="1:23" x14ac:dyDescent="0.3">
      <c r="A449" s="1" t="s">
        <v>1382</v>
      </c>
      <c r="B449" s="1" t="s">
        <v>1383</v>
      </c>
      <c r="C449" s="1" t="s">
        <v>18</v>
      </c>
      <c r="D449" s="1" t="s">
        <v>94</v>
      </c>
      <c r="E449" s="1">
        <v>2020</v>
      </c>
      <c r="F449" s="1" t="s">
        <v>38</v>
      </c>
      <c r="G449" s="1" t="s">
        <v>1384</v>
      </c>
      <c r="H449" s="1">
        <v>116</v>
      </c>
      <c r="I449" s="1" t="s">
        <v>40</v>
      </c>
      <c r="J449" s="1">
        <v>4.8</v>
      </c>
      <c r="K449" s="1">
        <v>67</v>
      </c>
      <c r="L449" s="1" t="s">
        <v>32</v>
      </c>
      <c r="M449" s="1" t="s">
        <v>85</v>
      </c>
      <c r="N449" s="1" t="s">
        <v>25</v>
      </c>
      <c r="O449" s="1"/>
      <c r="P449" s="1">
        <v>147</v>
      </c>
      <c r="Q449" s="1">
        <v>351.9</v>
      </c>
      <c r="R449" s="8" t="str">
        <f>_xlfn.IFS(J449&gt;=8,"Hit",J449&gt;=6,"Average",J449&lt;6,"Flop")</f>
        <v>Flop</v>
      </c>
      <c r="S449" s="9" t="str">
        <f>_xlfn.IFS(K449&gt;=400,"Blockbuster",K449&gt;=200,"Popular",K449&lt;200,"Normal")</f>
        <v>Normal</v>
      </c>
      <c r="T449" s="10" t="str">
        <f>IF(OR(I449="PG",I449="G"),"Yes","No")</f>
        <v>Yes</v>
      </c>
      <c r="U449" s="11" t="str">
        <f>IF(P449&gt;=100,"High","Low")</f>
        <v>High</v>
      </c>
      <c r="V449" s="28">
        <f t="shared" si="12"/>
        <v>204.89999999999998</v>
      </c>
      <c r="W449" s="29">
        <f t="shared" si="13"/>
        <v>239.38775510204081</v>
      </c>
    </row>
    <row r="450" spans="1:23" x14ac:dyDescent="0.3">
      <c r="A450" s="1" t="s">
        <v>1385</v>
      </c>
      <c r="B450" s="1" t="s">
        <v>1386</v>
      </c>
      <c r="C450" s="1" t="s">
        <v>46</v>
      </c>
      <c r="D450" s="1" t="s">
        <v>37</v>
      </c>
      <c r="E450" s="1">
        <v>2006</v>
      </c>
      <c r="F450" s="1" t="s">
        <v>95</v>
      </c>
      <c r="G450" s="1" t="s">
        <v>1387</v>
      </c>
      <c r="H450" s="1">
        <v>51</v>
      </c>
      <c r="I450" s="1" t="s">
        <v>40</v>
      </c>
      <c r="J450" s="1">
        <v>7.9</v>
      </c>
      <c r="K450" s="1">
        <v>42</v>
      </c>
      <c r="L450" s="1" t="s">
        <v>32</v>
      </c>
      <c r="M450" s="1" t="s">
        <v>24</v>
      </c>
      <c r="N450" s="1" t="s">
        <v>86</v>
      </c>
      <c r="O450" s="1">
        <v>3</v>
      </c>
      <c r="P450" s="1">
        <v>43</v>
      </c>
      <c r="Q450" s="1">
        <v>236.3</v>
      </c>
      <c r="R450" s="8" t="str">
        <f>_xlfn.IFS(J450&gt;=8,"Hit",J450&gt;=6,"Average",J450&lt;6,"Flop")</f>
        <v>Average</v>
      </c>
      <c r="S450" s="9" t="str">
        <f>_xlfn.IFS(K450&gt;=400,"Blockbuster",K450&gt;=200,"Popular",K450&lt;200,"Normal")</f>
        <v>Normal</v>
      </c>
      <c r="T450" s="10" t="str">
        <f>IF(OR(I450="PG",I450="G"),"Yes","No")</f>
        <v>Yes</v>
      </c>
      <c r="U450" s="11" t="str">
        <f>IF(P450&gt;=100,"High","Low")</f>
        <v>Low</v>
      </c>
      <c r="V450" s="28">
        <f t="shared" si="12"/>
        <v>193.3</v>
      </c>
      <c r="W450" s="29">
        <f t="shared" si="13"/>
        <v>549.53488372093022</v>
      </c>
    </row>
    <row r="451" spans="1:23" x14ac:dyDescent="0.3">
      <c r="A451" s="1" t="s">
        <v>1388</v>
      </c>
      <c r="B451" s="1" t="s">
        <v>1389</v>
      </c>
      <c r="C451" s="1" t="s">
        <v>46</v>
      </c>
      <c r="D451" s="1" t="s">
        <v>19</v>
      </c>
      <c r="E451" s="1">
        <v>2010</v>
      </c>
      <c r="F451" s="1" t="s">
        <v>95</v>
      </c>
      <c r="G451" s="1" t="s">
        <v>1390</v>
      </c>
      <c r="H451" s="1">
        <v>33</v>
      </c>
      <c r="I451" s="1" t="s">
        <v>40</v>
      </c>
      <c r="J451" s="1">
        <v>6.6</v>
      </c>
      <c r="K451" s="1">
        <v>481.1</v>
      </c>
      <c r="L451" s="1" t="s">
        <v>32</v>
      </c>
      <c r="M451" s="1" t="s">
        <v>106</v>
      </c>
      <c r="N451" s="1" t="s">
        <v>43</v>
      </c>
      <c r="O451" s="1">
        <v>2</v>
      </c>
      <c r="P451" s="1">
        <v>175</v>
      </c>
      <c r="Q451" s="1">
        <v>840.7</v>
      </c>
      <c r="R451" s="8" t="str">
        <f>_xlfn.IFS(J451&gt;=8,"Hit",J451&gt;=6,"Average",J451&lt;6,"Flop")</f>
        <v>Average</v>
      </c>
      <c r="S451" s="9" t="str">
        <f>_xlfn.IFS(K451&gt;=400,"Blockbuster",K451&gt;=200,"Popular",K451&lt;200,"Normal")</f>
        <v>Blockbuster</v>
      </c>
      <c r="T451" s="10" t="str">
        <f>IF(OR(I451="PG",I451="G"),"Yes","No")</f>
        <v>Yes</v>
      </c>
      <c r="U451" s="11" t="str">
        <f>IF(P451&gt;=100,"High","Low")</f>
        <v>High</v>
      </c>
      <c r="V451" s="28">
        <f t="shared" ref="V451:V514" si="14">Q451-P451</f>
        <v>665.7</v>
      </c>
      <c r="W451" s="29">
        <f t="shared" ref="W451:W514" si="15">(Q451/P451)*100</f>
        <v>480.40000000000003</v>
      </c>
    </row>
    <row r="452" spans="1:23" x14ac:dyDescent="0.3">
      <c r="A452" s="1" t="s">
        <v>1391</v>
      </c>
      <c r="B452" s="1" t="s">
        <v>1392</v>
      </c>
      <c r="C452" s="1" t="s">
        <v>46</v>
      </c>
      <c r="D452" s="1" t="s">
        <v>117</v>
      </c>
      <c r="E452" s="1">
        <v>2009</v>
      </c>
      <c r="F452" s="1" t="s">
        <v>95</v>
      </c>
      <c r="G452" s="1" t="s">
        <v>1173</v>
      </c>
      <c r="H452" s="1">
        <v>56</v>
      </c>
      <c r="I452" s="1" t="s">
        <v>31</v>
      </c>
      <c r="J452" s="1">
        <v>5.3</v>
      </c>
      <c r="K452" s="1">
        <v>509.1</v>
      </c>
      <c r="L452" s="1" t="s">
        <v>32</v>
      </c>
      <c r="M452" s="1" t="s">
        <v>54</v>
      </c>
      <c r="N452" s="1" t="s">
        <v>158</v>
      </c>
      <c r="O452" s="1">
        <v>2</v>
      </c>
      <c r="P452" s="1">
        <v>93</v>
      </c>
      <c r="Q452" s="1">
        <v>328.7</v>
      </c>
      <c r="R452" s="8" t="str">
        <f>_xlfn.IFS(J452&gt;=8,"Hit",J452&gt;=6,"Average",J452&lt;6,"Flop")</f>
        <v>Flop</v>
      </c>
      <c r="S452" s="9" t="str">
        <f>_xlfn.IFS(K452&gt;=400,"Blockbuster",K452&gt;=200,"Popular",K452&lt;200,"Normal")</f>
        <v>Blockbuster</v>
      </c>
      <c r="T452" s="10" t="str">
        <f>IF(OR(I452="PG",I452="G"),"Yes","No")</f>
        <v>No</v>
      </c>
      <c r="U452" s="11" t="str">
        <f>IF(P452&gt;=100,"High","Low")</f>
        <v>Low</v>
      </c>
      <c r="V452" s="28">
        <f t="shared" si="14"/>
        <v>235.7</v>
      </c>
      <c r="W452" s="29">
        <f t="shared" si="15"/>
        <v>353.44086021505376</v>
      </c>
    </row>
    <row r="453" spans="1:23" x14ac:dyDescent="0.3">
      <c r="A453" s="1" t="s">
        <v>1393</v>
      </c>
      <c r="B453" s="1" t="s">
        <v>1394</v>
      </c>
      <c r="C453" s="1" t="s">
        <v>18</v>
      </c>
      <c r="D453" s="1" t="s">
        <v>47</v>
      </c>
      <c r="E453" s="1">
        <v>2007</v>
      </c>
      <c r="F453" s="1" t="s">
        <v>48</v>
      </c>
      <c r="G453" s="1" t="s">
        <v>1395</v>
      </c>
      <c r="H453" s="1">
        <v>101</v>
      </c>
      <c r="I453" s="1" t="s">
        <v>40</v>
      </c>
      <c r="J453" s="1">
        <v>7.9</v>
      </c>
      <c r="K453" s="1">
        <v>160.19999999999999</v>
      </c>
      <c r="L453" s="1" t="s">
        <v>65</v>
      </c>
      <c r="M453" s="1" t="s">
        <v>97</v>
      </c>
      <c r="N453" s="1" t="s">
        <v>60</v>
      </c>
      <c r="O453" s="1"/>
      <c r="P453" s="1">
        <v>38</v>
      </c>
      <c r="Q453" s="1">
        <v>118.3</v>
      </c>
      <c r="R453" s="8" t="str">
        <f>_xlfn.IFS(J453&gt;=8,"Hit",J453&gt;=6,"Average",J453&lt;6,"Flop")</f>
        <v>Average</v>
      </c>
      <c r="S453" s="9" t="str">
        <f>_xlfn.IFS(K453&gt;=400,"Blockbuster",K453&gt;=200,"Popular",K453&lt;200,"Normal")</f>
        <v>Normal</v>
      </c>
      <c r="T453" s="10" t="str">
        <f>IF(OR(I453="PG",I453="G"),"Yes","No")</f>
        <v>Yes</v>
      </c>
      <c r="U453" s="11" t="str">
        <f>IF(P453&gt;=100,"High","Low")</f>
        <v>Low</v>
      </c>
      <c r="V453" s="28">
        <f t="shared" si="14"/>
        <v>80.3</v>
      </c>
      <c r="W453" s="29">
        <f t="shared" si="15"/>
        <v>311.31578947368422</v>
      </c>
    </row>
    <row r="454" spans="1:23" x14ac:dyDescent="0.3">
      <c r="A454" s="1" t="s">
        <v>1396</v>
      </c>
      <c r="B454" s="1" t="s">
        <v>1397</v>
      </c>
      <c r="C454" s="1" t="s">
        <v>18</v>
      </c>
      <c r="D454" s="1" t="s">
        <v>28</v>
      </c>
      <c r="E454" s="1">
        <v>2016</v>
      </c>
      <c r="F454" s="1" t="s">
        <v>181</v>
      </c>
      <c r="G454" s="1" t="s">
        <v>1398</v>
      </c>
      <c r="H454" s="1">
        <v>170</v>
      </c>
      <c r="I454" s="1" t="s">
        <v>22</v>
      </c>
      <c r="J454" s="1">
        <v>9</v>
      </c>
      <c r="K454" s="1">
        <v>570.6</v>
      </c>
      <c r="L454" s="1" t="s">
        <v>71</v>
      </c>
      <c r="M454" s="1" t="s">
        <v>111</v>
      </c>
      <c r="N454" s="1" t="s">
        <v>55</v>
      </c>
      <c r="O454" s="1"/>
      <c r="P454" s="1">
        <v>169</v>
      </c>
      <c r="Q454" s="1">
        <v>936.8</v>
      </c>
      <c r="R454" s="8" t="str">
        <f>_xlfn.IFS(J454&gt;=8,"Hit",J454&gt;=6,"Average",J454&lt;6,"Flop")</f>
        <v>Hit</v>
      </c>
      <c r="S454" s="9" t="str">
        <f>_xlfn.IFS(K454&gt;=400,"Blockbuster",K454&gt;=200,"Popular",K454&lt;200,"Normal")</f>
        <v>Blockbuster</v>
      </c>
      <c r="T454" s="10" t="str">
        <f>IF(OR(I454="PG",I454="G"),"Yes","No")</f>
        <v>No</v>
      </c>
      <c r="U454" s="11" t="str">
        <f>IF(P454&gt;=100,"High","Low")</f>
        <v>High</v>
      </c>
      <c r="V454" s="28">
        <f t="shared" si="14"/>
        <v>767.8</v>
      </c>
      <c r="W454" s="29">
        <f t="shared" si="15"/>
        <v>554.31952662721892</v>
      </c>
    </row>
    <row r="455" spans="1:23" x14ac:dyDescent="0.3">
      <c r="A455" s="1" t="s">
        <v>1399</v>
      </c>
      <c r="B455" s="1" t="s">
        <v>1400</v>
      </c>
      <c r="C455" s="1" t="s">
        <v>18</v>
      </c>
      <c r="D455" s="1" t="s">
        <v>58</v>
      </c>
      <c r="E455" s="1">
        <v>2001</v>
      </c>
      <c r="F455" s="1" t="s">
        <v>95</v>
      </c>
      <c r="G455" s="1" t="s">
        <v>1401</v>
      </c>
      <c r="H455" s="1">
        <v>156</v>
      </c>
      <c r="I455" s="1" t="s">
        <v>40</v>
      </c>
      <c r="J455" s="1">
        <v>5.4</v>
      </c>
      <c r="K455" s="1">
        <v>163.1</v>
      </c>
      <c r="L455" s="1" t="s">
        <v>71</v>
      </c>
      <c r="M455" s="1" t="s">
        <v>106</v>
      </c>
      <c r="N455" s="1" t="s">
        <v>34</v>
      </c>
      <c r="O455" s="1"/>
      <c r="P455" s="1">
        <v>181</v>
      </c>
      <c r="Q455" s="1">
        <v>1161.3</v>
      </c>
      <c r="R455" s="8" t="str">
        <f>_xlfn.IFS(J455&gt;=8,"Hit",J455&gt;=6,"Average",J455&lt;6,"Flop")</f>
        <v>Flop</v>
      </c>
      <c r="S455" s="9" t="str">
        <f>_xlfn.IFS(K455&gt;=400,"Blockbuster",K455&gt;=200,"Popular",K455&lt;200,"Normal")</f>
        <v>Normal</v>
      </c>
      <c r="T455" s="10" t="str">
        <f>IF(OR(I455="PG",I455="G"),"Yes","No")</f>
        <v>Yes</v>
      </c>
      <c r="U455" s="11" t="str">
        <f>IF(P455&gt;=100,"High","Low")</f>
        <v>High</v>
      </c>
      <c r="V455" s="28">
        <f t="shared" si="14"/>
        <v>980.3</v>
      </c>
      <c r="W455" s="29">
        <f t="shared" si="15"/>
        <v>641.60220994475128</v>
      </c>
    </row>
    <row r="456" spans="1:23" x14ac:dyDescent="0.3">
      <c r="A456" s="1" t="s">
        <v>1402</v>
      </c>
      <c r="B456" s="1" t="s">
        <v>1403</v>
      </c>
      <c r="C456" s="1" t="s">
        <v>18</v>
      </c>
      <c r="D456" s="1" t="s">
        <v>47</v>
      </c>
      <c r="E456" s="1">
        <v>2010</v>
      </c>
      <c r="F456" s="1" t="s">
        <v>20</v>
      </c>
      <c r="G456" s="1" t="s">
        <v>1404</v>
      </c>
      <c r="H456" s="1">
        <v>92</v>
      </c>
      <c r="I456" s="1" t="s">
        <v>50</v>
      </c>
      <c r="J456" s="1">
        <v>7.3</v>
      </c>
      <c r="K456" s="1">
        <v>314.2</v>
      </c>
      <c r="L456" s="1" t="s">
        <v>23</v>
      </c>
      <c r="M456" s="1" t="s">
        <v>111</v>
      </c>
      <c r="N456" s="1" t="s">
        <v>153</v>
      </c>
      <c r="O456" s="1"/>
      <c r="P456" s="1">
        <v>56</v>
      </c>
      <c r="Q456" s="1">
        <v>89.8</v>
      </c>
      <c r="R456" s="8" t="str">
        <f>_xlfn.IFS(J456&gt;=8,"Hit",J456&gt;=6,"Average",J456&lt;6,"Flop")</f>
        <v>Average</v>
      </c>
      <c r="S456" s="9" t="str">
        <f>_xlfn.IFS(K456&gt;=400,"Blockbuster",K456&gt;=200,"Popular",K456&lt;200,"Normal")</f>
        <v>Popular</v>
      </c>
      <c r="T456" s="10" t="str">
        <f>IF(OR(I456="PG",I456="G"),"Yes","No")</f>
        <v>Yes</v>
      </c>
      <c r="U456" s="11" t="str">
        <f>IF(P456&gt;=100,"High","Low")</f>
        <v>Low</v>
      </c>
      <c r="V456" s="28">
        <f t="shared" si="14"/>
        <v>33.799999999999997</v>
      </c>
      <c r="W456" s="29">
        <f t="shared" si="15"/>
        <v>160.35714285714283</v>
      </c>
    </row>
    <row r="457" spans="1:23" x14ac:dyDescent="0.3">
      <c r="A457" s="1" t="s">
        <v>1405</v>
      </c>
      <c r="B457" s="1" t="s">
        <v>1406</v>
      </c>
      <c r="C457" s="1" t="s">
        <v>46</v>
      </c>
      <c r="D457" s="1" t="s">
        <v>75</v>
      </c>
      <c r="E457" s="1">
        <v>2020</v>
      </c>
      <c r="F457" s="1" t="s">
        <v>20</v>
      </c>
      <c r="G457" s="1" t="s">
        <v>547</v>
      </c>
      <c r="H457" s="1">
        <v>33</v>
      </c>
      <c r="I457" s="1" t="s">
        <v>40</v>
      </c>
      <c r="J457" s="1">
        <v>5.3</v>
      </c>
      <c r="K457" s="1">
        <v>204.6</v>
      </c>
      <c r="L457" s="1" t="s">
        <v>71</v>
      </c>
      <c r="M457" s="1" t="s">
        <v>106</v>
      </c>
      <c r="N457" s="1" t="s">
        <v>34</v>
      </c>
      <c r="O457" s="1">
        <v>7</v>
      </c>
      <c r="P457" s="1">
        <v>71</v>
      </c>
      <c r="Q457" s="1">
        <v>126.6</v>
      </c>
      <c r="R457" s="8" t="str">
        <f>_xlfn.IFS(J457&gt;=8,"Hit",J457&gt;=6,"Average",J457&lt;6,"Flop")</f>
        <v>Flop</v>
      </c>
      <c r="S457" s="9" t="str">
        <f>_xlfn.IFS(K457&gt;=400,"Blockbuster",K457&gt;=200,"Popular",K457&lt;200,"Normal")</f>
        <v>Popular</v>
      </c>
      <c r="T457" s="10" t="str">
        <f>IF(OR(I457="PG",I457="G"),"Yes","No")</f>
        <v>Yes</v>
      </c>
      <c r="U457" s="11" t="str">
        <f>IF(P457&gt;=100,"High","Low")</f>
        <v>Low</v>
      </c>
      <c r="V457" s="28">
        <f t="shared" si="14"/>
        <v>55.599999999999994</v>
      </c>
      <c r="W457" s="29">
        <f t="shared" si="15"/>
        <v>178.30985915492957</v>
      </c>
    </row>
    <row r="458" spans="1:23" x14ac:dyDescent="0.3">
      <c r="A458" s="1" t="s">
        <v>1407</v>
      </c>
      <c r="B458" s="1" t="s">
        <v>1408</v>
      </c>
      <c r="C458" s="1" t="s">
        <v>18</v>
      </c>
      <c r="D458" s="1" t="s">
        <v>58</v>
      </c>
      <c r="E458" s="1">
        <v>2018</v>
      </c>
      <c r="F458" s="1" t="s">
        <v>181</v>
      </c>
      <c r="G458" s="1" t="s">
        <v>1409</v>
      </c>
      <c r="H458" s="1">
        <v>115</v>
      </c>
      <c r="I458" s="1" t="s">
        <v>50</v>
      </c>
      <c r="J458" s="1">
        <v>9.3000000000000007</v>
      </c>
      <c r="K458" s="1">
        <v>354.3</v>
      </c>
      <c r="L458" s="1" t="s">
        <v>65</v>
      </c>
      <c r="M458" s="1" t="s">
        <v>106</v>
      </c>
      <c r="N458" s="1" t="s">
        <v>128</v>
      </c>
      <c r="O458" s="1"/>
      <c r="P458" s="1">
        <v>185</v>
      </c>
      <c r="Q458" s="1">
        <v>906.7</v>
      </c>
      <c r="R458" s="8" t="str">
        <f>_xlfn.IFS(J458&gt;=8,"Hit",J458&gt;=6,"Average",J458&lt;6,"Flop")</f>
        <v>Hit</v>
      </c>
      <c r="S458" s="9" t="str">
        <f>_xlfn.IFS(K458&gt;=400,"Blockbuster",K458&gt;=200,"Popular",K458&lt;200,"Normal")</f>
        <v>Popular</v>
      </c>
      <c r="T458" s="10" t="str">
        <f>IF(OR(I458="PG",I458="G"),"Yes","No")</f>
        <v>Yes</v>
      </c>
      <c r="U458" s="11" t="str">
        <f>IF(P458&gt;=100,"High","Low")</f>
        <v>High</v>
      </c>
      <c r="V458" s="28">
        <f t="shared" si="14"/>
        <v>721.7</v>
      </c>
      <c r="W458" s="29">
        <f t="shared" si="15"/>
        <v>490.10810810810813</v>
      </c>
    </row>
    <row r="459" spans="1:23" x14ac:dyDescent="0.3">
      <c r="A459" s="1" t="s">
        <v>1410</v>
      </c>
      <c r="B459" s="1" t="s">
        <v>1411</v>
      </c>
      <c r="C459" s="1" t="s">
        <v>18</v>
      </c>
      <c r="D459" s="1" t="s">
        <v>117</v>
      </c>
      <c r="E459" s="1">
        <v>2013</v>
      </c>
      <c r="F459" s="1" t="s">
        <v>100</v>
      </c>
      <c r="G459" s="1" t="s">
        <v>1412</v>
      </c>
      <c r="H459" s="1">
        <v>161</v>
      </c>
      <c r="I459" s="1" t="s">
        <v>31</v>
      </c>
      <c r="J459" s="1">
        <v>9.5</v>
      </c>
      <c r="K459" s="1">
        <v>307.5</v>
      </c>
      <c r="L459" s="1" t="s">
        <v>32</v>
      </c>
      <c r="M459" s="1" t="s">
        <v>111</v>
      </c>
      <c r="N459" s="1" t="s">
        <v>86</v>
      </c>
      <c r="O459" s="1"/>
      <c r="P459" s="1">
        <v>142</v>
      </c>
      <c r="Q459" s="1">
        <v>596.29999999999995</v>
      </c>
      <c r="R459" s="8" t="str">
        <f>_xlfn.IFS(J459&gt;=8,"Hit",J459&gt;=6,"Average",J459&lt;6,"Flop")</f>
        <v>Hit</v>
      </c>
      <c r="S459" s="9" t="str">
        <f>_xlfn.IFS(K459&gt;=400,"Blockbuster",K459&gt;=200,"Popular",K459&lt;200,"Normal")</f>
        <v>Popular</v>
      </c>
      <c r="T459" s="10" t="str">
        <f>IF(OR(I459="PG",I459="G"),"Yes","No")</f>
        <v>No</v>
      </c>
      <c r="U459" s="11" t="str">
        <f>IF(P459&gt;=100,"High","Low")</f>
        <v>High</v>
      </c>
      <c r="V459" s="28">
        <f t="shared" si="14"/>
        <v>454.29999999999995</v>
      </c>
      <c r="W459" s="29">
        <f t="shared" si="15"/>
        <v>419.92957746478874</v>
      </c>
    </row>
    <row r="460" spans="1:23" x14ac:dyDescent="0.3">
      <c r="A460" s="1" t="s">
        <v>1413</v>
      </c>
      <c r="B460" s="1" t="s">
        <v>1414</v>
      </c>
      <c r="C460" s="1" t="s">
        <v>18</v>
      </c>
      <c r="D460" s="1" t="s">
        <v>58</v>
      </c>
      <c r="E460" s="1">
        <v>2015</v>
      </c>
      <c r="F460" s="1" t="s">
        <v>122</v>
      </c>
      <c r="G460" s="1" t="s">
        <v>1415</v>
      </c>
      <c r="H460" s="1">
        <v>158</v>
      </c>
      <c r="I460" s="1" t="s">
        <v>22</v>
      </c>
      <c r="J460" s="1">
        <v>8.5</v>
      </c>
      <c r="K460" s="1">
        <v>184</v>
      </c>
      <c r="L460" s="1" t="s">
        <v>90</v>
      </c>
      <c r="M460" s="1" t="s">
        <v>72</v>
      </c>
      <c r="N460" s="1" t="s">
        <v>25</v>
      </c>
      <c r="O460" s="1"/>
      <c r="P460" s="1">
        <v>189</v>
      </c>
      <c r="Q460" s="1">
        <v>1209.8</v>
      </c>
      <c r="R460" s="8" t="str">
        <f>_xlfn.IFS(J460&gt;=8,"Hit",J460&gt;=6,"Average",J460&lt;6,"Flop")</f>
        <v>Hit</v>
      </c>
      <c r="S460" s="9" t="str">
        <f>_xlfn.IFS(K460&gt;=400,"Blockbuster",K460&gt;=200,"Popular",K460&lt;200,"Normal")</f>
        <v>Normal</v>
      </c>
      <c r="T460" s="10" t="str">
        <f>IF(OR(I460="PG",I460="G"),"Yes","No")</f>
        <v>No</v>
      </c>
      <c r="U460" s="11" t="str">
        <f>IF(P460&gt;=100,"High","Low")</f>
        <v>High</v>
      </c>
      <c r="V460" s="28">
        <f t="shared" si="14"/>
        <v>1020.8</v>
      </c>
      <c r="W460" s="29">
        <f t="shared" si="15"/>
        <v>640.10582010582016</v>
      </c>
    </row>
    <row r="461" spans="1:23" x14ac:dyDescent="0.3">
      <c r="A461" s="1" t="s">
        <v>1416</v>
      </c>
      <c r="B461" s="1" t="s">
        <v>1417</v>
      </c>
      <c r="C461" s="1" t="s">
        <v>18</v>
      </c>
      <c r="D461" s="1" t="s">
        <v>28</v>
      </c>
      <c r="E461" s="1">
        <v>2023</v>
      </c>
      <c r="F461" s="1" t="s">
        <v>181</v>
      </c>
      <c r="G461" s="1" t="s">
        <v>197</v>
      </c>
      <c r="H461" s="1">
        <v>178</v>
      </c>
      <c r="I461" s="1" t="s">
        <v>50</v>
      </c>
      <c r="J461" s="1">
        <v>5</v>
      </c>
      <c r="K461" s="1">
        <v>75.2</v>
      </c>
      <c r="L461" s="1" t="s">
        <v>41</v>
      </c>
      <c r="M461" s="1" t="s">
        <v>85</v>
      </c>
      <c r="N461" s="1" t="s">
        <v>102</v>
      </c>
      <c r="O461" s="1"/>
      <c r="P461" s="1">
        <v>36</v>
      </c>
      <c r="Q461" s="1">
        <v>57.2</v>
      </c>
      <c r="R461" s="8" t="str">
        <f>_xlfn.IFS(J461&gt;=8,"Hit",J461&gt;=6,"Average",J461&lt;6,"Flop")</f>
        <v>Flop</v>
      </c>
      <c r="S461" s="9" t="str">
        <f>_xlfn.IFS(K461&gt;=400,"Blockbuster",K461&gt;=200,"Popular",K461&lt;200,"Normal")</f>
        <v>Normal</v>
      </c>
      <c r="T461" s="10" t="str">
        <f>IF(OR(I461="PG",I461="G"),"Yes","No")</f>
        <v>Yes</v>
      </c>
      <c r="U461" s="11" t="str">
        <f>IF(P461&gt;=100,"High","Low")</f>
        <v>Low</v>
      </c>
      <c r="V461" s="28">
        <f t="shared" si="14"/>
        <v>21.200000000000003</v>
      </c>
      <c r="W461" s="29">
        <f t="shared" si="15"/>
        <v>158.88888888888891</v>
      </c>
    </row>
    <row r="462" spans="1:23" x14ac:dyDescent="0.3">
      <c r="A462" s="1" t="s">
        <v>1418</v>
      </c>
      <c r="B462" s="1" t="s">
        <v>1419</v>
      </c>
      <c r="C462" s="1" t="s">
        <v>18</v>
      </c>
      <c r="D462" s="1" t="s">
        <v>47</v>
      </c>
      <c r="E462" s="1">
        <v>2013</v>
      </c>
      <c r="F462" s="1" t="s">
        <v>122</v>
      </c>
      <c r="G462" s="1" t="s">
        <v>1346</v>
      </c>
      <c r="H462" s="1">
        <v>171</v>
      </c>
      <c r="I462" s="1" t="s">
        <v>22</v>
      </c>
      <c r="J462" s="1">
        <v>6.5</v>
      </c>
      <c r="K462" s="1">
        <v>261.2</v>
      </c>
      <c r="L462" s="1" t="s">
        <v>23</v>
      </c>
      <c r="M462" s="1" t="s">
        <v>106</v>
      </c>
      <c r="N462" s="1" t="s">
        <v>119</v>
      </c>
      <c r="O462" s="1"/>
      <c r="P462" s="1">
        <v>12</v>
      </c>
      <c r="Q462" s="1">
        <v>74.900000000000006</v>
      </c>
      <c r="R462" s="8" t="str">
        <f>_xlfn.IFS(J462&gt;=8,"Hit",J462&gt;=6,"Average",J462&lt;6,"Flop")</f>
        <v>Average</v>
      </c>
      <c r="S462" s="9" t="str">
        <f>_xlfn.IFS(K462&gt;=400,"Blockbuster",K462&gt;=200,"Popular",K462&lt;200,"Normal")</f>
        <v>Popular</v>
      </c>
      <c r="T462" s="10" t="str">
        <f>IF(OR(I462="PG",I462="G"),"Yes","No")</f>
        <v>No</v>
      </c>
      <c r="U462" s="11" t="str">
        <f>IF(P462&gt;=100,"High","Low")</f>
        <v>Low</v>
      </c>
      <c r="V462" s="28">
        <f t="shared" si="14"/>
        <v>62.900000000000006</v>
      </c>
      <c r="W462" s="29">
        <f t="shared" si="15"/>
        <v>624.16666666666674</v>
      </c>
    </row>
    <row r="463" spans="1:23" x14ac:dyDescent="0.3">
      <c r="A463" s="1" t="s">
        <v>1420</v>
      </c>
      <c r="B463" s="1" t="s">
        <v>1421</v>
      </c>
      <c r="C463" s="1" t="s">
        <v>18</v>
      </c>
      <c r="D463" s="1" t="s">
        <v>117</v>
      </c>
      <c r="E463" s="1">
        <v>2021</v>
      </c>
      <c r="F463" s="1" t="s">
        <v>20</v>
      </c>
      <c r="G463" s="1" t="s">
        <v>1422</v>
      </c>
      <c r="H463" s="1">
        <v>88</v>
      </c>
      <c r="I463" s="1" t="s">
        <v>31</v>
      </c>
      <c r="J463" s="1">
        <v>9.1</v>
      </c>
      <c r="K463" s="1">
        <v>43.1</v>
      </c>
      <c r="L463" s="1" t="s">
        <v>23</v>
      </c>
      <c r="M463" s="1" t="s">
        <v>106</v>
      </c>
      <c r="N463" s="1" t="s">
        <v>60</v>
      </c>
      <c r="O463" s="1"/>
      <c r="P463" s="1">
        <v>7</v>
      </c>
      <c r="Q463" s="1">
        <v>36.6</v>
      </c>
      <c r="R463" s="8" t="str">
        <f>_xlfn.IFS(J463&gt;=8,"Hit",J463&gt;=6,"Average",J463&lt;6,"Flop")</f>
        <v>Hit</v>
      </c>
      <c r="S463" s="9" t="str">
        <f>_xlfn.IFS(K463&gt;=400,"Blockbuster",K463&gt;=200,"Popular",K463&lt;200,"Normal")</f>
        <v>Normal</v>
      </c>
      <c r="T463" s="10" t="str">
        <f>IF(OR(I463="PG",I463="G"),"Yes","No")</f>
        <v>No</v>
      </c>
      <c r="U463" s="11" t="str">
        <f>IF(P463&gt;=100,"High","Low")</f>
        <v>Low</v>
      </c>
      <c r="V463" s="28">
        <f t="shared" si="14"/>
        <v>29.6</v>
      </c>
      <c r="W463" s="29">
        <f t="shared" si="15"/>
        <v>522.85714285714289</v>
      </c>
    </row>
    <row r="464" spans="1:23" x14ac:dyDescent="0.3">
      <c r="A464" s="1" t="s">
        <v>1423</v>
      </c>
      <c r="B464" s="1" t="s">
        <v>1424</v>
      </c>
      <c r="C464" s="1" t="s">
        <v>18</v>
      </c>
      <c r="D464" s="1" t="s">
        <v>82</v>
      </c>
      <c r="E464" s="1">
        <v>2002</v>
      </c>
      <c r="F464" s="1" t="s">
        <v>20</v>
      </c>
      <c r="G464" s="1" t="s">
        <v>331</v>
      </c>
      <c r="H464" s="1">
        <v>143</v>
      </c>
      <c r="I464" s="1" t="s">
        <v>110</v>
      </c>
      <c r="J464" s="1">
        <v>9.1</v>
      </c>
      <c r="K464" s="1">
        <v>240.8</v>
      </c>
      <c r="L464" s="1" t="s">
        <v>171</v>
      </c>
      <c r="M464" s="1" t="s">
        <v>42</v>
      </c>
      <c r="N464" s="1" t="s">
        <v>55</v>
      </c>
      <c r="O464" s="1"/>
      <c r="P464" s="1">
        <v>98</v>
      </c>
      <c r="Q464" s="1">
        <v>123.9</v>
      </c>
      <c r="R464" s="8" t="str">
        <f>_xlfn.IFS(J464&gt;=8,"Hit",J464&gt;=6,"Average",J464&lt;6,"Flop")</f>
        <v>Hit</v>
      </c>
      <c r="S464" s="9" t="str">
        <f>_xlfn.IFS(K464&gt;=400,"Blockbuster",K464&gt;=200,"Popular",K464&lt;200,"Normal")</f>
        <v>Popular</v>
      </c>
      <c r="T464" s="10" t="str">
        <f>IF(OR(I464="PG",I464="G"),"Yes","No")</f>
        <v>No</v>
      </c>
      <c r="U464" s="11" t="str">
        <f>IF(P464&gt;=100,"High","Low")</f>
        <v>Low</v>
      </c>
      <c r="V464" s="28">
        <f t="shared" si="14"/>
        <v>25.900000000000006</v>
      </c>
      <c r="W464" s="29">
        <f t="shared" si="15"/>
        <v>126.42857142857142</v>
      </c>
    </row>
    <row r="465" spans="1:23" x14ac:dyDescent="0.3">
      <c r="A465" s="1" t="s">
        <v>1425</v>
      </c>
      <c r="B465" s="1" t="s">
        <v>1426</v>
      </c>
      <c r="C465" s="1" t="s">
        <v>18</v>
      </c>
      <c r="D465" s="1" t="s">
        <v>117</v>
      </c>
      <c r="E465" s="1">
        <v>2002</v>
      </c>
      <c r="F465" s="1" t="s">
        <v>83</v>
      </c>
      <c r="G465" s="1" t="s">
        <v>1427</v>
      </c>
      <c r="H465" s="1">
        <v>108</v>
      </c>
      <c r="I465" s="1" t="s">
        <v>40</v>
      </c>
      <c r="J465" s="1">
        <v>8.9</v>
      </c>
      <c r="K465" s="1">
        <v>539.9</v>
      </c>
      <c r="L465" s="1" t="s">
        <v>23</v>
      </c>
      <c r="M465" s="1" t="s">
        <v>78</v>
      </c>
      <c r="N465" s="1" t="s">
        <v>55</v>
      </c>
      <c r="O465" s="1"/>
      <c r="P465" s="1">
        <v>160</v>
      </c>
      <c r="Q465" s="1">
        <v>774.7</v>
      </c>
      <c r="R465" s="8" t="str">
        <f>_xlfn.IFS(J465&gt;=8,"Hit",J465&gt;=6,"Average",J465&lt;6,"Flop")</f>
        <v>Hit</v>
      </c>
      <c r="S465" s="9" t="str">
        <f>_xlfn.IFS(K465&gt;=400,"Blockbuster",K465&gt;=200,"Popular",K465&lt;200,"Normal")</f>
        <v>Blockbuster</v>
      </c>
      <c r="T465" s="10" t="str">
        <f>IF(OR(I465="PG",I465="G"),"Yes","No")</f>
        <v>Yes</v>
      </c>
      <c r="U465" s="11" t="str">
        <f>IF(P465&gt;=100,"High","Low")</f>
        <v>High</v>
      </c>
      <c r="V465" s="28">
        <f t="shared" si="14"/>
        <v>614.70000000000005</v>
      </c>
      <c r="W465" s="29">
        <f t="shared" si="15"/>
        <v>484.1875</v>
      </c>
    </row>
    <row r="466" spans="1:23" x14ac:dyDescent="0.3">
      <c r="A466" s="1" t="s">
        <v>1428</v>
      </c>
      <c r="B466" s="1" t="s">
        <v>1429</v>
      </c>
      <c r="C466" s="1" t="s">
        <v>18</v>
      </c>
      <c r="D466" s="1" t="s">
        <v>82</v>
      </c>
      <c r="E466" s="1">
        <v>2014</v>
      </c>
      <c r="F466" s="1" t="s">
        <v>48</v>
      </c>
      <c r="G466" s="1" t="s">
        <v>1430</v>
      </c>
      <c r="H466" s="1">
        <v>152</v>
      </c>
      <c r="I466" s="1" t="s">
        <v>50</v>
      </c>
      <c r="J466" s="1">
        <v>5.2</v>
      </c>
      <c r="K466" s="1">
        <v>232.7</v>
      </c>
      <c r="L466" s="1" t="s">
        <v>90</v>
      </c>
      <c r="M466" s="1" t="s">
        <v>42</v>
      </c>
      <c r="N466" s="1" t="s">
        <v>128</v>
      </c>
      <c r="O466" s="1"/>
      <c r="P466" s="1">
        <v>199</v>
      </c>
      <c r="Q466" s="1">
        <v>249.3</v>
      </c>
      <c r="R466" s="8" t="str">
        <f>_xlfn.IFS(J466&gt;=8,"Hit",J466&gt;=6,"Average",J466&lt;6,"Flop")</f>
        <v>Flop</v>
      </c>
      <c r="S466" s="9" t="str">
        <f>_xlfn.IFS(K466&gt;=400,"Blockbuster",K466&gt;=200,"Popular",K466&lt;200,"Normal")</f>
        <v>Popular</v>
      </c>
      <c r="T466" s="10" t="str">
        <f>IF(OR(I466="PG",I466="G"),"Yes","No")</f>
        <v>Yes</v>
      </c>
      <c r="U466" s="11" t="str">
        <f>IF(P466&gt;=100,"High","Low")</f>
        <v>High</v>
      </c>
      <c r="V466" s="28">
        <f t="shared" si="14"/>
        <v>50.300000000000011</v>
      </c>
      <c r="W466" s="29">
        <f t="shared" si="15"/>
        <v>125.27638190954775</v>
      </c>
    </row>
    <row r="467" spans="1:23" x14ac:dyDescent="0.3">
      <c r="A467" s="1" t="s">
        <v>1431</v>
      </c>
      <c r="B467" s="1" t="s">
        <v>1432</v>
      </c>
      <c r="C467" s="1" t="s">
        <v>46</v>
      </c>
      <c r="D467" s="1" t="s">
        <v>75</v>
      </c>
      <c r="E467" s="1">
        <v>2021</v>
      </c>
      <c r="F467" s="1" t="s">
        <v>100</v>
      </c>
      <c r="G467" s="1" t="s">
        <v>1433</v>
      </c>
      <c r="H467" s="1">
        <v>37</v>
      </c>
      <c r="I467" s="1" t="s">
        <v>50</v>
      </c>
      <c r="J467" s="1">
        <v>6.1</v>
      </c>
      <c r="K467" s="1">
        <v>29.1</v>
      </c>
      <c r="L467" s="1" t="s">
        <v>71</v>
      </c>
      <c r="M467" s="1" t="s">
        <v>54</v>
      </c>
      <c r="N467" s="1" t="s">
        <v>60</v>
      </c>
      <c r="O467" s="1">
        <v>5</v>
      </c>
      <c r="P467" s="1">
        <v>68</v>
      </c>
      <c r="Q467" s="1">
        <v>399.3</v>
      </c>
      <c r="R467" s="8" t="str">
        <f>_xlfn.IFS(J467&gt;=8,"Hit",J467&gt;=6,"Average",J467&lt;6,"Flop")</f>
        <v>Average</v>
      </c>
      <c r="S467" s="9" t="str">
        <f>_xlfn.IFS(K467&gt;=400,"Blockbuster",K467&gt;=200,"Popular",K467&lt;200,"Normal")</f>
        <v>Normal</v>
      </c>
      <c r="T467" s="10" t="str">
        <f>IF(OR(I467="PG",I467="G"),"Yes","No")</f>
        <v>Yes</v>
      </c>
      <c r="U467" s="11" t="str">
        <f>IF(P467&gt;=100,"High","Low")</f>
        <v>Low</v>
      </c>
      <c r="V467" s="28">
        <f t="shared" si="14"/>
        <v>331.3</v>
      </c>
      <c r="W467" s="29">
        <f t="shared" si="15"/>
        <v>587.20588235294122</v>
      </c>
    </row>
    <row r="468" spans="1:23" x14ac:dyDescent="0.3">
      <c r="A468" s="1" t="s">
        <v>1434</v>
      </c>
      <c r="B468" s="1" t="s">
        <v>1435</v>
      </c>
      <c r="C468" s="1" t="s">
        <v>46</v>
      </c>
      <c r="D468" s="1" t="s">
        <v>82</v>
      </c>
      <c r="E468" s="1">
        <v>2022</v>
      </c>
      <c r="F468" s="1" t="s">
        <v>181</v>
      </c>
      <c r="G468" s="1" t="s">
        <v>609</v>
      </c>
      <c r="H468" s="1">
        <v>31</v>
      </c>
      <c r="I468" s="1" t="s">
        <v>40</v>
      </c>
      <c r="J468" s="1">
        <v>8.8000000000000007</v>
      </c>
      <c r="K468" s="1">
        <v>407.6</v>
      </c>
      <c r="L468" s="1" t="s">
        <v>171</v>
      </c>
      <c r="M468" s="1" t="s">
        <v>146</v>
      </c>
      <c r="N468" s="1" t="s">
        <v>67</v>
      </c>
      <c r="O468" s="1">
        <v>7</v>
      </c>
      <c r="P468" s="1">
        <v>63</v>
      </c>
      <c r="Q468" s="1">
        <v>337.4</v>
      </c>
      <c r="R468" s="8" t="str">
        <f>_xlfn.IFS(J468&gt;=8,"Hit",J468&gt;=6,"Average",J468&lt;6,"Flop")</f>
        <v>Hit</v>
      </c>
      <c r="S468" s="9" t="str">
        <f>_xlfn.IFS(K468&gt;=400,"Blockbuster",K468&gt;=200,"Popular",K468&lt;200,"Normal")</f>
        <v>Blockbuster</v>
      </c>
      <c r="T468" s="10" t="str">
        <f>IF(OR(I468="PG",I468="G"),"Yes","No")</f>
        <v>Yes</v>
      </c>
      <c r="U468" s="11" t="str">
        <f>IF(P468&gt;=100,"High","Low")</f>
        <v>Low</v>
      </c>
      <c r="V468" s="28">
        <f t="shared" si="14"/>
        <v>274.39999999999998</v>
      </c>
      <c r="W468" s="29">
        <f t="shared" si="15"/>
        <v>535.55555555555554</v>
      </c>
    </row>
    <row r="469" spans="1:23" x14ac:dyDescent="0.3">
      <c r="A469" s="1" t="s">
        <v>1436</v>
      </c>
      <c r="B469" s="1" t="s">
        <v>1437</v>
      </c>
      <c r="C469" s="1" t="s">
        <v>18</v>
      </c>
      <c r="D469" s="1" t="s">
        <v>19</v>
      </c>
      <c r="E469" s="1">
        <v>2005</v>
      </c>
      <c r="F469" s="1" t="s">
        <v>29</v>
      </c>
      <c r="G469" s="1" t="s">
        <v>1438</v>
      </c>
      <c r="H469" s="1">
        <v>81</v>
      </c>
      <c r="I469" s="1" t="s">
        <v>110</v>
      </c>
      <c r="J469" s="1">
        <v>8.1</v>
      </c>
      <c r="K469" s="1">
        <v>484.4</v>
      </c>
      <c r="L469" s="1" t="s">
        <v>65</v>
      </c>
      <c r="M469" s="1" t="s">
        <v>66</v>
      </c>
      <c r="N469" s="1" t="s">
        <v>153</v>
      </c>
      <c r="O469" s="1"/>
      <c r="P469" s="1">
        <v>190</v>
      </c>
      <c r="Q469" s="1">
        <v>876.3</v>
      </c>
      <c r="R469" s="8" t="str">
        <f>_xlfn.IFS(J469&gt;=8,"Hit",J469&gt;=6,"Average",J469&lt;6,"Flop")</f>
        <v>Hit</v>
      </c>
      <c r="S469" s="9" t="str">
        <f>_xlfn.IFS(K469&gt;=400,"Blockbuster",K469&gt;=200,"Popular",K469&lt;200,"Normal")</f>
        <v>Blockbuster</v>
      </c>
      <c r="T469" s="10" t="str">
        <f>IF(OR(I469="PG",I469="G"),"Yes","No")</f>
        <v>No</v>
      </c>
      <c r="U469" s="11" t="str">
        <f>IF(P469&gt;=100,"High","Low")</f>
        <v>High</v>
      </c>
      <c r="V469" s="28">
        <f t="shared" si="14"/>
        <v>686.3</v>
      </c>
      <c r="W469" s="29">
        <f t="shared" si="15"/>
        <v>461.21052631578942</v>
      </c>
    </row>
    <row r="470" spans="1:23" x14ac:dyDescent="0.3">
      <c r="A470" s="1" t="s">
        <v>1439</v>
      </c>
      <c r="B470" s="1" t="s">
        <v>1440</v>
      </c>
      <c r="C470" s="1" t="s">
        <v>18</v>
      </c>
      <c r="D470" s="1" t="s">
        <v>37</v>
      </c>
      <c r="E470" s="1">
        <v>2001</v>
      </c>
      <c r="F470" s="1" t="s">
        <v>48</v>
      </c>
      <c r="G470" s="1" t="s">
        <v>191</v>
      </c>
      <c r="H470" s="1">
        <v>93</v>
      </c>
      <c r="I470" s="1" t="s">
        <v>31</v>
      </c>
      <c r="J470" s="1">
        <v>7.8</v>
      </c>
      <c r="K470" s="1">
        <v>434</v>
      </c>
      <c r="L470" s="1" t="s">
        <v>41</v>
      </c>
      <c r="M470" s="1" t="s">
        <v>85</v>
      </c>
      <c r="N470" s="1" t="s">
        <v>86</v>
      </c>
      <c r="O470" s="1"/>
      <c r="P470" s="1">
        <v>173</v>
      </c>
      <c r="Q470" s="1">
        <v>981.3</v>
      </c>
      <c r="R470" s="8" t="str">
        <f>_xlfn.IFS(J470&gt;=8,"Hit",J470&gt;=6,"Average",J470&lt;6,"Flop")</f>
        <v>Average</v>
      </c>
      <c r="S470" s="9" t="str">
        <f>_xlfn.IFS(K470&gt;=400,"Blockbuster",K470&gt;=200,"Popular",K470&lt;200,"Normal")</f>
        <v>Blockbuster</v>
      </c>
      <c r="T470" s="10" t="str">
        <f>IF(OR(I470="PG",I470="G"),"Yes","No")</f>
        <v>No</v>
      </c>
      <c r="U470" s="11" t="str">
        <f>IF(P470&gt;=100,"High","Low")</f>
        <v>High</v>
      </c>
      <c r="V470" s="28">
        <f t="shared" si="14"/>
        <v>808.3</v>
      </c>
      <c r="W470" s="29">
        <f t="shared" si="15"/>
        <v>567.22543352601156</v>
      </c>
    </row>
    <row r="471" spans="1:23" x14ac:dyDescent="0.3">
      <c r="A471" s="1" t="s">
        <v>1441</v>
      </c>
      <c r="B471" s="1" t="s">
        <v>1442</v>
      </c>
      <c r="C471" s="1" t="s">
        <v>18</v>
      </c>
      <c r="D471" s="1" t="s">
        <v>117</v>
      </c>
      <c r="E471" s="1">
        <v>2014</v>
      </c>
      <c r="F471" s="1" t="s">
        <v>83</v>
      </c>
      <c r="G471" s="1" t="s">
        <v>1443</v>
      </c>
      <c r="H471" s="1">
        <v>97</v>
      </c>
      <c r="I471" s="1" t="s">
        <v>22</v>
      </c>
      <c r="J471" s="1">
        <v>6.2</v>
      </c>
      <c r="K471" s="1">
        <v>415.9</v>
      </c>
      <c r="L471" s="1" t="s">
        <v>171</v>
      </c>
      <c r="M471" s="1" t="s">
        <v>33</v>
      </c>
      <c r="N471" s="1" t="s">
        <v>60</v>
      </c>
      <c r="O471" s="1"/>
      <c r="P471" s="1">
        <v>52</v>
      </c>
      <c r="Q471" s="1">
        <v>63.3</v>
      </c>
      <c r="R471" s="8" t="str">
        <f>_xlfn.IFS(J471&gt;=8,"Hit",J471&gt;=6,"Average",J471&lt;6,"Flop")</f>
        <v>Average</v>
      </c>
      <c r="S471" s="9" t="str">
        <f>_xlfn.IFS(K471&gt;=400,"Blockbuster",K471&gt;=200,"Popular",K471&lt;200,"Normal")</f>
        <v>Blockbuster</v>
      </c>
      <c r="T471" s="10" t="str">
        <f>IF(OR(I471="PG",I471="G"),"Yes","No")</f>
        <v>No</v>
      </c>
      <c r="U471" s="11" t="str">
        <f>IF(P471&gt;=100,"High","Low")</f>
        <v>Low</v>
      </c>
      <c r="V471" s="28">
        <f t="shared" si="14"/>
        <v>11.299999999999997</v>
      </c>
      <c r="W471" s="29">
        <f t="shared" si="15"/>
        <v>121.73076923076923</v>
      </c>
    </row>
    <row r="472" spans="1:23" x14ac:dyDescent="0.3">
      <c r="A472" s="1" t="s">
        <v>1444</v>
      </c>
      <c r="B472" s="1" t="s">
        <v>1445</v>
      </c>
      <c r="C472" s="1" t="s">
        <v>18</v>
      </c>
      <c r="D472" s="1" t="s">
        <v>117</v>
      </c>
      <c r="E472" s="1">
        <v>2010</v>
      </c>
      <c r="F472" s="1" t="s">
        <v>83</v>
      </c>
      <c r="G472" s="1" t="s">
        <v>907</v>
      </c>
      <c r="H472" s="1">
        <v>138</v>
      </c>
      <c r="I472" s="1" t="s">
        <v>110</v>
      </c>
      <c r="J472" s="1">
        <v>8.9</v>
      </c>
      <c r="K472" s="1">
        <v>424.3</v>
      </c>
      <c r="L472" s="1" t="s">
        <v>71</v>
      </c>
      <c r="M472" s="1" t="s">
        <v>33</v>
      </c>
      <c r="N472" s="1" t="s">
        <v>43</v>
      </c>
      <c r="O472" s="1"/>
      <c r="P472" s="1">
        <v>105</v>
      </c>
      <c r="Q472" s="1">
        <v>498.5</v>
      </c>
      <c r="R472" s="8" t="str">
        <f>_xlfn.IFS(J472&gt;=8,"Hit",J472&gt;=6,"Average",J472&lt;6,"Flop")</f>
        <v>Hit</v>
      </c>
      <c r="S472" s="9" t="str">
        <f>_xlfn.IFS(K472&gt;=400,"Blockbuster",K472&gt;=200,"Popular",K472&lt;200,"Normal")</f>
        <v>Blockbuster</v>
      </c>
      <c r="T472" s="10" t="str">
        <f>IF(OR(I472="PG",I472="G"),"Yes","No")</f>
        <v>No</v>
      </c>
      <c r="U472" s="11" t="str">
        <f>IF(P472&gt;=100,"High","Low")</f>
        <v>High</v>
      </c>
      <c r="V472" s="28">
        <f t="shared" si="14"/>
        <v>393.5</v>
      </c>
      <c r="W472" s="29">
        <f t="shared" si="15"/>
        <v>474.76190476190476</v>
      </c>
    </row>
    <row r="473" spans="1:23" x14ac:dyDescent="0.3">
      <c r="A473" s="1" t="s">
        <v>1446</v>
      </c>
      <c r="B473" s="1" t="s">
        <v>1447</v>
      </c>
      <c r="C473" s="1" t="s">
        <v>18</v>
      </c>
      <c r="D473" s="1" t="s">
        <v>63</v>
      </c>
      <c r="E473" s="1">
        <v>2010</v>
      </c>
      <c r="F473" s="1" t="s">
        <v>48</v>
      </c>
      <c r="G473" s="1" t="s">
        <v>1448</v>
      </c>
      <c r="H473" s="1">
        <v>99</v>
      </c>
      <c r="I473" s="1" t="s">
        <v>22</v>
      </c>
      <c r="J473" s="1">
        <v>6.5</v>
      </c>
      <c r="K473" s="1">
        <v>94.9</v>
      </c>
      <c r="L473" s="1" t="s">
        <v>65</v>
      </c>
      <c r="M473" s="1" t="s">
        <v>78</v>
      </c>
      <c r="N473" s="1" t="s">
        <v>178</v>
      </c>
      <c r="O473" s="1"/>
      <c r="P473" s="1">
        <v>118</v>
      </c>
      <c r="Q473" s="1">
        <v>257.89999999999998</v>
      </c>
      <c r="R473" s="8" t="str">
        <f>_xlfn.IFS(J473&gt;=8,"Hit",J473&gt;=6,"Average",J473&lt;6,"Flop")</f>
        <v>Average</v>
      </c>
      <c r="S473" s="9" t="str">
        <f>_xlfn.IFS(K473&gt;=400,"Blockbuster",K473&gt;=200,"Popular",K473&lt;200,"Normal")</f>
        <v>Normal</v>
      </c>
      <c r="T473" s="10" t="str">
        <f>IF(OR(I473="PG",I473="G"),"Yes","No")</f>
        <v>No</v>
      </c>
      <c r="U473" s="11" t="str">
        <f>IF(P473&gt;=100,"High","Low")</f>
        <v>High</v>
      </c>
      <c r="V473" s="28">
        <f t="shared" si="14"/>
        <v>139.89999999999998</v>
      </c>
      <c r="W473" s="29">
        <f t="shared" si="15"/>
        <v>218.5593220338983</v>
      </c>
    </row>
    <row r="474" spans="1:23" x14ac:dyDescent="0.3">
      <c r="A474" s="1" t="s">
        <v>1449</v>
      </c>
      <c r="B474" s="1" t="s">
        <v>1450</v>
      </c>
      <c r="C474" s="1" t="s">
        <v>18</v>
      </c>
      <c r="D474" s="1" t="s">
        <v>19</v>
      </c>
      <c r="E474" s="1">
        <v>2014</v>
      </c>
      <c r="F474" s="1" t="s">
        <v>38</v>
      </c>
      <c r="G474" s="1" t="s">
        <v>1451</v>
      </c>
      <c r="H474" s="1">
        <v>96</v>
      </c>
      <c r="I474" s="1" t="s">
        <v>40</v>
      </c>
      <c r="J474" s="1">
        <v>7.8</v>
      </c>
      <c r="K474" s="1">
        <v>200.6</v>
      </c>
      <c r="L474" s="1" t="s">
        <v>171</v>
      </c>
      <c r="M474" s="1" t="s">
        <v>106</v>
      </c>
      <c r="N474" s="1" t="s">
        <v>60</v>
      </c>
      <c r="O474" s="1"/>
      <c r="P474" s="1">
        <v>95</v>
      </c>
      <c r="Q474" s="1">
        <v>340.8</v>
      </c>
      <c r="R474" s="8" t="str">
        <f>_xlfn.IFS(J474&gt;=8,"Hit",J474&gt;=6,"Average",J474&lt;6,"Flop")</f>
        <v>Average</v>
      </c>
      <c r="S474" s="9" t="str">
        <f>_xlfn.IFS(K474&gt;=400,"Blockbuster",K474&gt;=200,"Popular",K474&lt;200,"Normal")</f>
        <v>Popular</v>
      </c>
      <c r="T474" s="10" t="str">
        <f>IF(OR(I474="PG",I474="G"),"Yes","No")</f>
        <v>Yes</v>
      </c>
      <c r="U474" s="11" t="str">
        <f>IF(P474&gt;=100,"High","Low")</f>
        <v>Low</v>
      </c>
      <c r="V474" s="28">
        <f t="shared" si="14"/>
        <v>245.8</v>
      </c>
      <c r="W474" s="29">
        <f t="shared" si="15"/>
        <v>358.73684210526318</v>
      </c>
    </row>
    <row r="475" spans="1:23" x14ac:dyDescent="0.3">
      <c r="A475" s="1" t="s">
        <v>1452</v>
      </c>
      <c r="B475" s="1" t="s">
        <v>1453</v>
      </c>
      <c r="C475" s="1" t="s">
        <v>46</v>
      </c>
      <c r="D475" s="1" t="s">
        <v>117</v>
      </c>
      <c r="E475" s="1">
        <v>2008</v>
      </c>
      <c r="F475" s="1" t="s">
        <v>122</v>
      </c>
      <c r="G475" s="1" t="s">
        <v>1454</v>
      </c>
      <c r="H475" s="1">
        <v>46</v>
      </c>
      <c r="I475" s="1" t="s">
        <v>50</v>
      </c>
      <c r="J475" s="1">
        <v>5.8</v>
      </c>
      <c r="K475" s="1">
        <v>3.7</v>
      </c>
      <c r="L475" s="1" t="s">
        <v>41</v>
      </c>
      <c r="M475" s="1" t="s">
        <v>97</v>
      </c>
      <c r="N475" s="1" t="s">
        <v>43</v>
      </c>
      <c r="O475" s="1">
        <v>4</v>
      </c>
      <c r="P475" s="1">
        <v>99</v>
      </c>
      <c r="Q475" s="1">
        <v>324.3</v>
      </c>
      <c r="R475" s="8" t="str">
        <f>_xlfn.IFS(J475&gt;=8,"Hit",J475&gt;=6,"Average",J475&lt;6,"Flop")</f>
        <v>Flop</v>
      </c>
      <c r="S475" s="9" t="str">
        <f>_xlfn.IFS(K475&gt;=400,"Blockbuster",K475&gt;=200,"Popular",K475&lt;200,"Normal")</f>
        <v>Normal</v>
      </c>
      <c r="T475" s="10" t="str">
        <f>IF(OR(I475="PG",I475="G"),"Yes","No")</f>
        <v>Yes</v>
      </c>
      <c r="U475" s="11" t="str">
        <f>IF(P475&gt;=100,"High","Low")</f>
        <v>Low</v>
      </c>
      <c r="V475" s="28">
        <f t="shared" si="14"/>
        <v>225.3</v>
      </c>
      <c r="W475" s="29">
        <f t="shared" si="15"/>
        <v>327.57575757575756</v>
      </c>
    </row>
    <row r="476" spans="1:23" x14ac:dyDescent="0.3">
      <c r="A476" s="1" t="s">
        <v>1455</v>
      </c>
      <c r="B476" s="1" t="s">
        <v>1456</v>
      </c>
      <c r="C476" s="1" t="s">
        <v>18</v>
      </c>
      <c r="D476" s="1" t="s">
        <v>47</v>
      </c>
      <c r="E476" s="1">
        <v>2017</v>
      </c>
      <c r="F476" s="1" t="s">
        <v>122</v>
      </c>
      <c r="G476" s="1" t="s">
        <v>1457</v>
      </c>
      <c r="H476" s="1">
        <v>144</v>
      </c>
      <c r="I476" s="1" t="s">
        <v>50</v>
      </c>
      <c r="J476" s="1">
        <v>6.8</v>
      </c>
      <c r="K476" s="1">
        <v>6</v>
      </c>
      <c r="L476" s="1" t="s">
        <v>171</v>
      </c>
      <c r="M476" s="1" t="s">
        <v>157</v>
      </c>
      <c r="N476" s="1" t="s">
        <v>178</v>
      </c>
      <c r="O476" s="1"/>
      <c r="P476" s="1">
        <v>113</v>
      </c>
      <c r="Q476" s="1">
        <v>254.7</v>
      </c>
      <c r="R476" s="8" t="str">
        <f>_xlfn.IFS(J476&gt;=8,"Hit",J476&gt;=6,"Average",J476&lt;6,"Flop")</f>
        <v>Average</v>
      </c>
      <c r="S476" s="9" t="str">
        <f>_xlfn.IFS(K476&gt;=400,"Blockbuster",K476&gt;=200,"Popular",K476&lt;200,"Normal")</f>
        <v>Normal</v>
      </c>
      <c r="T476" s="10" t="str">
        <f>IF(OR(I476="PG",I476="G"),"Yes","No")</f>
        <v>Yes</v>
      </c>
      <c r="U476" s="11" t="str">
        <f>IF(P476&gt;=100,"High","Low")</f>
        <v>High</v>
      </c>
      <c r="V476" s="28">
        <f t="shared" si="14"/>
        <v>141.69999999999999</v>
      </c>
      <c r="W476" s="29">
        <f t="shared" si="15"/>
        <v>225.39823008849558</v>
      </c>
    </row>
    <row r="477" spans="1:23" x14ac:dyDescent="0.3">
      <c r="A477" s="1" t="s">
        <v>1458</v>
      </c>
      <c r="B477" s="1" t="s">
        <v>1459</v>
      </c>
      <c r="C477" s="1" t="s">
        <v>18</v>
      </c>
      <c r="D477" s="1" t="s">
        <v>19</v>
      </c>
      <c r="E477" s="1">
        <v>2011</v>
      </c>
      <c r="F477" s="1" t="s">
        <v>83</v>
      </c>
      <c r="G477" s="1" t="s">
        <v>1460</v>
      </c>
      <c r="H477" s="1">
        <v>107</v>
      </c>
      <c r="I477" s="1" t="s">
        <v>110</v>
      </c>
      <c r="J477" s="1">
        <v>9.6</v>
      </c>
      <c r="K477" s="1">
        <v>151.69999999999999</v>
      </c>
      <c r="L477" s="1" t="s">
        <v>71</v>
      </c>
      <c r="M477" s="1" t="s">
        <v>85</v>
      </c>
      <c r="N477" s="1" t="s">
        <v>158</v>
      </c>
      <c r="O477" s="1"/>
      <c r="P477" s="1">
        <v>198</v>
      </c>
      <c r="Q477" s="1">
        <v>1129.4000000000001</v>
      </c>
      <c r="R477" s="8" t="str">
        <f>_xlfn.IFS(J477&gt;=8,"Hit",J477&gt;=6,"Average",J477&lt;6,"Flop")</f>
        <v>Hit</v>
      </c>
      <c r="S477" s="9" t="str">
        <f>_xlfn.IFS(K477&gt;=400,"Blockbuster",K477&gt;=200,"Popular",K477&lt;200,"Normal")</f>
        <v>Normal</v>
      </c>
      <c r="T477" s="10" t="str">
        <f>IF(OR(I477="PG",I477="G"),"Yes","No")</f>
        <v>No</v>
      </c>
      <c r="U477" s="11" t="str">
        <f>IF(P477&gt;=100,"High","Low")</f>
        <v>High</v>
      </c>
      <c r="V477" s="28">
        <f t="shared" si="14"/>
        <v>931.40000000000009</v>
      </c>
      <c r="W477" s="29">
        <f t="shared" si="15"/>
        <v>570.40404040404042</v>
      </c>
    </row>
    <row r="478" spans="1:23" x14ac:dyDescent="0.3">
      <c r="A478" s="1" t="s">
        <v>1461</v>
      </c>
      <c r="B478" s="1" t="s">
        <v>1462</v>
      </c>
      <c r="C478" s="1" t="s">
        <v>46</v>
      </c>
      <c r="D478" s="1" t="s">
        <v>141</v>
      </c>
      <c r="E478" s="1">
        <v>2012</v>
      </c>
      <c r="F478" s="1" t="s">
        <v>20</v>
      </c>
      <c r="G478" s="1" t="s">
        <v>70</v>
      </c>
      <c r="H478" s="1">
        <v>39</v>
      </c>
      <c r="I478" s="1" t="s">
        <v>40</v>
      </c>
      <c r="J478" s="1">
        <v>4.9000000000000004</v>
      </c>
      <c r="K478" s="1">
        <v>9.6999999999999993</v>
      </c>
      <c r="L478" s="1" t="s">
        <v>90</v>
      </c>
      <c r="M478" s="1" t="s">
        <v>66</v>
      </c>
      <c r="N478" s="1" t="s">
        <v>102</v>
      </c>
      <c r="O478" s="1">
        <v>6</v>
      </c>
      <c r="P478" s="1">
        <v>12</v>
      </c>
      <c r="Q478" s="1">
        <v>67.900000000000006</v>
      </c>
      <c r="R478" s="8" t="str">
        <f>_xlfn.IFS(J478&gt;=8,"Hit",J478&gt;=6,"Average",J478&lt;6,"Flop")</f>
        <v>Flop</v>
      </c>
      <c r="S478" s="9" t="str">
        <f>_xlfn.IFS(K478&gt;=400,"Blockbuster",K478&gt;=200,"Popular",K478&lt;200,"Normal")</f>
        <v>Normal</v>
      </c>
      <c r="T478" s="10" t="str">
        <f>IF(OR(I478="PG",I478="G"),"Yes","No")</f>
        <v>Yes</v>
      </c>
      <c r="U478" s="11" t="str">
        <f>IF(P478&gt;=100,"High","Low")</f>
        <v>Low</v>
      </c>
      <c r="V478" s="28">
        <f t="shared" si="14"/>
        <v>55.900000000000006</v>
      </c>
      <c r="W478" s="29">
        <f t="shared" si="15"/>
        <v>565.83333333333337</v>
      </c>
    </row>
    <row r="479" spans="1:23" x14ac:dyDescent="0.3">
      <c r="A479" s="1" t="s">
        <v>1463</v>
      </c>
      <c r="B479" s="1" t="s">
        <v>1464</v>
      </c>
      <c r="C479" s="1" t="s">
        <v>18</v>
      </c>
      <c r="D479" s="1" t="s">
        <v>37</v>
      </c>
      <c r="E479" s="1">
        <v>2000</v>
      </c>
      <c r="F479" s="1" t="s">
        <v>83</v>
      </c>
      <c r="G479" s="1" t="s">
        <v>1256</v>
      </c>
      <c r="H479" s="1">
        <v>165</v>
      </c>
      <c r="I479" s="1" t="s">
        <v>22</v>
      </c>
      <c r="J479" s="1">
        <v>5.9</v>
      </c>
      <c r="K479" s="1">
        <v>339.9</v>
      </c>
      <c r="L479" s="1" t="s">
        <v>71</v>
      </c>
      <c r="M479" s="1" t="s">
        <v>97</v>
      </c>
      <c r="N479" s="1" t="s">
        <v>128</v>
      </c>
      <c r="O479" s="1"/>
      <c r="P479" s="1">
        <v>84</v>
      </c>
      <c r="Q479" s="1">
        <v>469</v>
      </c>
      <c r="R479" s="8" t="str">
        <f>_xlfn.IFS(J479&gt;=8,"Hit",J479&gt;=6,"Average",J479&lt;6,"Flop")</f>
        <v>Flop</v>
      </c>
      <c r="S479" s="9" t="str">
        <f>_xlfn.IFS(K479&gt;=400,"Blockbuster",K479&gt;=200,"Popular",K479&lt;200,"Normal")</f>
        <v>Popular</v>
      </c>
      <c r="T479" s="10" t="str">
        <f>IF(OR(I479="PG",I479="G"),"Yes","No")</f>
        <v>No</v>
      </c>
      <c r="U479" s="11" t="str">
        <f>IF(P479&gt;=100,"High","Low")</f>
        <v>Low</v>
      </c>
      <c r="V479" s="28">
        <f t="shared" si="14"/>
        <v>385</v>
      </c>
      <c r="W479" s="29">
        <f t="shared" si="15"/>
        <v>558.33333333333326</v>
      </c>
    </row>
    <row r="480" spans="1:23" x14ac:dyDescent="0.3">
      <c r="A480" s="1" t="s">
        <v>1465</v>
      </c>
      <c r="B480" s="1" t="s">
        <v>1466</v>
      </c>
      <c r="C480" s="1" t="s">
        <v>46</v>
      </c>
      <c r="D480" s="1" t="s">
        <v>63</v>
      </c>
      <c r="E480" s="1">
        <v>2007</v>
      </c>
      <c r="F480" s="1" t="s">
        <v>48</v>
      </c>
      <c r="G480" s="1" t="s">
        <v>1467</v>
      </c>
      <c r="H480" s="1">
        <v>52</v>
      </c>
      <c r="I480" s="1" t="s">
        <v>31</v>
      </c>
      <c r="J480" s="1">
        <v>6.6</v>
      </c>
      <c r="K480" s="1">
        <v>337.4</v>
      </c>
      <c r="L480" s="1" t="s">
        <v>90</v>
      </c>
      <c r="M480" s="1" t="s">
        <v>42</v>
      </c>
      <c r="N480" s="1" t="s">
        <v>86</v>
      </c>
      <c r="O480" s="1">
        <v>2</v>
      </c>
      <c r="P480" s="1">
        <v>88</v>
      </c>
      <c r="Q480" s="1">
        <v>420</v>
      </c>
      <c r="R480" s="8" t="str">
        <f>_xlfn.IFS(J480&gt;=8,"Hit",J480&gt;=6,"Average",J480&lt;6,"Flop")</f>
        <v>Average</v>
      </c>
      <c r="S480" s="9" t="str">
        <f>_xlfn.IFS(K480&gt;=400,"Blockbuster",K480&gt;=200,"Popular",K480&lt;200,"Normal")</f>
        <v>Popular</v>
      </c>
      <c r="T480" s="10" t="str">
        <f>IF(OR(I480="PG",I480="G"),"Yes","No")</f>
        <v>No</v>
      </c>
      <c r="U480" s="11" t="str">
        <f>IF(P480&gt;=100,"High","Low")</f>
        <v>Low</v>
      </c>
      <c r="V480" s="28">
        <f t="shared" si="14"/>
        <v>332</v>
      </c>
      <c r="W480" s="29">
        <f t="shared" si="15"/>
        <v>477.27272727272725</v>
      </c>
    </row>
    <row r="481" spans="1:23" x14ac:dyDescent="0.3">
      <c r="A481" s="1" t="s">
        <v>1468</v>
      </c>
      <c r="B481" s="1" t="s">
        <v>1469</v>
      </c>
      <c r="C481" s="1" t="s">
        <v>18</v>
      </c>
      <c r="D481" s="1" t="s">
        <v>141</v>
      </c>
      <c r="E481" s="1">
        <v>2006</v>
      </c>
      <c r="F481" s="1" t="s">
        <v>83</v>
      </c>
      <c r="G481" s="1" t="s">
        <v>1470</v>
      </c>
      <c r="H481" s="1">
        <v>169</v>
      </c>
      <c r="I481" s="1" t="s">
        <v>50</v>
      </c>
      <c r="J481" s="1">
        <v>5.2</v>
      </c>
      <c r="K481" s="1">
        <v>56.2</v>
      </c>
      <c r="L481" s="1" t="s">
        <v>32</v>
      </c>
      <c r="M481" s="1" t="s">
        <v>42</v>
      </c>
      <c r="N481" s="1" t="s">
        <v>102</v>
      </c>
      <c r="O481" s="1"/>
      <c r="P481" s="1">
        <v>41</v>
      </c>
      <c r="Q481" s="1">
        <v>154.4</v>
      </c>
      <c r="R481" s="8" t="str">
        <f>_xlfn.IFS(J481&gt;=8,"Hit",J481&gt;=6,"Average",J481&lt;6,"Flop")</f>
        <v>Flop</v>
      </c>
      <c r="S481" s="9" t="str">
        <f>_xlfn.IFS(K481&gt;=400,"Blockbuster",K481&gt;=200,"Popular",K481&lt;200,"Normal")</f>
        <v>Normal</v>
      </c>
      <c r="T481" s="10" t="str">
        <f>IF(OR(I481="PG",I481="G"),"Yes","No")</f>
        <v>Yes</v>
      </c>
      <c r="U481" s="11" t="str">
        <f>IF(P481&gt;=100,"High","Low")</f>
        <v>Low</v>
      </c>
      <c r="V481" s="28">
        <f t="shared" si="14"/>
        <v>113.4</v>
      </c>
      <c r="W481" s="29">
        <f t="shared" si="15"/>
        <v>376.58536585365857</v>
      </c>
    </row>
    <row r="482" spans="1:23" x14ac:dyDescent="0.3">
      <c r="A482" s="1" t="s">
        <v>1471</v>
      </c>
      <c r="B482" s="1" t="s">
        <v>1472</v>
      </c>
      <c r="C482" s="1" t="s">
        <v>18</v>
      </c>
      <c r="D482" s="1" t="s">
        <v>19</v>
      </c>
      <c r="E482" s="1">
        <v>2009</v>
      </c>
      <c r="F482" s="1" t="s">
        <v>83</v>
      </c>
      <c r="G482" s="1" t="s">
        <v>1473</v>
      </c>
      <c r="H482" s="1">
        <v>178</v>
      </c>
      <c r="I482" s="1" t="s">
        <v>50</v>
      </c>
      <c r="J482" s="1">
        <v>5.2</v>
      </c>
      <c r="K482" s="1">
        <v>208.5</v>
      </c>
      <c r="L482" s="1" t="s">
        <v>71</v>
      </c>
      <c r="M482" s="1" t="s">
        <v>42</v>
      </c>
      <c r="N482" s="1" t="s">
        <v>25</v>
      </c>
      <c r="O482" s="1"/>
      <c r="P482" s="1">
        <v>168</v>
      </c>
      <c r="Q482" s="1">
        <v>382.6</v>
      </c>
      <c r="R482" s="8" t="str">
        <f>_xlfn.IFS(J482&gt;=8,"Hit",J482&gt;=6,"Average",J482&lt;6,"Flop")</f>
        <v>Flop</v>
      </c>
      <c r="S482" s="9" t="str">
        <f>_xlfn.IFS(K482&gt;=400,"Blockbuster",K482&gt;=200,"Popular",K482&lt;200,"Normal")</f>
        <v>Popular</v>
      </c>
      <c r="T482" s="10" t="str">
        <f>IF(OR(I482="PG",I482="G"),"Yes","No")</f>
        <v>Yes</v>
      </c>
      <c r="U482" s="11" t="str">
        <f>IF(P482&gt;=100,"High","Low")</f>
        <v>High</v>
      </c>
      <c r="V482" s="28">
        <f t="shared" si="14"/>
        <v>214.60000000000002</v>
      </c>
      <c r="W482" s="29">
        <f t="shared" si="15"/>
        <v>227.73809523809527</v>
      </c>
    </row>
    <row r="483" spans="1:23" x14ac:dyDescent="0.3">
      <c r="A483" s="1" t="s">
        <v>1474</v>
      </c>
      <c r="B483" s="1" t="s">
        <v>1475</v>
      </c>
      <c r="C483" s="1" t="s">
        <v>18</v>
      </c>
      <c r="D483" s="1" t="s">
        <v>82</v>
      </c>
      <c r="E483" s="1">
        <v>2018</v>
      </c>
      <c r="F483" s="1" t="s">
        <v>122</v>
      </c>
      <c r="G483" s="1" t="s">
        <v>1476</v>
      </c>
      <c r="H483" s="1">
        <v>146</v>
      </c>
      <c r="I483" s="1" t="s">
        <v>50</v>
      </c>
      <c r="J483" s="1">
        <v>7.6</v>
      </c>
      <c r="K483" s="1">
        <v>525.29999999999995</v>
      </c>
      <c r="L483" s="1" t="s">
        <v>65</v>
      </c>
      <c r="M483" s="1" t="s">
        <v>85</v>
      </c>
      <c r="N483" s="1" t="s">
        <v>67</v>
      </c>
      <c r="O483" s="1"/>
      <c r="P483" s="1">
        <v>22</v>
      </c>
      <c r="Q483" s="1">
        <v>31.2</v>
      </c>
      <c r="R483" s="8" t="str">
        <f>_xlfn.IFS(J483&gt;=8,"Hit",J483&gt;=6,"Average",J483&lt;6,"Flop")</f>
        <v>Average</v>
      </c>
      <c r="S483" s="9" t="str">
        <f>_xlfn.IFS(K483&gt;=400,"Blockbuster",K483&gt;=200,"Popular",K483&lt;200,"Normal")</f>
        <v>Blockbuster</v>
      </c>
      <c r="T483" s="10" t="str">
        <f>IF(OR(I483="PG",I483="G"),"Yes","No")</f>
        <v>Yes</v>
      </c>
      <c r="U483" s="11" t="str">
        <f>IF(P483&gt;=100,"High","Low")</f>
        <v>Low</v>
      </c>
      <c r="V483" s="28">
        <f t="shared" si="14"/>
        <v>9.1999999999999993</v>
      </c>
      <c r="W483" s="29">
        <f t="shared" si="15"/>
        <v>141.81818181818181</v>
      </c>
    </row>
    <row r="484" spans="1:23" x14ac:dyDescent="0.3">
      <c r="A484" s="1" t="s">
        <v>1477</v>
      </c>
      <c r="B484" s="1" t="s">
        <v>1478</v>
      </c>
      <c r="C484" s="1" t="s">
        <v>46</v>
      </c>
      <c r="D484" s="1" t="s">
        <v>141</v>
      </c>
      <c r="E484" s="1">
        <v>2024</v>
      </c>
      <c r="F484" s="1" t="s">
        <v>76</v>
      </c>
      <c r="G484" s="1" t="s">
        <v>1479</v>
      </c>
      <c r="H484" s="1">
        <v>40</v>
      </c>
      <c r="I484" s="1" t="s">
        <v>50</v>
      </c>
      <c r="J484" s="1">
        <v>9.1</v>
      </c>
      <c r="K484" s="1">
        <v>544.5</v>
      </c>
      <c r="L484" s="1" t="s">
        <v>41</v>
      </c>
      <c r="M484" s="1" t="s">
        <v>157</v>
      </c>
      <c r="N484" s="1" t="s">
        <v>158</v>
      </c>
      <c r="O484" s="1">
        <v>8</v>
      </c>
      <c r="P484" s="1">
        <v>37</v>
      </c>
      <c r="Q484" s="1">
        <v>61.5</v>
      </c>
      <c r="R484" s="8" t="str">
        <f>_xlfn.IFS(J484&gt;=8,"Hit",J484&gt;=6,"Average",J484&lt;6,"Flop")</f>
        <v>Hit</v>
      </c>
      <c r="S484" s="9" t="str">
        <f>_xlfn.IFS(K484&gt;=400,"Blockbuster",K484&gt;=200,"Popular",K484&lt;200,"Normal")</f>
        <v>Blockbuster</v>
      </c>
      <c r="T484" s="10" t="str">
        <f>IF(OR(I484="PG",I484="G"),"Yes","No")</f>
        <v>Yes</v>
      </c>
      <c r="U484" s="11" t="str">
        <f>IF(P484&gt;=100,"High","Low")</f>
        <v>Low</v>
      </c>
      <c r="V484" s="28">
        <f t="shared" si="14"/>
        <v>24.5</v>
      </c>
      <c r="W484" s="29">
        <f t="shared" si="15"/>
        <v>166.2162162162162</v>
      </c>
    </row>
    <row r="485" spans="1:23" x14ac:dyDescent="0.3">
      <c r="A485" s="1" t="s">
        <v>1480</v>
      </c>
      <c r="B485" s="1" t="s">
        <v>1481</v>
      </c>
      <c r="C485" s="1" t="s">
        <v>18</v>
      </c>
      <c r="D485" s="1" t="s">
        <v>28</v>
      </c>
      <c r="E485" s="1">
        <v>2012</v>
      </c>
      <c r="F485" s="1" t="s">
        <v>29</v>
      </c>
      <c r="G485" s="1" t="s">
        <v>331</v>
      </c>
      <c r="H485" s="1">
        <v>148</v>
      </c>
      <c r="I485" s="1" t="s">
        <v>50</v>
      </c>
      <c r="J485" s="1">
        <v>8.1</v>
      </c>
      <c r="K485" s="1">
        <v>189</v>
      </c>
      <c r="L485" s="1" t="s">
        <v>41</v>
      </c>
      <c r="M485" s="1" t="s">
        <v>42</v>
      </c>
      <c r="N485" s="1" t="s">
        <v>128</v>
      </c>
      <c r="O485" s="1"/>
      <c r="P485" s="1">
        <v>14</v>
      </c>
      <c r="Q485" s="1">
        <v>57.4</v>
      </c>
      <c r="R485" s="8" t="str">
        <f>_xlfn.IFS(J485&gt;=8,"Hit",J485&gt;=6,"Average",J485&lt;6,"Flop")</f>
        <v>Hit</v>
      </c>
      <c r="S485" s="9" t="str">
        <f>_xlfn.IFS(K485&gt;=400,"Blockbuster",K485&gt;=200,"Popular",K485&lt;200,"Normal")</f>
        <v>Normal</v>
      </c>
      <c r="T485" s="10" t="str">
        <f>IF(OR(I485="PG",I485="G"),"Yes","No")</f>
        <v>Yes</v>
      </c>
      <c r="U485" s="11" t="str">
        <f>IF(P485&gt;=100,"High","Low")</f>
        <v>Low</v>
      </c>
      <c r="V485" s="28">
        <f t="shared" si="14"/>
        <v>43.4</v>
      </c>
      <c r="W485" s="29">
        <f t="shared" si="15"/>
        <v>409.99999999999994</v>
      </c>
    </row>
    <row r="486" spans="1:23" x14ac:dyDescent="0.3">
      <c r="A486" s="1" t="s">
        <v>1482</v>
      </c>
      <c r="B486" s="1" t="s">
        <v>1483</v>
      </c>
      <c r="C486" s="1" t="s">
        <v>46</v>
      </c>
      <c r="D486" s="1" t="s">
        <v>82</v>
      </c>
      <c r="E486" s="1">
        <v>2006</v>
      </c>
      <c r="F486" s="1" t="s">
        <v>100</v>
      </c>
      <c r="G486" s="1" t="s">
        <v>1484</v>
      </c>
      <c r="H486" s="1">
        <v>54</v>
      </c>
      <c r="I486" s="1" t="s">
        <v>22</v>
      </c>
      <c r="J486" s="1">
        <v>7.1</v>
      </c>
      <c r="K486" s="1">
        <v>446.4</v>
      </c>
      <c r="L486" s="1" t="s">
        <v>65</v>
      </c>
      <c r="M486" s="1" t="s">
        <v>33</v>
      </c>
      <c r="N486" s="1" t="s">
        <v>91</v>
      </c>
      <c r="O486" s="1">
        <v>1</v>
      </c>
      <c r="P486" s="1">
        <v>28</v>
      </c>
      <c r="Q486" s="1">
        <v>92.9</v>
      </c>
      <c r="R486" s="8" t="str">
        <f>_xlfn.IFS(J486&gt;=8,"Hit",J486&gt;=6,"Average",J486&lt;6,"Flop")</f>
        <v>Average</v>
      </c>
      <c r="S486" s="9" t="str">
        <f>_xlfn.IFS(K486&gt;=400,"Blockbuster",K486&gt;=200,"Popular",K486&lt;200,"Normal")</f>
        <v>Blockbuster</v>
      </c>
      <c r="T486" s="10" t="str">
        <f>IF(OR(I486="PG",I486="G"),"Yes","No")</f>
        <v>No</v>
      </c>
      <c r="U486" s="11" t="str">
        <f>IF(P486&gt;=100,"High","Low")</f>
        <v>Low</v>
      </c>
      <c r="V486" s="28">
        <f t="shared" si="14"/>
        <v>64.900000000000006</v>
      </c>
      <c r="W486" s="29">
        <f t="shared" si="15"/>
        <v>331.78571428571433</v>
      </c>
    </row>
    <row r="487" spans="1:23" x14ac:dyDescent="0.3">
      <c r="A487" s="1" t="s">
        <v>1485</v>
      </c>
      <c r="B487" s="1" t="s">
        <v>1486</v>
      </c>
      <c r="C487" s="1" t="s">
        <v>46</v>
      </c>
      <c r="D487" s="1" t="s">
        <v>82</v>
      </c>
      <c r="E487" s="1">
        <v>2015</v>
      </c>
      <c r="F487" s="1" t="s">
        <v>181</v>
      </c>
      <c r="G487" s="1" t="s">
        <v>497</v>
      </c>
      <c r="H487" s="1">
        <v>53</v>
      </c>
      <c r="I487" s="1" t="s">
        <v>40</v>
      </c>
      <c r="J487" s="1">
        <v>6.2</v>
      </c>
      <c r="K487" s="1">
        <v>364.9</v>
      </c>
      <c r="L487" s="1" t="s">
        <v>71</v>
      </c>
      <c r="M487" s="1" t="s">
        <v>24</v>
      </c>
      <c r="N487" s="1" t="s">
        <v>34</v>
      </c>
      <c r="O487" s="1">
        <v>4</v>
      </c>
      <c r="P487" s="1">
        <v>140</v>
      </c>
      <c r="Q487" s="1">
        <v>468.3</v>
      </c>
      <c r="R487" s="8" t="str">
        <f>_xlfn.IFS(J487&gt;=8,"Hit",J487&gt;=6,"Average",J487&lt;6,"Flop")</f>
        <v>Average</v>
      </c>
      <c r="S487" s="9" t="str">
        <f>_xlfn.IFS(K487&gt;=400,"Blockbuster",K487&gt;=200,"Popular",K487&lt;200,"Normal")</f>
        <v>Popular</v>
      </c>
      <c r="T487" s="10" t="str">
        <f>IF(OR(I487="PG",I487="G"),"Yes","No")</f>
        <v>Yes</v>
      </c>
      <c r="U487" s="11" t="str">
        <f>IF(P487&gt;=100,"High","Low")</f>
        <v>High</v>
      </c>
      <c r="V487" s="28">
        <f t="shared" si="14"/>
        <v>328.3</v>
      </c>
      <c r="W487" s="29">
        <f t="shared" si="15"/>
        <v>334.5</v>
      </c>
    </row>
    <row r="488" spans="1:23" x14ac:dyDescent="0.3">
      <c r="A488" s="1" t="s">
        <v>1487</v>
      </c>
      <c r="B488" s="1" t="s">
        <v>1488</v>
      </c>
      <c r="C488" s="1" t="s">
        <v>46</v>
      </c>
      <c r="D488" s="1" t="s">
        <v>47</v>
      </c>
      <c r="E488" s="1">
        <v>2001</v>
      </c>
      <c r="F488" s="1" t="s">
        <v>29</v>
      </c>
      <c r="G488" s="1" t="s">
        <v>1489</v>
      </c>
      <c r="H488" s="1">
        <v>30</v>
      </c>
      <c r="I488" s="1" t="s">
        <v>40</v>
      </c>
      <c r="J488" s="1">
        <v>8.3000000000000007</v>
      </c>
      <c r="K488" s="1">
        <v>565.20000000000005</v>
      </c>
      <c r="L488" s="1" t="s">
        <v>90</v>
      </c>
      <c r="M488" s="1" t="s">
        <v>42</v>
      </c>
      <c r="N488" s="1" t="s">
        <v>43</v>
      </c>
      <c r="O488" s="1">
        <v>7</v>
      </c>
      <c r="P488" s="1">
        <v>118</v>
      </c>
      <c r="Q488" s="1">
        <v>568.1</v>
      </c>
      <c r="R488" s="8" t="str">
        <f>_xlfn.IFS(J488&gt;=8,"Hit",J488&gt;=6,"Average",J488&lt;6,"Flop")</f>
        <v>Hit</v>
      </c>
      <c r="S488" s="9" t="str">
        <f>_xlfn.IFS(K488&gt;=400,"Blockbuster",K488&gt;=200,"Popular",K488&lt;200,"Normal")</f>
        <v>Blockbuster</v>
      </c>
      <c r="T488" s="10" t="str">
        <f>IF(OR(I488="PG",I488="G"),"Yes","No")</f>
        <v>Yes</v>
      </c>
      <c r="U488" s="11" t="str">
        <f>IF(P488&gt;=100,"High","Low")</f>
        <v>High</v>
      </c>
      <c r="V488" s="28">
        <f t="shared" si="14"/>
        <v>450.1</v>
      </c>
      <c r="W488" s="29">
        <f t="shared" si="15"/>
        <v>481.44067796610176</v>
      </c>
    </row>
    <row r="489" spans="1:23" x14ac:dyDescent="0.3">
      <c r="A489" s="1" t="s">
        <v>1490</v>
      </c>
      <c r="B489" s="1" t="s">
        <v>1491</v>
      </c>
      <c r="C489" s="1" t="s">
        <v>46</v>
      </c>
      <c r="D489" s="1" t="s">
        <v>37</v>
      </c>
      <c r="E489" s="1">
        <v>2016</v>
      </c>
      <c r="F489" s="1" t="s">
        <v>48</v>
      </c>
      <c r="G489" s="1" t="s">
        <v>1492</v>
      </c>
      <c r="H489" s="1">
        <v>44</v>
      </c>
      <c r="I489" s="1" t="s">
        <v>31</v>
      </c>
      <c r="J489" s="1">
        <v>7.4</v>
      </c>
      <c r="K489" s="1">
        <v>512.6</v>
      </c>
      <c r="L489" s="1" t="s">
        <v>71</v>
      </c>
      <c r="M489" s="1" t="s">
        <v>146</v>
      </c>
      <c r="N489" s="1" t="s">
        <v>25</v>
      </c>
      <c r="O489" s="1">
        <v>7</v>
      </c>
      <c r="P489" s="1">
        <v>187</v>
      </c>
      <c r="Q489" s="1">
        <v>927.1</v>
      </c>
      <c r="R489" s="8" t="str">
        <f>_xlfn.IFS(J489&gt;=8,"Hit",J489&gt;=6,"Average",J489&lt;6,"Flop")</f>
        <v>Average</v>
      </c>
      <c r="S489" s="9" t="str">
        <f>_xlfn.IFS(K489&gt;=400,"Blockbuster",K489&gt;=200,"Popular",K489&lt;200,"Normal")</f>
        <v>Blockbuster</v>
      </c>
      <c r="T489" s="10" t="str">
        <f>IF(OR(I489="PG",I489="G"),"Yes","No")</f>
        <v>No</v>
      </c>
      <c r="U489" s="11" t="str">
        <f>IF(P489&gt;=100,"High","Low")</f>
        <v>High</v>
      </c>
      <c r="V489" s="28">
        <f t="shared" si="14"/>
        <v>740.1</v>
      </c>
      <c r="W489" s="29">
        <f t="shared" si="15"/>
        <v>495.77540106951875</v>
      </c>
    </row>
    <row r="490" spans="1:23" x14ac:dyDescent="0.3">
      <c r="A490" s="1" t="s">
        <v>1493</v>
      </c>
      <c r="B490" s="1" t="s">
        <v>1494</v>
      </c>
      <c r="C490" s="1" t="s">
        <v>18</v>
      </c>
      <c r="D490" s="1" t="s">
        <v>28</v>
      </c>
      <c r="E490" s="1">
        <v>2021</v>
      </c>
      <c r="F490" s="1" t="s">
        <v>122</v>
      </c>
      <c r="G490" s="1" t="s">
        <v>639</v>
      </c>
      <c r="H490" s="1">
        <v>98</v>
      </c>
      <c r="I490" s="1" t="s">
        <v>22</v>
      </c>
      <c r="J490" s="1">
        <v>9.3000000000000007</v>
      </c>
      <c r="K490" s="1">
        <v>244.5</v>
      </c>
      <c r="L490" s="1" t="s">
        <v>90</v>
      </c>
      <c r="M490" s="1" t="s">
        <v>111</v>
      </c>
      <c r="N490" s="1" t="s">
        <v>43</v>
      </c>
      <c r="O490" s="1"/>
      <c r="P490" s="1">
        <v>42</v>
      </c>
      <c r="Q490" s="1">
        <v>203.7</v>
      </c>
      <c r="R490" s="8" t="str">
        <f>_xlfn.IFS(J490&gt;=8,"Hit",J490&gt;=6,"Average",J490&lt;6,"Flop")</f>
        <v>Hit</v>
      </c>
      <c r="S490" s="9" t="str">
        <f>_xlfn.IFS(K490&gt;=400,"Blockbuster",K490&gt;=200,"Popular",K490&lt;200,"Normal")</f>
        <v>Popular</v>
      </c>
      <c r="T490" s="10" t="str">
        <f>IF(OR(I490="PG",I490="G"),"Yes","No")</f>
        <v>No</v>
      </c>
      <c r="U490" s="11" t="str">
        <f>IF(P490&gt;=100,"High","Low")</f>
        <v>Low</v>
      </c>
      <c r="V490" s="28">
        <f t="shared" si="14"/>
        <v>161.69999999999999</v>
      </c>
      <c r="W490" s="29">
        <f t="shared" si="15"/>
        <v>484.99999999999994</v>
      </c>
    </row>
    <row r="491" spans="1:23" x14ac:dyDescent="0.3">
      <c r="A491" s="1" t="s">
        <v>1495</v>
      </c>
      <c r="B491" s="1" t="s">
        <v>1496</v>
      </c>
      <c r="C491" s="1" t="s">
        <v>18</v>
      </c>
      <c r="D491" s="1" t="s">
        <v>141</v>
      </c>
      <c r="E491" s="1">
        <v>2010</v>
      </c>
      <c r="F491" s="1" t="s">
        <v>76</v>
      </c>
      <c r="G491" s="1" t="s">
        <v>1497</v>
      </c>
      <c r="H491" s="1">
        <v>112</v>
      </c>
      <c r="I491" s="1" t="s">
        <v>31</v>
      </c>
      <c r="J491" s="1">
        <v>6.1</v>
      </c>
      <c r="K491" s="1">
        <v>548.9</v>
      </c>
      <c r="L491" s="1" t="s">
        <v>71</v>
      </c>
      <c r="M491" s="1" t="s">
        <v>66</v>
      </c>
      <c r="N491" s="1" t="s">
        <v>102</v>
      </c>
      <c r="O491" s="1"/>
      <c r="P491" s="1">
        <v>161</v>
      </c>
      <c r="Q491" s="1">
        <v>467</v>
      </c>
      <c r="R491" s="8" t="str">
        <f>_xlfn.IFS(J491&gt;=8,"Hit",J491&gt;=6,"Average",J491&lt;6,"Flop")</f>
        <v>Average</v>
      </c>
      <c r="S491" s="9" t="str">
        <f>_xlfn.IFS(K491&gt;=400,"Blockbuster",K491&gt;=200,"Popular",K491&lt;200,"Normal")</f>
        <v>Blockbuster</v>
      </c>
      <c r="T491" s="10" t="str">
        <f>IF(OR(I491="PG",I491="G"),"Yes","No")</f>
        <v>No</v>
      </c>
      <c r="U491" s="11" t="str">
        <f>IF(P491&gt;=100,"High","Low")</f>
        <v>High</v>
      </c>
      <c r="V491" s="28">
        <f t="shared" si="14"/>
        <v>306</v>
      </c>
      <c r="W491" s="29">
        <f t="shared" si="15"/>
        <v>290.06211180124222</v>
      </c>
    </row>
    <row r="492" spans="1:23" x14ac:dyDescent="0.3">
      <c r="A492" s="1" t="s">
        <v>1498</v>
      </c>
      <c r="B492" s="1" t="s">
        <v>1499</v>
      </c>
      <c r="C492" s="1" t="s">
        <v>46</v>
      </c>
      <c r="D492" s="1" t="s">
        <v>37</v>
      </c>
      <c r="E492" s="1">
        <v>2020</v>
      </c>
      <c r="F492" s="1" t="s">
        <v>38</v>
      </c>
      <c r="G492" s="1" t="s">
        <v>1500</v>
      </c>
      <c r="H492" s="1">
        <v>34</v>
      </c>
      <c r="I492" s="1" t="s">
        <v>110</v>
      </c>
      <c r="J492" s="1">
        <v>8.1</v>
      </c>
      <c r="K492" s="1">
        <v>100.1</v>
      </c>
      <c r="L492" s="1" t="s">
        <v>65</v>
      </c>
      <c r="M492" s="1" t="s">
        <v>124</v>
      </c>
      <c r="N492" s="1" t="s">
        <v>79</v>
      </c>
      <c r="O492" s="1">
        <v>6</v>
      </c>
      <c r="P492" s="1">
        <v>11</v>
      </c>
      <c r="Q492" s="1">
        <v>59.6</v>
      </c>
      <c r="R492" s="8" t="str">
        <f>_xlfn.IFS(J492&gt;=8,"Hit",J492&gt;=6,"Average",J492&lt;6,"Flop")</f>
        <v>Hit</v>
      </c>
      <c r="S492" s="9" t="str">
        <f>_xlfn.IFS(K492&gt;=400,"Blockbuster",K492&gt;=200,"Popular",K492&lt;200,"Normal")</f>
        <v>Normal</v>
      </c>
      <c r="T492" s="10" t="str">
        <f>IF(OR(I492="PG",I492="G"),"Yes","No")</f>
        <v>No</v>
      </c>
      <c r="U492" s="11" t="str">
        <f>IF(P492&gt;=100,"High","Low")</f>
        <v>Low</v>
      </c>
      <c r="V492" s="28">
        <f t="shared" si="14"/>
        <v>48.6</v>
      </c>
      <c r="W492" s="29">
        <f t="shared" si="15"/>
        <v>541.81818181818176</v>
      </c>
    </row>
    <row r="493" spans="1:23" x14ac:dyDescent="0.3">
      <c r="A493" s="1" t="s">
        <v>1501</v>
      </c>
      <c r="B493" s="1" t="s">
        <v>1502</v>
      </c>
      <c r="C493" s="1" t="s">
        <v>18</v>
      </c>
      <c r="D493" s="1" t="s">
        <v>82</v>
      </c>
      <c r="E493" s="1">
        <v>2021</v>
      </c>
      <c r="F493" s="1" t="s">
        <v>76</v>
      </c>
      <c r="G493" s="1" t="s">
        <v>1503</v>
      </c>
      <c r="H493" s="1">
        <v>138</v>
      </c>
      <c r="I493" s="1" t="s">
        <v>31</v>
      </c>
      <c r="J493" s="1">
        <v>5.5</v>
      </c>
      <c r="K493" s="1">
        <v>92.8</v>
      </c>
      <c r="L493" s="1" t="s">
        <v>41</v>
      </c>
      <c r="M493" s="1" t="s">
        <v>111</v>
      </c>
      <c r="N493" s="1" t="s">
        <v>153</v>
      </c>
      <c r="O493" s="1"/>
      <c r="P493" s="1">
        <v>55</v>
      </c>
      <c r="Q493" s="1">
        <v>295.7</v>
      </c>
      <c r="R493" s="8" t="str">
        <f>_xlfn.IFS(J493&gt;=8,"Hit",J493&gt;=6,"Average",J493&lt;6,"Flop")</f>
        <v>Flop</v>
      </c>
      <c r="S493" s="9" t="str">
        <f>_xlfn.IFS(K493&gt;=400,"Blockbuster",K493&gt;=200,"Popular",K493&lt;200,"Normal")</f>
        <v>Normal</v>
      </c>
      <c r="T493" s="10" t="str">
        <f>IF(OR(I493="PG",I493="G"),"Yes","No")</f>
        <v>No</v>
      </c>
      <c r="U493" s="11" t="str">
        <f>IF(P493&gt;=100,"High","Low")</f>
        <v>Low</v>
      </c>
      <c r="V493" s="28">
        <f t="shared" si="14"/>
        <v>240.7</v>
      </c>
      <c r="W493" s="29">
        <f t="shared" si="15"/>
        <v>537.63636363636363</v>
      </c>
    </row>
    <row r="494" spans="1:23" x14ac:dyDescent="0.3">
      <c r="A494" s="1" t="s">
        <v>1504</v>
      </c>
      <c r="B494" s="1" t="s">
        <v>1505</v>
      </c>
      <c r="C494" s="1" t="s">
        <v>18</v>
      </c>
      <c r="D494" s="1" t="s">
        <v>82</v>
      </c>
      <c r="E494" s="1">
        <v>2013</v>
      </c>
      <c r="F494" s="1" t="s">
        <v>100</v>
      </c>
      <c r="G494" s="1" t="s">
        <v>1506</v>
      </c>
      <c r="H494" s="1">
        <v>113</v>
      </c>
      <c r="I494" s="1" t="s">
        <v>50</v>
      </c>
      <c r="J494" s="1">
        <v>9</v>
      </c>
      <c r="K494" s="1">
        <v>231.9</v>
      </c>
      <c r="L494" s="1" t="s">
        <v>90</v>
      </c>
      <c r="M494" s="1" t="s">
        <v>24</v>
      </c>
      <c r="N494" s="1" t="s">
        <v>102</v>
      </c>
      <c r="O494" s="1"/>
      <c r="P494" s="1">
        <v>198</v>
      </c>
      <c r="Q494" s="1">
        <v>819.7</v>
      </c>
      <c r="R494" s="8" t="str">
        <f>_xlfn.IFS(J494&gt;=8,"Hit",J494&gt;=6,"Average",J494&lt;6,"Flop")</f>
        <v>Hit</v>
      </c>
      <c r="S494" s="9" t="str">
        <f>_xlfn.IFS(K494&gt;=400,"Blockbuster",K494&gt;=200,"Popular",K494&lt;200,"Normal")</f>
        <v>Popular</v>
      </c>
      <c r="T494" s="10" t="str">
        <f>IF(OR(I494="PG",I494="G"),"Yes","No")</f>
        <v>Yes</v>
      </c>
      <c r="U494" s="11" t="str">
        <f>IF(P494&gt;=100,"High","Low")</f>
        <v>High</v>
      </c>
      <c r="V494" s="28">
        <f t="shared" si="14"/>
        <v>621.70000000000005</v>
      </c>
      <c r="W494" s="29">
        <f t="shared" si="15"/>
        <v>413.98989898989902</v>
      </c>
    </row>
    <row r="495" spans="1:23" x14ac:dyDescent="0.3">
      <c r="A495" s="1" t="s">
        <v>1507</v>
      </c>
      <c r="B495" s="1" t="s">
        <v>1508</v>
      </c>
      <c r="C495" s="1" t="s">
        <v>46</v>
      </c>
      <c r="D495" s="1" t="s">
        <v>28</v>
      </c>
      <c r="E495" s="1">
        <v>2021</v>
      </c>
      <c r="F495" s="1" t="s">
        <v>83</v>
      </c>
      <c r="G495" s="1" t="s">
        <v>1509</v>
      </c>
      <c r="H495" s="1">
        <v>50</v>
      </c>
      <c r="I495" s="1" t="s">
        <v>40</v>
      </c>
      <c r="J495" s="1">
        <v>4.7</v>
      </c>
      <c r="K495" s="1">
        <v>480.8</v>
      </c>
      <c r="L495" s="1" t="s">
        <v>171</v>
      </c>
      <c r="M495" s="1" t="s">
        <v>146</v>
      </c>
      <c r="N495" s="1" t="s">
        <v>102</v>
      </c>
      <c r="O495" s="1">
        <v>2</v>
      </c>
      <c r="P495" s="1">
        <v>141</v>
      </c>
      <c r="Q495" s="1">
        <v>763.1</v>
      </c>
      <c r="R495" s="8" t="str">
        <f>_xlfn.IFS(J495&gt;=8,"Hit",J495&gt;=6,"Average",J495&lt;6,"Flop")</f>
        <v>Flop</v>
      </c>
      <c r="S495" s="9" t="str">
        <f>_xlfn.IFS(K495&gt;=400,"Blockbuster",K495&gt;=200,"Popular",K495&lt;200,"Normal")</f>
        <v>Blockbuster</v>
      </c>
      <c r="T495" s="10" t="str">
        <f>IF(OR(I495="PG",I495="G"),"Yes","No")</f>
        <v>Yes</v>
      </c>
      <c r="U495" s="11" t="str">
        <f>IF(P495&gt;=100,"High","Low")</f>
        <v>High</v>
      </c>
      <c r="V495" s="28">
        <f t="shared" si="14"/>
        <v>622.1</v>
      </c>
      <c r="W495" s="29">
        <f t="shared" si="15"/>
        <v>541.20567375886526</v>
      </c>
    </row>
    <row r="496" spans="1:23" x14ac:dyDescent="0.3">
      <c r="A496" s="1" t="s">
        <v>1510</v>
      </c>
      <c r="B496" s="1" t="s">
        <v>1511</v>
      </c>
      <c r="C496" s="1" t="s">
        <v>46</v>
      </c>
      <c r="D496" s="1" t="s">
        <v>37</v>
      </c>
      <c r="E496" s="1">
        <v>2024</v>
      </c>
      <c r="F496" s="1" t="s">
        <v>100</v>
      </c>
      <c r="G496" s="1" t="s">
        <v>1512</v>
      </c>
      <c r="H496" s="1">
        <v>40</v>
      </c>
      <c r="I496" s="1" t="s">
        <v>110</v>
      </c>
      <c r="J496" s="1">
        <v>7.4</v>
      </c>
      <c r="K496" s="1">
        <v>220.3</v>
      </c>
      <c r="L496" s="1" t="s">
        <v>71</v>
      </c>
      <c r="M496" s="1" t="s">
        <v>24</v>
      </c>
      <c r="N496" s="1" t="s">
        <v>128</v>
      </c>
      <c r="O496" s="1">
        <v>7</v>
      </c>
      <c r="P496" s="1">
        <v>18</v>
      </c>
      <c r="Q496" s="1">
        <v>57.2</v>
      </c>
      <c r="R496" s="8" t="str">
        <f>_xlfn.IFS(J496&gt;=8,"Hit",J496&gt;=6,"Average",J496&lt;6,"Flop")</f>
        <v>Average</v>
      </c>
      <c r="S496" s="9" t="str">
        <f>_xlfn.IFS(K496&gt;=400,"Blockbuster",K496&gt;=200,"Popular",K496&lt;200,"Normal")</f>
        <v>Popular</v>
      </c>
      <c r="T496" s="10" t="str">
        <f>IF(OR(I496="PG",I496="G"),"Yes","No")</f>
        <v>No</v>
      </c>
      <c r="U496" s="11" t="str">
        <f>IF(P496&gt;=100,"High","Low")</f>
        <v>Low</v>
      </c>
      <c r="V496" s="28">
        <f t="shared" si="14"/>
        <v>39.200000000000003</v>
      </c>
      <c r="W496" s="29">
        <f t="shared" si="15"/>
        <v>317.77777777777783</v>
      </c>
    </row>
    <row r="497" spans="1:23" x14ac:dyDescent="0.3">
      <c r="A497" s="1" t="s">
        <v>1513</v>
      </c>
      <c r="B497" s="1" t="s">
        <v>1514</v>
      </c>
      <c r="C497" s="1" t="s">
        <v>18</v>
      </c>
      <c r="D497" s="1" t="s">
        <v>141</v>
      </c>
      <c r="E497" s="1">
        <v>2002</v>
      </c>
      <c r="F497" s="1" t="s">
        <v>100</v>
      </c>
      <c r="G497" s="1" t="s">
        <v>1515</v>
      </c>
      <c r="H497" s="1">
        <v>132</v>
      </c>
      <c r="I497" s="1" t="s">
        <v>50</v>
      </c>
      <c r="J497" s="1">
        <v>6.5</v>
      </c>
      <c r="K497" s="1">
        <v>418.3</v>
      </c>
      <c r="L497" s="1" t="s">
        <v>41</v>
      </c>
      <c r="M497" s="1" t="s">
        <v>42</v>
      </c>
      <c r="N497" s="1" t="s">
        <v>55</v>
      </c>
      <c r="O497" s="1"/>
      <c r="P497" s="1">
        <v>63</v>
      </c>
      <c r="Q497" s="1">
        <v>311.2</v>
      </c>
      <c r="R497" s="8" t="str">
        <f>_xlfn.IFS(J497&gt;=8,"Hit",J497&gt;=6,"Average",J497&lt;6,"Flop")</f>
        <v>Average</v>
      </c>
      <c r="S497" s="9" t="str">
        <f>_xlfn.IFS(K497&gt;=400,"Blockbuster",K497&gt;=200,"Popular",K497&lt;200,"Normal")</f>
        <v>Blockbuster</v>
      </c>
      <c r="T497" s="10" t="str">
        <f>IF(OR(I497="PG",I497="G"),"Yes","No")</f>
        <v>Yes</v>
      </c>
      <c r="U497" s="11" t="str">
        <f>IF(P497&gt;=100,"High","Low")</f>
        <v>Low</v>
      </c>
      <c r="V497" s="28">
        <f t="shared" si="14"/>
        <v>248.2</v>
      </c>
      <c r="W497" s="29">
        <f t="shared" si="15"/>
        <v>493.96825396825398</v>
      </c>
    </row>
    <row r="498" spans="1:23" x14ac:dyDescent="0.3">
      <c r="A498" s="1" t="s">
        <v>1516</v>
      </c>
      <c r="B498" s="1" t="s">
        <v>1517</v>
      </c>
      <c r="C498" s="1" t="s">
        <v>46</v>
      </c>
      <c r="D498" s="1" t="s">
        <v>19</v>
      </c>
      <c r="E498" s="1">
        <v>2007</v>
      </c>
      <c r="F498" s="1" t="s">
        <v>48</v>
      </c>
      <c r="G498" s="1" t="s">
        <v>1518</v>
      </c>
      <c r="H498" s="1">
        <v>50</v>
      </c>
      <c r="I498" s="1" t="s">
        <v>31</v>
      </c>
      <c r="J498" s="1">
        <v>6.4</v>
      </c>
      <c r="K498" s="1">
        <v>7.6</v>
      </c>
      <c r="L498" s="1" t="s">
        <v>171</v>
      </c>
      <c r="M498" s="1" t="s">
        <v>33</v>
      </c>
      <c r="N498" s="1" t="s">
        <v>158</v>
      </c>
      <c r="O498" s="1">
        <v>7</v>
      </c>
      <c r="P498" s="1">
        <v>57</v>
      </c>
      <c r="Q498" s="1">
        <v>346.3</v>
      </c>
      <c r="R498" s="8" t="str">
        <f>_xlfn.IFS(J498&gt;=8,"Hit",J498&gt;=6,"Average",J498&lt;6,"Flop")</f>
        <v>Average</v>
      </c>
      <c r="S498" s="9" t="str">
        <f>_xlfn.IFS(K498&gt;=400,"Blockbuster",K498&gt;=200,"Popular",K498&lt;200,"Normal")</f>
        <v>Normal</v>
      </c>
      <c r="T498" s="10" t="str">
        <f>IF(OR(I498="PG",I498="G"),"Yes","No")</f>
        <v>No</v>
      </c>
      <c r="U498" s="11" t="str">
        <f>IF(P498&gt;=100,"High","Low")</f>
        <v>Low</v>
      </c>
      <c r="V498" s="28">
        <f t="shared" si="14"/>
        <v>289.3</v>
      </c>
      <c r="W498" s="29">
        <f t="shared" si="15"/>
        <v>607.54385964912285</v>
      </c>
    </row>
    <row r="499" spans="1:23" x14ac:dyDescent="0.3">
      <c r="A499" s="1" t="s">
        <v>1519</v>
      </c>
      <c r="B499" s="1" t="s">
        <v>1520</v>
      </c>
      <c r="C499" s="1" t="s">
        <v>46</v>
      </c>
      <c r="D499" s="1" t="s">
        <v>58</v>
      </c>
      <c r="E499" s="1">
        <v>2022</v>
      </c>
      <c r="F499" s="1" t="s">
        <v>48</v>
      </c>
      <c r="G499" s="1" t="s">
        <v>1521</v>
      </c>
      <c r="H499" s="1">
        <v>40</v>
      </c>
      <c r="I499" s="1" t="s">
        <v>40</v>
      </c>
      <c r="J499" s="1">
        <v>4.8</v>
      </c>
      <c r="K499" s="1">
        <v>349.2</v>
      </c>
      <c r="L499" s="1" t="s">
        <v>23</v>
      </c>
      <c r="M499" s="1" t="s">
        <v>132</v>
      </c>
      <c r="N499" s="1" t="s">
        <v>119</v>
      </c>
      <c r="O499" s="1">
        <v>4</v>
      </c>
      <c r="P499" s="1">
        <v>106</v>
      </c>
      <c r="Q499" s="1">
        <v>234</v>
      </c>
      <c r="R499" s="8" t="str">
        <f>_xlfn.IFS(J499&gt;=8,"Hit",J499&gt;=6,"Average",J499&lt;6,"Flop")</f>
        <v>Flop</v>
      </c>
      <c r="S499" s="9" t="str">
        <f>_xlfn.IFS(K499&gt;=400,"Blockbuster",K499&gt;=200,"Popular",K499&lt;200,"Normal")</f>
        <v>Popular</v>
      </c>
      <c r="T499" s="10" t="str">
        <f>IF(OR(I499="PG",I499="G"),"Yes","No")</f>
        <v>Yes</v>
      </c>
      <c r="U499" s="11" t="str">
        <f>IF(P499&gt;=100,"High","Low")</f>
        <v>High</v>
      </c>
      <c r="V499" s="28">
        <f t="shared" si="14"/>
        <v>128</v>
      </c>
      <c r="W499" s="29">
        <f t="shared" si="15"/>
        <v>220.75471698113211</v>
      </c>
    </row>
    <row r="500" spans="1:23" x14ac:dyDescent="0.3">
      <c r="A500" s="1" t="s">
        <v>1522</v>
      </c>
      <c r="B500" s="1" t="s">
        <v>1523</v>
      </c>
      <c r="C500" s="1" t="s">
        <v>18</v>
      </c>
      <c r="D500" s="1" t="s">
        <v>28</v>
      </c>
      <c r="E500" s="1">
        <v>2024</v>
      </c>
      <c r="F500" s="1" t="s">
        <v>100</v>
      </c>
      <c r="G500" s="1" t="s">
        <v>1029</v>
      </c>
      <c r="H500" s="1">
        <v>142</v>
      </c>
      <c r="I500" s="1" t="s">
        <v>22</v>
      </c>
      <c r="J500" s="1">
        <v>7.8</v>
      </c>
      <c r="K500" s="1">
        <v>388.8</v>
      </c>
      <c r="L500" s="1" t="s">
        <v>32</v>
      </c>
      <c r="M500" s="1" t="s">
        <v>78</v>
      </c>
      <c r="N500" s="1" t="s">
        <v>158</v>
      </c>
      <c r="O500" s="1"/>
      <c r="P500" s="1">
        <v>61</v>
      </c>
      <c r="Q500" s="1">
        <v>363.7</v>
      </c>
      <c r="R500" s="8" t="str">
        <f>_xlfn.IFS(J500&gt;=8,"Hit",J500&gt;=6,"Average",J500&lt;6,"Flop")</f>
        <v>Average</v>
      </c>
      <c r="S500" s="9" t="str">
        <f>_xlfn.IFS(K500&gt;=400,"Blockbuster",K500&gt;=200,"Popular",K500&lt;200,"Normal")</f>
        <v>Popular</v>
      </c>
      <c r="T500" s="10" t="str">
        <f>IF(OR(I500="PG",I500="G"),"Yes","No")</f>
        <v>No</v>
      </c>
      <c r="U500" s="11" t="str">
        <f>IF(P500&gt;=100,"High","Low")</f>
        <v>Low</v>
      </c>
      <c r="V500" s="28">
        <f t="shared" si="14"/>
        <v>302.7</v>
      </c>
      <c r="W500" s="29">
        <f t="shared" si="15"/>
        <v>596.22950819672133</v>
      </c>
    </row>
    <row r="501" spans="1:23" x14ac:dyDescent="0.3">
      <c r="A501" s="1" t="s">
        <v>1524</v>
      </c>
      <c r="B501" s="1" t="s">
        <v>1525</v>
      </c>
      <c r="C501" s="1" t="s">
        <v>18</v>
      </c>
      <c r="D501" s="1" t="s">
        <v>75</v>
      </c>
      <c r="E501" s="1">
        <v>2022</v>
      </c>
      <c r="F501" s="1" t="s">
        <v>95</v>
      </c>
      <c r="G501" s="1" t="s">
        <v>1526</v>
      </c>
      <c r="H501" s="1">
        <v>164</v>
      </c>
      <c r="I501" s="1" t="s">
        <v>22</v>
      </c>
      <c r="J501" s="1">
        <v>9.1</v>
      </c>
      <c r="K501" s="1">
        <v>119.1</v>
      </c>
      <c r="L501" s="1" t="s">
        <v>90</v>
      </c>
      <c r="M501" s="1" t="s">
        <v>33</v>
      </c>
      <c r="N501" s="1" t="s">
        <v>60</v>
      </c>
      <c r="O501" s="1"/>
      <c r="P501" s="1">
        <v>94</v>
      </c>
      <c r="Q501" s="1">
        <v>578.79999999999995</v>
      </c>
      <c r="R501" s="8" t="str">
        <f>_xlfn.IFS(J501&gt;=8,"Hit",J501&gt;=6,"Average",J501&lt;6,"Flop")</f>
        <v>Hit</v>
      </c>
      <c r="S501" s="9" t="str">
        <f>_xlfn.IFS(K501&gt;=400,"Blockbuster",K501&gt;=200,"Popular",K501&lt;200,"Normal")</f>
        <v>Normal</v>
      </c>
      <c r="T501" s="10" t="str">
        <f>IF(OR(I501="PG",I501="G"),"Yes","No")</f>
        <v>No</v>
      </c>
      <c r="U501" s="11" t="str">
        <f>IF(P501&gt;=100,"High","Low")</f>
        <v>Low</v>
      </c>
      <c r="V501" s="28">
        <f t="shared" si="14"/>
        <v>484.79999999999995</v>
      </c>
      <c r="W501" s="29">
        <f t="shared" si="15"/>
        <v>615.74468085106378</v>
      </c>
    </row>
    <row r="502" spans="1:23" x14ac:dyDescent="0.3">
      <c r="A502" s="1" t="s">
        <v>1527</v>
      </c>
      <c r="B502" s="1" t="s">
        <v>1528</v>
      </c>
      <c r="C502" s="1" t="s">
        <v>46</v>
      </c>
      <c r="D502" s="1" t="s">
        <v>58</v>
      </c>
      <c r="E502" s="1">
        <v>2018</v>
      </c>
      <c r="F502" s="1" t="s">
        <v>38</v>
      </c>
      <c r="G502" s="1" t="s">
        <v>1529</v>
      </c>
      <c r="H502" s="1">
        <v>53</v>
      </c>
      <c r="I502" s="1" t="s">
        <v>50</v>
      </c>
      <c r="J502" s="1">
        <v>7.3</v>
      </c>
      <c r="K502" s="1">
        <v>133.69999999999999</v>
      </c>
      <c r="L502" s="1" t="s">
        <v>41</v>
      </c>
      <c r="M502" s="1" t="s">
        <v>111</v>
      </c>
      <c r="N502" s="1" t="s">
        <v>119</v>
      </c>
      <c r="O502" s="1">
        <v>8</v>
      </c>
      <c r="P502" s="1">
        <v>132</v>
      </c>
      <c r="Q502" s="1">
        <v>417.4</v>
      </c>
      <c r="R502" s="8" t="str">
        <f>_xlfn.IFS(J502&gt;=8,"Hit",J502&gt;=6,"Average",J502&lt;6,"Flop")</f>
        <v>Average</v>
      </c>
      <c r="S502" s="9" t="str">
        <f>_xlfn.IFS(K502&gt;=400,"Blockbuster",K502&gt;=200,"Popular",K502&lt;200,"Normal")</f>
        <v>Normal</v>
      </c>
      <c r="T502" s="10" t="str">
        <f>IF(OR(I502="PG",I502="G"),"Yes","No")</f>
        <v>Yes</v>
      </c>
      <c r="U502" s="11" t="str">
        <f>IF(P502&gt;=100,"High","Low")</f>
        <v>High</v>
      </c>
      <c r="V502" s="28">
        <f t="shared" si="14"/>
        <v>285.39999999999998</v>
      </c>
      <c r="W502" s="29">
        <f t="shared" si="15"/>
        <v>316.21212121212119</v>
      </c>
    </row>
    <row r="503" spans="1:23" x14ac:dyDescent="0.3">
      <c r="A503" s="1" t="s">
        <v>1530</v>
      </c>
      <c r="B503" s="1" t="s">
        <v>1531</v>
      </c>
      <c r="C503" s="1" t="s">
        <v>18</v>
      </c>
      <c r="D503" s="1" t="s">
        <v>75</v>
      </c>
      <c r="E503" s="1">
        <v>2004</v>
      </c>
      <c r="F503" s="1" t="s">
        <v>76</v>
      </c>
      <c r="G503" s="1" t="s">
        <v>1532</v>
      </c>
      <c r="H503" s="1">
        <v>117</v>
      </c>
      <c r="I503" s="1" t="s">
        <v>40</v>
      </c>
      <c r="J503" s="1">
        <v>4.8</v>
      </c>
      <c r="K503" s="1">
        <v>516.1</v>
      </c>
      <c r="L503" s="1" t="s">
        <v>65</v>
      </c>
      <c r="M503" s="1" t="s">
        <v>72</v>
      </c>
      <c r="N503" s="1" t="s">
        <v>86</v>
      </c>
      <c r="O503" s="1"/>
      <c r="P503" s="1">
        <v>85</v>
      </c>
      <c r="Q503" s="1">
        <v>257.2</v>
      </c>
      <c r="R503" s="8" t="str">
        <f>_xlfn.IFS(J503&gt;=8,"Hit",J503&gt;=6,"Average",J503&lt;6,"Flop")</f>
        <v>Flop</v>
      </c>
      <c r="S503" s="9" t="str">
        <f>_xlfn.IFS(K503&gt;=400,"Blockbuster",K503&gt;=200,"Popular",K503&lt;200,"Normal")</f>
        <v>Blockbuster</v>
      </c>
      <c r="T503" s="10" t="str">
        <f>IF(OR(I503="PG",I503="G"),"Yes","No")</f>
        <v>Yes</v>
      </c>
      <c r="U503" s="11" t="str">
        <f>IF(P503&gt;=100,"High","Low")</f>
        <v>Low</v>
      </c>
      <c r="V503" s="28">
        <f t="shared" si="14"/>
        <v>172.2</v>
      </c>
      <c r="W503" s="29">
        <f t="shared" si="15"/>
        <v>302.58823529411762</v>
      </c>
    </row>
    <row r="504" spans="1:23" x14ac:dyDescent="0.3">
      <c r="A504" s="1" t="s">
        <v>1533</v>
      </c>
      <c r="B504" s="1" t="s">
        <v>1534</v>
      </c>
      <c r="C504" s="1" t="s">
        <v>18</v>
      </c>
      <c r="D504" s="1" t="s">
        <v>47</v>
      </c>
      <c r="E504" s="1">
        <v>2012</v>
      </c>
      <c r="F504" s="1" t="s">
        <v>76</v>
      </c>
      <c r="G504" s="1" t="s">
        <v>1535</v>
      </c>
      <c r="H504" s="1">
        <v>111</v>
      </c>
      <c r="I504" s="1" t="s">
        <v>40</v>
      </c>
      <c r="J504" s="1">
        <v>7.6</v>
      </c>
      <c r="K504" s="1">
        <v>336.9</v>
      </c>
      <c r="L504" s="1" t="s">
        <v>90</v>
      </c>
      <c r="M504" s="1" t="s">
        <v>42</v>
      </c>
      <c r="N504" s="1" t="s">
        <v>128</v>
      </c>
      <c r="O504" s="1"/>
      <c r="P504" s="1">
        <v>111</v>
      </c>
      <c r="Q504" s="1">
        <v>241.7</v>
      </c>
      <c r="R504" s="8" t="str">
        <f>_xlfn.IFS(J504&gt;=8,"Hit",J504&gt;=6,"Average",J504&lt;6,"Flop")</f>
        <v>Average</v>
      </c>
      <c r="S504" s="9" t="str">
        <f>_xlfn.IFS(K504&gt;=400,"Blockbuster",K504&gt;=200,"Popular",K504&lt;200,"Normal")</f>
        <v>Popular</v>
      </c>
      <c r="T504" s="10" t="str">
        <f>IF(OR(I504="PG",I504="G"),"Yes","No")</f>
        <v>Yes</v>
      </c>
      <c r="U504" s="11" t="str">
        <f>IF(P504&gt;=100,"High","Low")</f>
        <v>High</v>
      </c>
      <c r="V504" s="28">
        <f t="shared" si="14"/>
        <v>130.69999999999999</v>
      </c>
      <c r="W504" s="29">
        <f t="shared" si="15"/>
        <v>217.74774774774772</v>
      </c>
    </row>
    <row r="505" spans="1:23" x14ac:dyDescent="0.3">
      <c r="A505" s="1" t="s">
        <v>1536</v>
      </c>
      <c r="B505" s="1" t="s">
        <v>1537</v>
      </c>
      <c r="C505" s="1" t="s">
        <v>18</v>
      </c>
      <c r="D505" s="1" t="s">
        <v>94</v>
      </c>
      <c r="E505" s="1">
        <v>2011</v>
      </c>
      <c r="F505" s="1" t="s">
        <v>83</v>
      </c>
      <c r="G505" s="1" t="s">
        <v>1538</v>
      </c>
      <c r="H505" s="1">
        <v>91</v>
      </c>
      <c r="I505" s="1" t="s">
        <v>31</v>
      </c>
      <c r="J505" s="1">
        <v>7.2</v>
      </c>
      <c r="K505" s="1">
        <v>560.9</v>
      </c>
      <c r="L505" s="1" t="s">
        <v>71</v>
      </c>
      <c r="M505" s="1" t="s">
        <v>157</v>
      </c>
      <c r="N505" s="1" t="s">
        <v>25</v>
      </c>
      <c r="O505" s="1"/>
      <c r="P505" s="1">
        <v>76</v>
      </c>
      <c r="Q505" s="1">
        <v>426.4</v>
      </c>
      <c r="R505" s="8" t="str">
        <f>_xlfn.IFS(J505&gt;=8,"Hit",J505&gt;=6,"Average",J505&lt;6,"Flop")</f>
        <v>Average</v>
      </c>
      <c r="S505" s="9" t="str">
        <f>_xlfn.IFS(K505&gt;=400,"Blockbuster",K505&gt;=200,"Popular",K505&lt;200,"Normal")</f>
        <v>Blockbuster</v>
      </c>
      <c r="T505" s="10" t="str">
        <f>IF(OR(I505="PG",I505="G"),"Yes","No")</f>
        <v>No</v>
      </c>
      <c r="U505" s="11" t="str">
        <f>IF(P505&gt;=100,"High","Low")</f>
        <v>Low</v>
      </c>
      <c r="V505" s="28">
        <f t="shared" si="14"/>
        <v>350.4</v>
      </c>
      <c r="W505" s="29">
        <f t="shared" si="15"/>
        <v>561.0526315789474</v>
      </c>
    </row>
    <row r="506" spans="1:23" x14ac:dyDescent="0.3">
      <c r="A506" s="1" t="s">
        <v>1539</v>
      </c>
      <c r="B506" s="1" t="s">
        <v>1540</v>
      </c>
      <c r="C506" s="1" t="s">
        <v>46</v>
      </c>
      <c r="D506" s="1" t="s">
        <v>63</v>
      </c>
      <c r="E506" s="1">
        <v>2010</v>
      </c>
      <c r="F506" s="1" t="s">
        <v>29</v>
      </c>
      <c r="G506" s="1" t="s">
        <v>1541</v>
      </c>
      <c r="H506" s="1">
        <v>57</v>
      </c>
      <c r="I506" s="1" t="s">
        <v>40</v>
      </c>
      <c r="J506" s="1">
        <v>6.5</v>
      </c>
      <c r="K506" s="1">
        <v>473.8</v>
      </c>
      <c r="L506" s="1" t="s">
        <v>32</v>
      </c>
      <c r="M506" s="1" t="s">
        <v>54</v>
      </c>
      <c r="N506" s="1" t="s">
        <v>25</v>
      </c>
      <c r="O506" s="1">
        <v>7</v>
      </c>
      <c r="P506" s="1">
        <v>119</v>
      </c>
      <c r="Q506" s="1">
        <v>175.9</v>
      </c>
      <c r="R506" s="8" t="str">
        <f>_xlfn.IFS(J506&gt;=8,"Hit",J506&gt;=6,"Average",J506&lt;6,"Flop")</f>
        <v>Average</v>
      </c>
      <c r="S506" s="9" t="str">
        <f>_xlfn.IFS(K506&gt;=400,"Blockbuster",K506&gt;=200,"Popular",K506&lt;200,"Normal")</f>
        <v>Blockbuster</v>
      </c>
      <c r="T506" s="10" t="str">
        <f>IF(OR(I506="PG",I506="G"),"Yes","No")</f>
        <v>Yes</v>
      </c>
      <c r="U506" s="11" t="str">
        <f>IF(P506&gt;=100,"High","Low")</f>
        <v>High</v>
      </c>
      <c r="V506" s="28">
        <f t="shared" si="14"/>
        <v>56.900000000000006</v>
      </c>
      <c r="W506" s="29">
        <f t="shared" si="15"/>
        <v>147.81512605042019</v>
      </c>
    </row>
    <row r="507" spans="1:23" x14ac:dyDescent="0.3">
      <c r="A507" s="1" t="s">
        <v>1542</v>
      </c>
      <c r="B507" s="1" t="s">
        <v>1543</v>
      </c>
      <c r="C507" s="1" t="s">
        <v>46</v>
      </c>
      <c r="D507" s="1" t="s">
        <v>58</v>
      </c>
      <c r="E507" s="1">
        <v>2022</v>
      </c>
      <c r="F507" s="1" t="s">
        <v>122</v>
      </c>
      <c r="G507" s="1" t="s">
        <v>1283</v>
      </c>
      <c r="H507" s="1">
        <v>33</v>
      </c>
      <c r="I507" s="1" t="s">
        <v>31</v>
      </c>
      <c r="J507" s="1">
        <v>4.7</v>
      </c>
      <c r="K507" s="1">
        <v>507.6</v>
      </c>
      <c r="L507" s="1" t="s">
        <v>23</v>
      </c>
      <c r="M507" s="1" t="s">
        <v>42</v>
      </c>
      <c r="N507" s="1" t="s">
        <v>55</v>
      </c>
      <c r="O507" s="1">
        <v>8</v>
      </c>
      <c r="P507" s="1">
        <v>30</v>
      </c>
      <c r="Q507" s="1">
        <v>97.7</v>
      </c>
      <c r="R507" s="8" t="str">
        <f>_xlfn.IFS(J507&gt;=8,"Hit",J507&gt;=6,"Average",J507&lt;6,"Flop")</f>
        <v>Flop</v>
      </c>
      <c r="S507" s="9" t="str">
        <f>_xlfn.IFS(K507&gt;=400,"Blockbuster",K507&gt;=200,"Popular",K507&lt;200,"Normal")</f>
        <v>Blockbuster</v>
      </c>
      <c r="T507" s="10" t="str">
        <f>IF(OR(I507="PG",I507="G"),"Yes","No")</f>
        <v>No</v>
      </c>
      <c r="U507" s="11" t="str">
        <f>IF(P507&gt;=100,"High","Low")</f>
        <v>Low</v>
      </c>
      <c r="V507" s="28">
        <f t="shared" si="14"/>
        <v>67.7</v>
      </c>
      <c r="W507" s="29">
        <f t="shared" si="15"/>
        <v>325.66666666666669</v>
      </c>
    </row>
    <row r="508" spans="1:23" x14ac:dyDescent="0.3">
      <c r="A508" s="1" t="s">
        <v>1544</v>
      </c>
      <c r="B508" s="1" t="s">
        <v>1545</v>
      </c>
      <c r="C508" s="1" t="s">
        <v>46</v>
      </c>
      <c r="D508" s="1" t="s">
        <v>47</v>
      </c>
      <c r="E508" s="1">
        <v>2025</v>
      </c>
      <c r="F508" s="1" t="s">
        <v>20</v>
      </c>
      <c r="G508" s="1" t="s">
        <v>1546</v>
      </c>
      <c r="H508" s="1">
        <v>37</v>
      </c>
      <c r="I508" s="1" t="s">
        <v>40</v>
      </c>
      <c r="J508" s="1">
        <v>7.9</v>
      </c>
      <c r="K508" s="1">
        <v>368.5</v>
      </c>
      <c r="L508" s="1" t="s">
        <v>71</v>
      </c>
      <c r="M508" s="1" t="s">
        <v>54</v>
      </c>
      <c r="N508" s="1" t="s">
        <v>43</v>
      </c>
      <c r="O508" s="1">
        <v>1</v>
      </c>
      <c r="P508" s="1">
        <v>37</v>
      </c>
      <c r="Q508" s="1">
        <v>164.9</v>
      </c>
      <c r="R508" s="8" t="str">
        <f>_xlfn.IFS(J508&gt;=8,"Hit",J508&gt;=6,"Average",J508&lt;6,"Flop")</f>
        <v>Average</v>
      </c>
      <c r="S508" s="9" t="str">
        <f>_xlfn.IFS(K508&gt;=400,"Blockbuster",K508&gt;=200,"Popular",K508&lt;200,"Normal")</f>
        <v>Popular</v>
      </c>
      <c r="T508" s="10" t="str">
        <f>IF(OR(I508="PG",I508="G"),"Yes","No")</f>
        <v>Yes</v>
      </c>
      <c r="U508" s="11" t="str">
        <f>IF(P508&gt;=100,"High","Low")</f>
        <v>Low</v>
      </c>
      <c r="V508" s="28">
        <f t="shared" si="14"/>
        <v>127.9</v>
      </c>
      <c r="W508" s="29">
        <f t="shared" si="15"/>
        <v>445.67567567567573</v>
      </c>
    </row>
    <row r="509" spans="1:23" x14ac:dyDescent="0.3">
      <c r="A509" s="1" t="s">
        <v>1547</v>
      </c>
      <c r="B509" s="1" t="s">
        <v>1548</v>
      </c>
      <c r="C509" s="1" t="s">
        <v>18</v>
      </c>
      <c r="D509" s="1" t="s">
        <v>94</v>
      </c>
      <c r="E509" s="1">
        <v>2019</v>
      </c>
      <c r="F509" s="1" t="s">
        <v>181</v>
      </c>
      <c r="G509" s="1" t="s">
        <v>1549</v>
      </c>
      <c r="H509" s="1">
        <v>150</v>
      </c>
      <c r="I509" s="1" t="s">
        <v>50</v>
      </c>
      <c r="J509" s="1">
        <v>6.4</v>
      </c>
      <c r="K509" s="1">
        <v>470</v>
      </c>
      <c r="L509" s="1" t="s">
        <v>90</v>
      </c>
      <c r="M509" s="1" t="s">
        <v>97</v>
      </c>
      <c r="N509" s="1" t="s">
        <v>91</v>
      </c>
      <c r="O509" s="1"/>
      <c r="P509" s="1">
        <v>47</v>
      </c>
      <c r="Q509" s="1">
        <v>205.5</v>
      </c>
      <c r="R509" s="8" t="str">
        <f>_xlfn.IFS(J509&gt;=8,"Hit",J509&gt;=6,"Average",J509&lt;6,"Flop")</f>
        <v>Average</v>
      </c>
      <c r="S509" s="9" t="str">
        <f>_xlfn.IFS(K509&gt;=400,"Blockbuster",K509&gt;=200,"Popular",K509&lt;200,"Normal")</f>
        <v>Blockbuster</v>
      </c>
      <c r="T509" s="10" t="str">
        <f>IF(OR(I509="PG",I509="G"),"Yes","No")</f>
        <v>Yes</v>
      </c>
      <c r="U509" s="11" t="str">
        <f>IF(P509&gt;=100,"High","Low")</f>
        <v>Low</v>
      </c>
      <c r="V509" s="28">
        <f t="shared" si="14"/>
        <v>158.5</v>
      </c>
      <c r="W509" s="29">
        <f t="shared" si="15"/>
        <v>437.2340425531915</v>
      </c>
    </row>
    <row r="510" spans="1:23" x14ac:dyDescent="0.3">
      <c r="A510" s="1" t="s">
        <v>1550</v>
      </c>
      <c r="B510" s="1" t="s">
        <v>1551</v>
      </c>
      <c r="C510" s="1" t="s">
        <v>46</v>
      </c>
      <c r="D510" s="1" t="s">
        <v>75</v>
      </c>
      <c r="E510" s="1">
        <v>2021</v>
      </c>
      <c r="F510" s="1" t="s">
        <v>181</v>
      </c>
      <c r="G510" s="1" t="s">
        <v>506</v>
      </c>
      <c r="H510" s="1">
        <v>44</v>
      </c>
      <c r="I510" s="1" t="s">
        <v>50</v>
      </c>
      <c r="J510" s="1">
        <v>6.8</v>
      </c>
      <c r="K510" s="1">
        <v>342.8</v>
      </c>
      <c r="L510" s="1" t="s">
        <v>65</v>
      </c>
      <c r="M510" s="1" t="s">
        <v>111</v>
      </c>
      <c r="N510" s="1" t="s">
        <v>86</v>
      </c>
      <c r="O510" s="1">
        <v>4</v>
      </c>
      <c r="P510" s="1">
        <v>17</v>
      </c>
      <c r="Q510" s="1">
        <v>49.6</v>
      </c>
      <c r="R510" s="8" t="str">
        <f>_xlfn.IFS(J510&gt;=8,"Hit",J510&gt;=6,"Average",J510&lt;6,"Flop")</f>
        <v>Average</v>
      </c>
      <c r="S510" s="9" t="str">
        <f>_xlfn.IFS(K510&gt;=400,"Blockbuster",K510&gt;=200,"Popular",K510&lt;200,"Normal")</f>
        <v>Popular</v>
      </c>
      <c r="T510" s="10" t="str">
        <f>IF(OR(I510="PG",I510="G"),"Yes","No")</f>
        <v>Yes</v>
      </c>
      <c r="U510" s="11" t="str">
        <f>IF(P510&gt;=100,"High","Low")</f>
        <v>Low</v>
      </c>
      <c r="V510" s="28">
        <f t="shared" si="14"/>
        <v>32.6</v>
      </c>
      <c r="W510" s="29">
        <f t="shared" si="15"/>
        <v>291.76470588235298</v>
      </c>
    </row>
    <row r="511" spans="1:23" x14ac:dyDescent="0.3">
      <c r="A511" s="1" t="s">
        <v>1552</v>
      </c>
      <c r="B511" s="1" t="s">
        <v>1553</v>
      </c>
      <c r="C511" s="1" t="s">
        <v>18</v>
      </c>
      <c r="D511" s="1" t="s">
        <v>19</v>
      </c>
      <c r="E511" s="1">
        <v>2012</v>
      </c>
      <c r="F511" s="1" t="s">
        <v>83</v>
      </c>
      <c r="G511" s="1" t="s">
        <v>1554</v>
      </c>
      <c r="H511" s="1">
        <v>138</v>
      </c>
      <c r="I511" s="1" t="s">
        <v>50</v>
      </c>
      <c r="J511" s="1">
        <v>7.5</v>
      </c>
      <c r="K511" s="1">
        <v>389.5</v>
      </c>
      <c r="L511" s="1" t="s">
        <v>65</v>
      </c>
      <c r="M511" s="1" t="s">
        <v>106</v>
      </c>
      <c r="N511" s="1" t="s">
        <v>102</v>
      </c>
      <c r="O511" s="1"/>
      <c r="P511" s="1">
        <v>46</v>
      </c>
      <c r="Q511" s="1">
        <v>242.6</v>
      </c>
      <c r="R511" s="8" t="str">
        <f>_xlfn.IFS(J511&gt;=8,"Hit",J511&gt;=6,"Average",J511&lt;6,"Flop")</f>
        <v>Average</v>
      </c>
      <c r="S511" s="9" t="str">
        <f>_xlfn.IFS(K511&gt;=400,"Blockbuster",K511&gt;=200,"Popular",K511&lt;200,"Normal")</f>
        <v>Popular</v>
      </c>
      <c r="T511" s="10" t="str">
        <f>IF(OR(I511="PG",I511="G"),"Yes","No")</f>
        <v>Yes</v>
      </c>
      <c r="U511" s="11" t="str">
        <f>IF(P511&gt;=100,"High","Low")</f>
        <v>Low</v>
      </c>
      <c r="V511" s="28">
        <f t="shared" si="14"/>
        <v>196.6</v>
      </c>
      <c r="W511" s="29">
        <f t="shared" si="15"/>
        <v>527.39130434782601</v>
      </c>
    </row>
    <row r="512" spans="1:23" x14ac:dyDescent="0.3">
      <c r="A512" s="1" t="s">
        <v>1555</v>
      </c>
      <c r="B512" s="1" t="s">
        <v>1556</v>
      </c>
      <c r="C512" s="1" t="s">
        <v>18</v>
      </c>
      <c r="D512" s="1" t="s">
        <v>58</v>
      </c>
      <c r="E512" s="1">
        <v>2008</v>
      </c>
      <c r="F512" s="1" t="s">
        <v>95</v>
      </c>
      <c r="G512" s="1" t="s">
        <v>963</v>
      </c>
      <c r="H512" s="1">
        <v>140</v>
      </c>
      <c r="I512" s="1" t="s">
        <v>31</v>
      </c>
      <c r="J512" s="1">
        <v>4.7</v>
      </c>
      <c r="K512" s="1">
        <v>364.6</v>
      </c>
      <c r="L512" s="1" t="s">
        <v>65</v>
      </c>
      <c r="M512" s="1" t="s">
        <v>85</v>
      </c>
      <c r="N512" s="1" t="s">
        <v>79</v>
      </c>
      <c r="O512" s="1"/>
      <c r="P512" s="1">
        <v>63</v>
      </c>
      <c r="Q512" s="1">
        <v>78.099999999999994</v>
      </c>
      <c r="R512" s="8" t="str">
        <f>_xlfn.IFS(J512&gt;=8,"Hit",J512&gt;=6,"Average",J512&lt;6,"Flop")</f>
        <v>Flop</v>
      </c>
      <c r="S512" s="9" t="str">
        <f>_xlfn.IFS(K512&gt;=400,"Blockbuster",K512&gt;=200,"Popular",K512&lt;200,"Normal")</f>
        <v>Popular</v>
      </c>
      <c r="T512" s="10" t="str">
        <f>IF(OR(I512="PG",I512="G"),"Yes","No")</f>
        <v>No</v>
      </c>
      <c r="U512" s="11" t="str">
        <f>IF(P512&gt;=100,"High","Low")</f>
        <v>Low</v>
      </c>
      <c r="V512" s="28">
        <f t="shared" si="14"/>
        <v>15.099999999999994</v>
      </c>
      <c r="W512" s="29">
        <f t="shared" si="15"/>
        <v>123.96825396825395</v>
      </c>
    </row>
    <row r="513" spans="1:23" x14ac:dyDescent="0.3">
      <c r="A513" s="1" t="s">
        <v>1557</v>
      </c>
      <c r="B513" s="1" t="s">
        <v>1558</v>
      </c>
      <c r="C513" s="1" t="s">
        <v>46</v>
      </c>
      <c r="D513" s="1" t="s">
        <v>28</v>
      </c>
      <c r="E513" s="1">
        <v>2001</v>
      </c>
      <c r="F513" s="1" t="s">
        <v>83</v>
      </c>
      <c r="G513" s="1" t="s">
        <v>1559</v>
      </c>
      <c r="H513" s="1">
        <v>45</v>
      </c>
      <c r="I513" s="1" t="s">
        <v>31</v>
      </c>
      <c r="J513" s="1">
        <v>6.6</v>
      </c>
      <c r="K513" s="1">
        <v>555.79999999999995</v>
      </c>
      <c r="L513" s="1" t="s">
        <v>41</v>
      </c>
      <c r="M513" s="1" t="s">
        <v>124</v>
      </c>
      <c r="N513" s="1" t="s">
        <v>153</v>
      </c>
      <c r="O513" s="1">
        <v>1</v>
      </c>
      <c r="P513" s="1">
        <v>30</v>
      </c>
      <c r="Q513" s="1">
        <v>54.4</v>
      </c>
      <c r="R513" s="8" t="str">
        <f>_xlfn.IFS(J513&gt;=8,"Hit",J513&gt;=6,"Average",J513&lt;6,"Flop")</f>
        <v>Average</v>
      </c>
      <c r="S513" s="9" t="str">
        <f>_xlfn.IFS(K513&gt;=400,"Blockbuster",K513&gt;=200,"Popular",K513&lt;200,"Normal")</f>
        <v>Blockbuster</v>
      </c>
      <c r="T513" s="10" t="str">
        <f>IF(OR(I513="PG",I513="G"),"Yes","No")</f>
        <v>No</v>
      </c>
      <c r="U513" s="11" t="str">
        <f>IF(P513&gt;=100,"High","Low")</f>
        <v>Low</v>
      </c>
      <c r="V513" s="28">
        <f t="shared" si="14"/>
        <v>24.4</v>
      </c>
      <c r="W513" s="29">
        <f t="shared" si="15"/>
        <v>181.33333333333331</v>
      </c>
    </row>
    <row r="514" spans="1:23" x14ac:dyDescent="0.3">
      <c r="A514" s="1" t="s">
        <v>1560</v>
      </c>
      <c r="B514" s="1" t="s">
        <v>1561</v>
      </c>
      <c r="C514" s="1" t="s">
        <v>46</v>
      </c>
      <c r="D514" s="1" t="s">
        <v>75</v>
      </c>
      <c r="E514" s="1">
        <v>2019</v>
      </c>
      <c r="F514" s="1" t="s">
        <v>181</v>
      </c>
      <c r="G514" s="1" t="s">
        <v>1562</v>
      </c>
      <c r="H514" s="1">
        <v>33</v>
      </c>
      <c r="I514" s="1" t="s">
        <v>50</v>
      </c>
      <c r="J514" s="1">
        <v>9</v>
      </c>
      <c r="K514" s="1">
        <v>349.8</v>
      </c>
      <c r="L514" s="1" t="s">
        <v>65</v>
      </c>
      <c r="M514" s="1" t="s">
        <v>66</v>
      </c>
      <c r="N514" s="1" t="s">
        <v>91</v>
      </c>
      <c r="O514" s="1">
        <v>4</v>
      </c>
      <c r="P514" s="1">
        <v>133</v>
      </c>
      <c r="Q514" s="1">
        <v>490.3</v>
      </c>
      <c r="R514" s="8" t="str">
        <f>_xlfn.IFS(J514&gt;=8,"Hit",J514&gt;=6,"Average",J514&lt;6,"Flop")</f>
        <v>Hit</v>
      </c>
      <c r="S514" s="9" t="str">
        <f>_xlfn.IFS(K514&gt;=400,"Blockbuster",K514&gt;=200,"Popular",K514&lt;200,"Normal")</f>
        <v>Popular</v>
      </c>
      <c r="T514" s="10" t="str">
        <f>IF(OR(I514="PG",I514="G"),"Yes","No")</f>
        <v>Yes</v>
      </c>
      <c r="U514" s="11" t="str">
        <f>IF(P514&gt;=100,"High","Low")</f>
        <v>High</v>
      </c>
      <c r="V514" s="28">
        <f t="shared" si="14"/>
        <v>357.3</v>
      </c>
      <c r="W514" s="29">
        <f t="shared" si="15"/>
        <v>368.64661654135335</v>
      </c>
    </row>
    <row r="515" spans="1:23" x14ac:dyDescent="0.3">
      <c r="A515" s="1" t="s">
        <v>1563</v>
      </c>
      <c r="B515" s="1" t="s">
        <v>1564</v>
      </c>
      <c r="C515" s="1" t="s">
        <v>18</v>
      </c>
      <c r="D515" s="1" t="s">
        <v>141</v>
      </c>
      <c r="E515" s="1">
        <v>2016</v>
      </c>
      <c r="F515" s="1" t="s">
        <v>76</v>
      </c>
      <c r="G515" s="1" t="s">
        <v>1565</v>
      </c>
      <c r="H515" s="1">
        <v>95</v>
      </c>
      <c r="I515" s="1" t="s">
        <v>110</v>
      </c>
      <c r="J515" s="1">
        <v>4.8</v>
      </c>
      <c r="K515" s="1">
        <v>354.9</v>
      </c>
      <c r="L515" s="1" t="s">
        <v>171</v>
      </c>
      <c r="M515" s="1" t="s">
        <v>111</v>
      </c>
      <c r="N515" s="1" t="s">
        <v>55</v>
      </c>
      <c r="O515" s="1"/>
      <c r="P515" s="1">
        <v>126</v>
      </c>
      <c r="Q515" s="1">
        <v>177.2</v>
      </c>
      <c r="R515" s="8" t="str">
        <f>_xlfn.IFS(J515&gt;=8,"Hit",J515&gt;=6,"Average",J515&lt;6,"Flop")</f>
        <v>Flop</v>
      </c>
      <c r="S515" s="9" t="str">
        <f>_xlfn.IFS(K515&gt;=400,"Blockbuster",K515&gt;=200,"Popular",K515&lt;200,"Normal")</f>
        <v>Popular</v>
      </c>
      <c r="T515" s="10" t="str">
        <f>IF(OR(I515="PG",I515="G"),"Yes","No")</f>
        <v>No</v>
      </c>
      <c r="U515" s="11" t="str">
        <f>IF(P515&gt;=100,"High","Low")</f>
        <v>High</v>
      </c>
      <c r="V515" s="28">
        <f t="shared" ref="V515:V578" si="16">Q515-P515</f>
        <v>51.199999999999989</v>
      </c>
      <c r="W515" s="29">
        <f t="shared" ref="W515:W578" si="17">(Q515/P515)*100</f>
        <v>140.63492063492063</v>
      </c>
    </row>
    <row r="516" spans="1:23" x14ac:dyDescent="0.3">
      <c r="A516" s="1" t="s">
        <v>1566</v>
      </c>
      <c r="B516" s="1" t="s">
        <v>1567</v>
      </c>
      <c r="C516" s="1" t="s">
        <v>18</v>
      </c>
      <c r="D516" s="1" t="s">
        <v>47</v>
      </c>
      <c r="E516" s="1">
        <v>2024</v>
      </c>
      <c r="F516" s="1" t="s">
        <v>20</v>
      </c>
      <c r="G516" s="1" t="s">
        <v>1568</v>
      </c>
      <c r="H516" s="1">
        <v>141</v>
      </c>
      <c r="I516" s="1" t="s">
        <v>31</v>
      </c>
      <c r="J516" s="1">
        <v>6.1</v>
      </c>
      <c r="K516" s="1">
        <v>69.5</v>
      </c>
      <c r="L516" s="1" t="s">
        <v>23</v>
      </c>
      <c r="M516" s="1" t="s">
        <v>157</v>
      </c>
      <c r="N516" s="1" t="s">
        <v>119</v>
      </c>
      <c r="O516" s="1"/>
      <c r="P516" s="1">
        <v>79</v>
      </c>
      <c r="Q516" s="1">
        <v>307.2</v>
      </c>
      <c r="R516" s="8" t="str">
        <f>_xlfn.IFS(J516&gt;=8,"Hit",J516&gt;=6,"Average",J516&lt;6,"Flop")</f>
        <v>Average</v>
      </c>
      <c r="S516" s="9" t="str">
        <f>_xlfn.IFS(K516&gt;=400,"Blockbuster",K516&gt;=200,"Popular",K516&lt;200,"Normal")</f>
        <v>Normal</v>
      </c>
      <c r="T516" s="10" t="str">
        <f>IF(OR(I516="PG",I516="G"),"Yes","No")</f>
        <v>No</v>
      </c>
      <c r="U516" s="11" t="str">
        <f>IF(P516&gt;=100,"High","Low")</f>
        <v>Low</v>
      </c>
      <c r="V516" s="28">
        <f t="shared" si="16"/>
        <v>228.2</v>
      </c>
      <c r="W516" s="29">
        <f t="shared" si="17"/>
        <v>388.86075949367086</v>
      </c>
    </row>
    <row r="517" spans="1:23" x14ac:dyDescent="0.3">
      <c r="A517" s="1" t="s">
        <v>1569</v>
      </c>
      <c r="B517" s="1" t="s">
        <v>1570</v>
      </c>
      <c r="C517" s="1" t="s">
        <v>18</v>
      </c>
      <c r="D517" s="1" t="s">
        <v>28</v>
      </c>
      <c r="E517" s="1">
        <v>2001</v>
      </c>
      <c r="F517" s="1" t="s">
        <v>20</v>
      </c>
      <c r="G517" s="1" t="s">
        <v>1571</v>
      </c>
      <c r="H517" s="1">
        <v>111</v>
      </c>
      <c r="I517" s="1" t="s">
        <v>31</v>
      </c>
      <c r="J517" s="1">
        <v>6.1</v>
      </c>
      <c r="K517" s="1">
        <v>281.10000000000002</v>
      </c>
      <c r="L517" s="1" t="s">
        <v>65</v>
      </c>
      <c r="M517" s="1" t="s">
        <v>24</v>
      </c>
      <c r="N517" s="1" t="s">
        <v>25</v>
      </c>
      <c r="O517" s="1"/>
      <c r="P517" s="1">
        <v>73</v>
      </c>
      <c r="Q517" s="1">
        <v>462.4</v>
      </c>
      <c r="R517" s="8" t="str">
        <f>_xlfn.IFS(J517&gt;=8,"Hit",J517&gt;=6,"Average",J517&lt;6,"Flop")</f>
        <v>Average</v>
      </c>
      <c r="S517" s="9" t="str">
        <f>_xlfn.IFS(K517&gt;=400,"Blockbuster",K517&gt;=200,"Popular",K517&lt;200,"Normal")</f>
        <v>Popular</v>
      </c>
      <c r="T517" s="10" t="str">
        <f>IF(OR(I517="PG",I517="G"),"Yes","No")</f>
        <v>No</v>
      </c>
      <c r="U517" s="11" t="str">
        <f>IF(P517&gt;=100,"High","Low")</f>
        <v>Low</v>
      </c>
      <c r="V517" s="28">
        <f t="shared" si="16"/>
        <v>389.4</v>
      </c>
      <c r="W517" s="29">
        <f t="shared" si="17"/>
        <v>633.42465753424653</v>
      </c>
    </row>
    <row r="518" spans="1:23" x14ac:dyDescent="0.3">
      <c r="A518" s="1" t="s">
        <v>1572</v>
      </c>
      <c r="B518" s="1" t="s">
        <v>1573</v>
      </c>
      <c r="C518" s="1" t="s">
        <v>18</v>
      </c>
      <c r="D518" s="1" t="s">
        <v>28</v>
      </c>
      <c r="E518" s="1">
        <v>2006</v>
      </c>
      <c r="F518" s="1" t="s">
        <v>100</v>
      </c>
      <c r="G518" s="1" t="s">
        <v>1574</v>
      </c>
      <c r="H518" s="1">
        <v>170</v>
      </c>
      <c r="I518" s="1" t="s">
        <v>110</v>
      </c>
      <c r="J518" s="1">
        <v>7.9</v>
      </c>
      <c r="K518" s="1">
        <v>62.4</v>
      </c>
      <c r="L518" s="1" t="s">
        <v>65</v>
      </c>
      <c r="M518" s="1" t="s">
        <v>78</v>
      </c>
      <c r="N518" s="1" t="s">
        <v>178</v>
      </c>
      <c r="O518" s="1"/>
      <c r="P518" s="1">
        <v>96</v>
      </c>
      <c r="Q518" s="1">
        <v>263.3</v>
      </c>
      <c r="R518" s="8" t="str">
        <f>_xlfn.IFS(J518&gt;=8,"Hit",J518&gt;=6,"Average",J518&lt;6,"Flop")</f>
        <v>Average</v>
      </c>
      <c r="S518" s="9" t="str">
        <f>_xlfn.IFS(K518&gt;=400,"Blockbuster",K518&gt;=200,"Popular",K518&lt;200,"Normal")</f>
        <v>Normal</v>
      </c>
      <c r="T518" s="10" t="str">
        <f>IF(OR(I518="PG",I518="G"),"Yes","No")</f>
        <v>No</v>
      </c>
      <c r="U518" s="11" t="str">
        <f>IF(P518&gt;=100,"High","Low")</f>
        <v>Low</v>
      </c>
      <c r="V518" s="28">
        <f t="shared" si="16"/>
        <v>167.3</v>
      </c>
      <c r="W518" s="29">
        <f t="shared" si="17"/>
        <v>274.27083333333331</v>
      </c>
    </row>
    <row r="519" spans="1:23" x14ac:dyDescent="0.3">
      <c r="A519" s="1" t="s">
        <v>1575</v>
      </c>
      <c r="B519" s="1" t="s">
        <v>1576</v>
      </c>
      <c r="C519" s="1" t="s">
        <v>18</v>
      </c>
      <c r="D519" s="1" t="s">
        <v>58</v>
      </c>
      <c r="E519" s="1">
        <v>2013</v>
      </c>
      <c r="F519" s="1" t="s">
        <v>20</v>
      </c>
      <c r="G519" s="1" t="s">
        <v>939</v>
      </c>
      <c r="H519" s="1">
        <v>160</v>
      </c>
      <c r="I519" s="1" t="s">
        <v>50</v>
      </c>
      <c r="J519" s="1">
        <v>5.0999999999999996</v>
      </c>
      <c r="K519" s="1">
        <v>354.9</v>
      </c>
      <c r="L519" s="1" t="s">
        <v>65</v>
      </c>
      <c r="M519" s="1" t="s">
        <v>78</v>
      </c>
      <c r="N519" s="1" t="s">
        <v>153</v>
      </c>
      <c r="O519" s="1"/>
      <c r="P519" s="1">
        <v>138</v>
      </c>
      <c r="Q519" s="1">
        <v>325</v>
      </c>
      <c r="R519" s="8" t="str">
        <f>_xlfn.IFS(J519&gt;=8,"Hit",J519&gt;=6,"Average",J519&lt;6,"Flop")</f>
        <v>Flop</v>
      </c>
      <c r="S519" s="9" t="str">
        <f>_xlfn.IFS(K519&gt;=400,"Blockbuster",K519&gt;=200,"Popular",K519&lt;200,"Normal")</f>
        <v>Popular</v>
      </c>
      <c r="T519" s="10" t="str">
        <f>IF(OR(I519="PG",I519="G"),"Yes","No")</f>
        <v>Yes</v>
      </c>
      <c r="U519" s="11" t="str">
        <f>IF(P519&gt;=100,"High","Low")</f>
        <v>High</v>
      </c>
      <c r="V519" s="28">
        <f t="shared" si="16"/>
        <v>187</v>
      </c>
      <c r="W519" s="29">
        <f t="shared" si="17"/>
        <v>235.50724637681157</v>
      </c>
    </row>
    <row r="520" spans="1:23" x14ac:dyDescent="0.3">
      <c r="A520" s="1" t="s">
        <v>1577</v>
      </c>
      <c r="B520" s="1" t="s">
        <v>1578</v>
      </c>
      <c r="C520" s="1" t="s">
        <v>18</v>
      </c>
      <c r="D520" s="1" t="s">
        <v>75</v>
      </c>
      <c r="E520" s="1">
        <v>2002</v>
      </c>
      <c r="F520" s="1" t="s">
        <v>181</v>
      </c>
      <c r="G520" s="1" t="s">
        <v>1579</v>
      </c>
      <c r="H520" s="1">
        <v>124</v>
      </c>
      <c r="I520" s="1" t="s">
        <v>50</v>
      </c>
      <c r="J520" s="1">
        <v>5.2</v>
      </c>
      <c r="K520" s="1">
        <v>469.6</v>
      </c>
      <c r="L520" s="1" t="s">
        <v>71</v>
      </c>
      <c r="M520" s="1" t="s">
        <v>97</v>
      </c>
      <c r="N520" s="1" t="s">
        <v>158</v>
      </c>
      <c r="O520" s="1"/>
      <c r="P520" s="1">
        <v>137</v>
      </c>
      <c r="Q520" s="1">
        <v>431.4</v>
      </c>
      <c r="R520" s="8" t="str">
        <f>_xlfn.IFS(J520&gt;=8,"Hit",J520&gt;=6,"Average",J520&lt;6,"Flop")</f>
        <v>Flop</v>
      </c>
      <c r="S520" s="9" t="str">
        <f>_xlfn.IFS(K520&gt;=400,"Blockbuster",K520&gt;=200,"Popular",K520&lt;200,"Normal")</f>
        <v>Blockbuster</v>
      </c>
      <c r="T520" s="10" t="str">
        <f>IF(OR(I520="PG",I520="G"),"Yes","No")</f>
        <v>Yes</v>
      </c>
      <c r="U520" s="11" t="str">
        <f>IF(P520&gt;=100,"High","Low")</f>
        <v>High</v>
      </c>
      <c r="V520" s="28">
        <f t="shared" si="16"/>
        <v>294.39999999999998</v>
      </c>
      <c r="W520" s="29">
        <f t="shared" si="17"/>
        <v>314.8905109489051</v>
      </c>
    </row>
    <row r="521" spans="1:23" x14ac:dyDescent="0.3">
      <c r="A521" s="1" t="s">
        <v>1580</v>
      </c>
      <c r="B521" s="1" t="s">
        <v>1581</v>
      </c>
      <c r="C521" s="1" t="s">
        <v>18</v>
      </c>
      <c r="D521" s="1" t="s">
        <v>82</v>
      </c>
      <c r="E521" s="1">
        <v>2008</v>
      </c>
      <c r="F521" s="1" t="s">
        <v>100</v>
      </c>
      <c r="G521" s="1" t="s">
        <v>263</v>
      </c>
      <c r="H521" s="1">
        <v>130</v>
      </c>
      <c r="I521" s="1" t="s">
        <v>22</v>
      </c>
      <c r="J521" s="1">
        <v>6.1</v>
      </c>
      <c r="K521" s="1">
        <v>314.5</v>
      </c>
      <c r="L521" s="1" t="s">
        <v>90</v>
      </c>
      <c r="M521" s="1" t="s">
        <v>85</v>
      </c>
      <c r="N521" s="1" t="s">
        <v>25</v>
      </c>
      <c r="O521" s="1"/>
      <c r="P521" s="1">
        <v>124</v>
      </c>
      <c r="Q521" s="1">
        <v>778.8</v>
      </c>
      <c r="R521" s="8" t="str">
        <f>_xlfn.IFS(J521&gt;=8,"Hit",J521&gt;=6,"Average",J521&lt;6,"Flop")</f>
        <v>Average</v>
      </c>
      <c r="S521" s="9" t="str">
        <f>_xlfn.IFS(K521&gt;=400,"Blockbuster",K521&gt;=200,"Popular",K521&lt;200,"Normal")</f>
        <v>Popular</v>
      </c>
      <c r="T521" s="10" t="str">
        <f>IF(OR(I521="PG",I521="G"),"Yes","No")</f>
        <v>No</v>
      </c>
      <c r="U521" s="11" t="str">
        <f>IF(P521&gt;=100,"High","Low")</f>
        <v>High</v>
      </c>
      <c r="V521" s="28">
        <f t="shared" si="16"/>
        <v>654.79999999999995</v>
      </c>
      <c r="W521" s="29">
        <f t="shared" si="17"/>
        <v>628.0645161290322</v>
      </c>
    </row>
    <row r="522" spans="1:23" x14ac:dyDescent="0.3">
      <c r="A522" s="1" t="s">
        <v>1582</v>
      </c>
      <c r="B522" s="1" t="s">
        <v>1583</v>
      </c>
      <c r="C522" s="1" t="s">
        <v>18</v>
      </c>
      <c r="D522" s="1" t="s">
        <v>82</v>
      </c>
      <c r="E522" s="1">
        <v>2005</v>
      </c>
      <c r="F522" s="1" t="s">
        <v>48</v>
      </c>
      <c r="G522" s="1" t="s">
        <v>1584</v>
      </c>
      <c r="H522" s="1">
        <v>144</v>
      </c>
      <c r="I522" s="1" t="s">
        <v>110</v>
      </c>
      <c r="J522" s="1">
        <v>7.9</v>
      </c>
      <c r="K522" s="1">
        <v>47.1</v>
      </c>
      <c r="L522" s="1" t="s">
        <v>71</v>
      </c>
      <c r="M522" s="1" t="s">
        <v>72</v>
      </c>
      <c r="N522" s="1" t="s">
        <v>178</v>
      </c>
      <c r="O522" s="1"/>
      <c r="P522" s="1">
        <v>85</v>
      </c>
      <c r="Q522" s="1">
        <v>420.1</v>
      </c>
      <c r="R522" s="8" t="str">
        <f>_xlfn.IFS(J522&gt;=8,"Hit",J522&gt;=6,"Average",J522&lt;6,"Flop")</f>
        <v>Average</v>
      </c>
      <c r="S522" s="9" t="str">
        <f>_xlfn.IFS(K522&gt;=400,"Blockbuster",K522&gt;=200,"Popular",K522&lt;200,"Normal")</f>
        <v>Normal</v>
      </c>
      <c r="T522" s="10" t="str">
        <f>IF(OR(I522="PG",I522="G"),"Yes","No")</f>
        <v>No</v>
      </c>
      <c r="U522" s="11" t="str">
        <f>IF(P522&gt;=100,"High","Low")</f>
        <v>Low</v>
      </c>
      <c r="V522" s="28">
        <f t="shared" si="16"/>
        <v>335.1</v>
      </c>
      <c r="W522" s="29">
        <f t="shared" si="17"/>
        <v>494.23529411764707</v>
      </c>
    </row>
    <row r="523" spans="1:23" x14ac:dyDescent="0.3">
      <c r="A523" s="1" t="s">
        <v>1585</v>
      </c>
      <c r="B523" s="1" t="s">
        <v>1586</v>
      </c>
      <c r="C523" s="1" t="s">
        <v>18</v>
      </c>
      <c r="D523" s="1" t="s">
        <v>19</v>
      </c>
      <c r="E523" s="1">
        <v>2019</v>
      </c>
      <c r="F523" s="1" t="s">
        <v>48</v>
      </c>
      <c r="G523" s="1" t="s">
        <v>488</v>
      </c>
      <c r="H523" s="1">
        <v>163</v>
      </c>
      <c r="I523" s="1" t="s">
        <v>40</v>
      </c>
      <c r="J523" s="1">
        <v>7.3</v>
      </c>
      <c r="K523" s="1">
        <v>20.100000000000001</v>
      </c>
      <c r="L523" s="1" t="s">
        <v>71</v>
      </c>
      <c r="M523" s="1" t="s">
        <v>146</v>
      </c>
      <c r="N523" s="1" t="s">
        <v>91</v>
      </c>
      <c r="O523" s="1"/>
      <c r="P523" s="1">
        <v>47</v>
      </c>
      <c r="Q523" s="1">
        <v>60.1</v>
      </c>
      <c r="R523" s="8" t="str">
        <f>_xlfn.IFS(J523&gt;=8,"Hit",J523&gt;=6,"Average",J523&lt;6,"Flop")</f>
        <v>Average</v>
      </c>
      <c r="S523" s="9" t="str">
        <f>_xlfn.IFS(K523&gt;=400,"Blockbuster",K523&gt;=200,"Popular",K523&lt;200,"Normal")</f>
        <v>Normal</v>
      </c>
      <c r="T523" s="10" t="str">
        <f>IF(OR(I523="PG",I523="G"),"Yes","No")</f>
        <v>Yes</v>
      </c>
      <c r="U523" s="11" t="str">
        <f>IF(P523&gt;=100,"High","Low")</f>
        <v>Low</v>
      </c>
      <c r="V523" s="28">
        <f t="shared" si="16"/>
        <v>13.100000000000001</v>
      </c>
      <c r="W523" s="29">
        <f t="shared" si="17"/>
        <v>127.87234042553193</v>
      </c>
    </row>
    <row r="524" spans="1:23" x14ac:dyDescent="0.3">
      <c r="A524" s="1" t="s">
        <v>1587</v>
      </c>
      <c r="B524" s="1" t="s">
        <v>1588</v>
      </c>
      <c r="C524" s="1" t="s">
        <v>18</v>
      </c>
      <c r="D524" s="1" t="s">
        <v>47</v>
      </c>
      <c r="E524" s="1">
        <v>2021</v>
      </c>
      <c r="F524" s="1" t="s">
        <v>38</v>
      </c>
      <c r="G524" s="1" t="s">
        <v>1589</v>
      </c>
      <c r="H524" s="1">
        <v>122</v>
      </c>
      <c r="I524" s="1" t="s">
        <v>50</v>
      </c>
      <c r="J524" s="1">
        <v>5.8</v>
      </c>
      <c r="K524" s="1">
        <v>93.1</v>
      </c>
      <c r="L524" s="1" t="s">
        <v>65</v>
      </c>
      <c r="M524" s="1" t="s">
        <v>78</v>
      </c>
      <c r="N524" s="1" t="s">
        <v>43</v>
      </c>
      <c r="O524" s="1"/>
      <c r="P524" s="1">
        <v>125</v>
      </c>
      <c r="Q524" s="1">
        <v>306.8</v>
      </c>
      <c r="R524" s="8" t="str">
        <f>_xlfn.IFS(J524&gt;=8,"Hit",J524&gt;=6,"Average",J524&lt;6,"Flop")</f>
        <v>Flop</v>
      </c>
      <c r="S524" s="9" t="str">
        <f>_xlfn.IFS(K524&gt;=400,"Blockbuster",K524&gt;=200,"Popular",K524&lt;200,"Normal")</f>
        <v>Normal</v>
      </c>
      <c r="T524" s="10" t="str">
        <f>IF(OR(I524="PG",I524="G"),"Yes","No")</f>
        <v>Yes</v>
      </c>
      <c r="U524" s="11" t="str">
        <f>IF(P524&gt;=100,"High","Low")</f>
        <v>High</v>
      </c>
      <c r="V524" s="28">
        <f t="shared" si="16"/>
        <v>181.8</v>
      </c>
      <c r="W524" s="29">
        <f t="shared" si="17"/>
        <v>245.44000000000003</v>
      </c>
    </row>
    <row r="525" spans="1:23" x14ac:dyDescent="0.3">
      <c r="A525" s="1" t="s">
        <v>1590</v>
      </c>
      <c r="B525" s="1" t="s">
        <v>1591</v>
      </c>
      <c r="C525" s="1" t="s">
        <v>46</v>
      </c>
      <c r="D525" s="1" t="s">
        <v>82</v>
      </c>
      <c r="E525" s="1">
        <v>2025</v>
      </c>
      <c r="F525" s="1" t="s">
        <v>122</v>
      </c>
      <c r="G525" s="1" t="s">
        <v>1592</v>
      </c>
      <c r="H525" s="1">
        <v>36</v>
      </c>
      <c r="I525" s="1" t="s">
        <v>50</v>
      </c>
      <c r="J525" s="1">
        <v>9</v>
      </c>
      <c r="K525" s="1">
        <v>132.5</v>
      </c>
      <c r="L525" s="1" t="s">
        <v>65</v>
      </c>
      <c r="M525" s="1" t="s">
        <v>97</v>
      </c>
      <c r="N525" s="1" t="s">
        <v>67</v>
      </c>
      <c r="O525" s="1">
        <v>1</v>
      </c>
      <c r="P525" s="1">
        <v>69</v>
      </c>
      <c r="Q525" s="1">
        <v>108.7</v>
      </c>
      <c r="R525" s="8" t="str">
        <f>_xlfn.IFS(J525&gt;=8,"Hit",J525&gt;=6,"Average",J525&lt;6,"Flop")</f>
        <v>Hit</v>
      </c>
      <c r="S525" s="9" t="str">
        <f>_xlfn.IFS(K525&gt;=400,"Blockbuster",K525&gt;=200,"Popular",K525&lt;200,"Normal")</f>
        <v>Normal</v>
      </c>
      <c r="T525" s="10" t="str">
        <f>IF(OR(I525="PG",I525="G"),"Yes","No")</f>
        <v>Yes</v>
      </c>
      <c r="U525" s="11" t="str">
        <f>IF(P525&gt;=100,"High","Low")</f>
        <v>Low</v>
      </c>
      <c r="V525" s="28">
        <f t="shared" si="16"/>
        <v>39.700000000000003</v>
      </c>
      <c r="W525" s="29">
        <f t="shared" si="17"/>
        <v>157.53623188405797</v>
      </c>
    </row>
    <row r="526" spans="1:23" x14ac:dyDescent="0.3">
      <c r="A526" s="1" t="s">
        <v>1593</v>
      </c>
      <c r="B526" s="1" t="s">
        <v>1594</v>
      </c>
      <c r="C526" s="1" t="s">
        <v>18</v>
      </c>
      <c r="D526" s="1" t="s">
        <v>19</v>
      </c>
      <c r="E526" s="1">
        <v>2000</v>
      </c>
      <c r="F526" s="1" t="s">
        <v>83</v>
      </c>
      <c r="G526" s="1" t="s">
        <v>1192</v>
      </c>
      <c r="H526" s="1">
        <v>116</v>
      </c>
      <c r="I526" s="1" t="s">
        <v>40</v>
      </c>
      <c r="J526" s="1">
        <v>6.7</v>
      </c>
      <c r="K526" s="1">
        <v>140.19999999999999</v>
      </c>
      <c r="L526" s="1" t="s">
        <v>23</v>
      </c>
      <c r="M526" s="1" t="s">
        <v>24</v>
      </c>
      <c r="N526" s="1" t="s">
        <v>178</v>
      </c>
      <c r="O526" s="1"/>
      <c r="P526" s="1">
        <v>117</v>
      </c>
      <c r="Q526" s="1">
        <v>266.8</v>
      </c>
      <c r="R526" s="8" t="str">
        <f>_xlfn.IFS(J526&gt;=8,"Hit",J526&gt;=6,"Average",J526&lt;6,"Flop")</f>
        <v>Average</v>
      </c>
      <c r="S526" s="9" t="str">
        <f>_xlfn.IFS(K526&gt;=400,"Blockbuster",K526&gt;=200,"Popular",K526&lt;200,"Normal")</f>
        <v>Normal</v>
      </c>
      <c r="T526" s="10" t="str">
        <f>IF(OR(I526="PG",I526="G"),"Yes","No")</f>
        <v>Yes</v>
      </c>
      <c r="U526" s="11" t="str">
        <f>IF(P526&gt;=100,"High","Low")</f>
        <v>High</v>
      </c>
      <c r="V526" s="28">
        <f t="shared" si="16"/>
        <v>149.80000000000001</v>
      </c>
      <c r="W526" s="29">
        <f t="shared" si="17"/>
        <v>228.03418803418802</v>
      </c>
    </row>
    <row r="527" spans="1:23" x14ac:dyDescent="0.3">
      <c r="A527" s="1" t="s">
        <v>1595</v>
      </c>
      <c r="B527" s="1" t="s">
        <v>1596</v>
      </c>
      <c r="C527" s="1" t="s">
        <v>46</v>
      </c>
      <c r="D527" s="1" t="s">
        <v>47</v>
      </c>
      <c r="E527" s="1">
        <v>2012</v>
      </c>
      <c r="F527" s="1" t="s">
        <v>38</v>
      </c>
      <c r="G527" s="1" t="s">
        <v>1597</v>
      </c>
      <c r="H527" s="1">
        <v>31</v>
      </c>
      <c r="I527" s="1" t="s">
        <v>31</v>
      </c>
      <c r="J527" s="1">
        <v>7.5</v>
      </c>
      <c r="K527" s="1">
        <v>140</v>
      </c>
      <c r="L527" s="1" t="s">
        <v>171</v>
      </c>
      <c r="M527" s="1" t="s">
        <v>78</v>
      </c>
      <c r="N527" s="1" t="s">
        <v>79</v>
      </c>
      <c r="O527" s="1">
        <v>2</v>
      </c>
      <c r="P527" s="1">
        <v>123</v>
      </c>
      <c r="Q527" s="1">
        <v>257.7</v>
      </c>
      <c r="R527" s="8" t="str">
        <f>_xlfn.IFS(J527&gt;=8,"Hit",J527&gt;=6,"Average",J527&lt;6,"Flop")</f>
        <v>Average</v>
      </c>
      <c r="S527" s="9" t="str">
        <f>_xlfn.IFS(K527&gt;=400,"Blockbuster",K527&gt;=200,"Popular",K527&lt;200,"Normal")</f>
        <v>Normal</v>
      </c>
      <c r="T527" s="10" t="str">
        <f>IF(OR(I527="PG",I527="G"),"Yes","No")</f>
        <v>No</v>
      </c>
      <c r="U527" s="11" t="str">
        <f>IF(P527&gt;=100,"High","Low")</f>
        <v>High</v>
      </c>
      <c r="V527" s="28">
        <f t="shared" si="16"/>
        <v>134.69999999999999</v>
      </c>
      <c r="W527" s="29">
        <f t="shared" si="17"/>
        <v>209.51219512195124</v>
      </c>
    </row>
    <row r="528" spans="1:23" x14ac:dyDescent="0.3">
      <c r="A528" s="1" t="s">
        <v>1598</v>
      </c>
      <c r="B528" s="1" t="s">
        <v>1599</v>
      </c>
      <c r="C528" s="1" t="s">
        <v>46</v>
      </c>
      <c r="D528" s="1" t="s">
        <v>82</v>
      </c>
      <c r="E528" s="1">
        <v>2005</v>
      </c>
      <c r="F528" s="1" t="s">
        <v>181</v>
      </c>
      <c r="G528" s="1" t="s">
        <v>1600</v>
      </c>
      <c r="H528" s="1">
        <v>43</v>
      </c>
      <c r="I528" s="1" t="s">
        <v>40</v>
      </c>
      <c r="J528" s="1">
        <v>8.9</v>
      </c>
      <c r="K528" s="1">
        <v>307.60000000000002</v>
      </c>
      <c r="L528" s="1" t="s">
        <v>23</v>
      </c>
      <c r="M528" s="1" t="s">
        <v>24</v>
      </c>
      <c r="N528" s="1" t="s">
        <v>34</v>
      </c>
      <c r="O528" s="1">
        <v>7</v>
      </c>
      <c r="P528" s="1">
        <v>119</v>
      </c>
      <c r="Q528" s="1">
        <v>634.79999999999995</v>
      </c>
      <c r="R528" s="8" t="str">
        <f>_xlfn.IFS(J528&gt;=8,"Hit",J528&gt;=6,"Average",J528&lt;6,"Flop")</f>
        <v>Hit</v>
      </c>
      <c r="S528" s="9" t="str">
        <f>_xlfn.IFS(K528&gt;=400,"Blockbuster",K528&gt;=200,"Popular",K528&lt;200,"Normal")</f>
        <v>Popular</v>
      </c>
      <c r="T528" s="10" t="str">
        <f>IF(OR(I528="PG",I528="G"),"Yes","No")</f>
        <v>Yes</v>
      </c>
      <c r="U528" s="11" t="str">
        <f>IF(P528&gt;=100,"High","Low")</f>
        <v>High</v>
      </c>
      <c r="V528" s="28">
        <f t="shared" si="16"/>
        <v>515.79999999999995</v>
      </c>
      <c r="W528" s="29">
        <f t="shared" si="17"/>
        <v>533.44537815126046</v>
      </c>
    </row>
    <row r="529" spans="1:23" x14ac:dyDescent="0.3">
      <c r="A529" s="1" t="s">
        <v>1601</v>
      </c>
      <c r="B529" s="1" t="s">
        <v>1602</v>
      </c>
      <c r="C529" s="1" t="s">
        <v>46</v>
      </c>
      <c r="D529" s="1" t="s">
        <v>141</v>
      </c>
      <c r="E529" s="1">
        <v>2022</v>
      </c>
      <c r="F529" s="1" t="s">
        <v>95</v>
      </c>
      <c r="G529" s="1" t="s">
        <v>1603</v>
      </c>
      <c r="H529" s="1">
        <v>44</v>
      </c>
      <c r="I529" s="1" t="s">
        <v>110</v>
      </c>
      <c r="J529" s="1">
        <v>6.3</v>
      </c>
      <c r="K529" s="1">
        <v>106.4</v>
      </c>
      <c r="L529" s="1" t="s">
        <v>171</v>
      </c>
      <c r="M529" s="1" t="s">
        <v>33</v>
      </c>
      <c r="N529" s="1" t="s">
        <v>158</v>
      </c>
      <c r="O529" s="1">
        <v>3</v>
      </c>
      <c r="P529" s="1">
        <v>140</v>
      </c>
      <c r="Q529" s="1">
        <v>560.5</v>
      </c>
      <c r="R529" s="8" t="str">
        <f>_xlfn.IFS(J529&gt;=8,"Hit",J529&gt;=6,"Average",J529&lt;6,"Flop")</f>
        <v>Average</v>
      </c>
      <c r="S529" s="9" t="str">
        <f>_xlfn.IFS(K529&gt;=400,"Blockbuster",K529&gt;=200,"Popular",K529&lt;200,"Normal")</f>
        <v>Normal</v>
      </c>
      <c r="T529" s="10" t="str">
        <f>IF(OR(I529="PG",I529="G"),"Yes","No")</f>
        <v>No</v>
      </c>
      <c r="U529" s="11" t="str">
        <f>IF(P529&gt;=100,"High","Low")</f>
        <v>High</v>
      </c>
      <c r="V529" s="28">
        <f t="shared" si="16"/>
        <v>420.5</v>
      </c>
      <c r="W529" s="29">
        <f t="shared" si="17"/>
        <v>400.35714285714289</v>
      </c>
    </row>
    <row r="530" spans="1:23" x14ac:dyDescent="0.3">
      <c r="A530" s="1" t="s">
        <v>1604</v>
      </c>
      <c r="B530" s="1" t="s">
        <v>1605</v>
      </c>
      <c r="C530" s="1" t="s">
        <v>46</v>
      </c>
      <c r="D530" s="1" t="s">
        <v>82</v>
      </c>
      <c r="E530" s="1">
        <v>2017</v>
      </c>
      <c r="F530" s="1" t="s">
        <v>48</v>
      </c>
      <c r="G530" s="1" t="s">
        <v>1606</v>
      </c>
      <c r="H530" s="1">
        <v>34</v>
      </c>
      <c r="I530" s="1" t="s">
        <v>22</v>
      </c>
      <c r="J530" s="1">
        <v>9.1</v>
      </c>
      <c r="K530" s="1">
        <v>323.60000000000002</v>
      </c>
      <c r="L530" s="1" t="s">
        <v>41</v>
      </c>
      <c r="M530" s="1" t="s">
        <v>72</v>
      </c>
      <c r="N530" s="1" t="s">
        <v>43</v>
      </c>
      <c r="O530" s="1">
        <v>3</v>
      </c>
      <c r="P530" s="1">
        <v>133</v>
      </c>
      <c r="Q530" s="1">
        <v>687</v>
      </c>
      <c r="R530" s="8" t="str">
        <f>_xlfn.IFS(J530&gt;=8,"Hit",J530&gt;=6,"Average",J530&lt;6,"Flop")</f>
        <v>Hit</v>
      </c>
      <c r="S530" s="9" t="str">
        <f>_xlfn.IFS(K530&gt;=400,"Blockbuster",K530&gt;=200,"Popular",K530&lt;200,"Normal")</f>
        <v>Popular</v>
      </c>
      <c r="T530" s="10" t="str">
        <f>IF(OR(I530="PG",I530="G"),"Yes","No")</f>
        <v>No</v>
      </c>
      <c r="U530" s="11" t="str">
        <f>IF(P530&gt;=100,"High","Low")</f>
        <v>High</v>
      </c>
      <c r="V530" s="28">
        <f t="shared" si="16"/>
        <v>554</v>
      </c>
      <c r="W530" s="29">
        <f t="shared" si="17"/>
        <v>516.54135338345861</v>
      </c>
    </row>
    <row r="531" spans="1:23" x14ac:dyDescent="0.3">
      <c r="A531" s="1" t="s">
        <v>1607</v>
      </c>
      <c r="B531" s="1" t="s">
        <v>1608</v>
      </c>
      <c r="C531" s="1" t="s">
        <v>46</v>
      </c>
      <c r="D531" s="1" t="s">
        <v>82</v>
      </c>
      <c r="E531" s="1">
        <v>2023</v>
      </c>
      <c r="F531" s="1" t="s">
        <v>181</v>
      </c>
      <c r="G531" s="1" t="s">
        <v>1609</v>
      </c>
      <c r="H531" s="1">
        <v>42</v>
      </c>
      <c r="I531" s="1" t="s">
        <v>31</v>
      </c>
      <c r="J531" s="1">
        <v>8.1999999999999993</v>
      </c>
      <c r="K531" s="1">
        <v>171.4</v>
      </c>
      <c r="L531" s="1" t="s">
        <v>171</v>
      </c>
      <c r="M531" s="1" t="s">
        <v>146</v>
      </c>
      <c r="N531" s="1" t="s">
        <v>25</v>
      </c>
      <c r="O531" s="1">
        <v>4</v>
      </c>
      <c r="P531" s="1">
        <v>131</v>
      </c>
      <c r="Q531" s="1">
        <v>814.7</v>
      </c>
      <c r="R531" s="8" t="str">
        <f>_xlfn.IFS(J531&gt;=8,"Hit",J531&gt;=6,"Average",J531&lt;6,"Flop")</f>
        <v>Hit</v>
      </c>
      <c r="S531" s="9" t="str">
        <f>_xlfn.IFS(K531&gt;=400,"Blockbuster",K531&gt;=200,"Popular",K531&lt;200,"Normal")</f>
        <v>Normal</v>
      </c>
      <c r="T531" s="10" t="str">
        <f>IF(OR(I531="PG",I531="G"),"Yes","No")</f>
        <v>No</v>
      </c>
      <c r="U531" s="11" t="str">
        <f>IF(P531&gt;=100,"High","Low")</f>
        <v>High</v>
      </c>
      <c r="V531" s="28">
        <f t="shared" si="16"/>
        <v>683.7</v>
      </c>
      <c r="W531" s="29">
        <f t="shared" si="17"/>
        <v>621.90839694656495</v>
      </c>
    </row>
    <row r="532" spans="1:23" x14ac:dyDescent="0.3">
      <c r="A532" s="1" t="s">
        <v>1610</v>
      </c>
      <c r="B532" s="1" t="s">
        <v>1611</v>
      </c>
      <c r="C532" s="1" t="s">
        <v>46</v>
      </c>
      <c r="D532" s="1" t="s">
        <v>63</v>
      </c>
      <c r="E532" s="1">
        <v>2014</v>
      </c>
      <c r="F532" s="1" t="s">
        <v>181</v>
      </c>
      <c r="G532" s="1" t="s">
        <v>1612</v>
      </c>
      <c r="H532" s="1">
        <v>33</v>
      </c>
      <c r="I532" s="1" t="s">
        <v>31</v>
      </c>
      <c r="J532" s="1">
        <v>6.4</v>
      </c>
      <c r="K532" s="1">
        <v>182.5</v>
      </c>
      <c r="L532" s="1" t="s">
        <v>90</v>
      </c>
      <c r="M532" s="1" t="s">
        <v>132</v>
      </c>
      <c r="N532" s="1" t="s">
        <v>60</v>
      </c>
      <c r="O532" s="1">
        <v>7</v>
      </c>
      <c r="P532" s="1">
        <v>24</v>
      </c>
      <c r="Q532" s="1">
        <v>49.3</v>
      </c>
      <c r="R532" s="8" t="str">
        <f>_xlfn.IFS(J532&gt;=8,"Hit",J532&gt;=6,"Average",J532&lt;6,"Flop")</f>
        <v>Average</v>
      </c>
      <c r="S532" s="9" t="str">
        <f>_xlfn.IFS(K532&gt;=400,"Blockbuster",K532&gt;=200,"Popular",K532&lt;200,"Normal")</f>
        <v>Normal</v>
      </c>
      <c r="T532" s="10" t="str">
        <f>IF(OR(I532="PG",I532="G"),"Yes","No")</f>
        <v>No</v>
      </c>
      <c r="U532" s="11" t="str">
        <f>IF(P532&gt;=100,"High","Low")</f>
        <v>Low</v>
      </c>
      <c r="V532" s="28">
        <f t="shared" si="16"/>
        <v>25.299999999999997</v>
      </c>
      <c r="W532" s="29">
        <f t="shared" si="17"/>
        <v>205.41666666666666</v>
      </c>
    </row>
    <row r="533" spans="1:23" x14ac:dyDescent="0.3">
      <c r="A533" s="1" t="s">
        <v>1613</v>
      </c>
      <c r="B533" s="1" t="s">
        <v>1614</v>
      </c>
      <c r="C533" s="1" t="s">
        <v>18</v>
      </c>
      <c r="D533" s="1" t="s">
        <v>47</v>
      </c>
      <c r="E533" s="1">
        <v>2017</v>
      </c>
      <c r="F533" s="1" t="s">
        <v>48</v>
      </c>
      <c r="G533" s="1" t="s">
        <v>1615</v>
      </c>
      <c r="H533" s="1">
        <v>110</v>
      </c>
      <c r="I533" s="1" t="s">
        <v>50</v>
      </c>
      <c r="J533" s="1">
        <v>6.2</v>
      </c>
      <c r="K533" s="1">
        <v>377.6</v>
      </c>
      <c r="L533" s="1" t="s">
        <v>71</v>
      </c>
      <c r="M533" s="1" t="s">
        <v>54</v>
      </c>
      <c r="N533" s="1" t="s">
        <v>79</v>
      </c>
      <c r="O533" s="1"/>
      <c r="P533" s="1">
        <v>169</v>
      </c>
      <c r="Q533" s="1">
        <v>560.29999999999995</v>
      </c>
      <c r="R533" s="8" t="str">
        <f>_xlfn.IFS(J533&gt;=8,"Hit",J533&gt;=6,"Average",J533&lt;6,"Flop")</f>
        <v>Average</v>
      </c>
      <c r="S533" s="9" t="str">
        <f>_xlfn.IFS(K533&gt;=400,"Blockbuster",K533&gt;=200,"Popular",K533&lt;200,"Normal")</f>
        <v>Popular</v>
      </c>
      <c r="T533" s="10" t="str">
        <f>IF(OR(I533="PG",I533="G"),"Yes","No")</f>
        <v>Yes</v>
      </c>
      <c r="U533" s="11" t="str">
        <f>IF(P533&gt;=100,"High","Low")</f>
        <v>High</v>
      </c>
      <c r="V533" s="28">
        <f t="shared" si="16"/>
        <v>391.29999999999995</v>
      </c>
      <c r="W533" s="29">
        <f t="shared" si="17"/>
        <v>331.53846153846149</v>
      </c>
    </row>
    <row r="534" spans="1:23" x14ac:dyDescent="0.3">
      <c r="A534" s="1" t="s">
        <v>1616</v>
      </c>
      <c r="B534" s="1" t="s">
        <v>1617</v>
      </c>
      <c r="C534" s="1" t="s">
        <v>18</v>
      </c>
      <c r="D534" s="1" t="s">
        <v>63</v>
      </c>
      <c r="E534" s="1">
        <v>2000</v>
      </c>
      <c r="F534" s="1" t="s">
        <v>95</v>
      </c>
      <c r="G534" s="1" t="s">
        <v>1618</v>
      </c>
      <c r="H534" s="1">
        <v>95</v>
      </c>
      <c r="I534" s="1" t="s">
        <v>50</v>
      </c>
      <c r="J534" s="1">
        <v>5.5</v>
      </c>
      <c r="K534" s="1">
        <v>594.4</v>
      </c>
      <c r="L534" s="1" t="s">
        <v>41</v>
      </c>
      <c r="M534" s="1" t="s">
        <v>106</v>
      </c>
      <c r="N534" s="1" t="s">
        <v>43</v>
      </c>
      <c r="O534" s="1"/>
      <c r="P534" s="1">
        <v>16</v>
      </c>
      <c r="Q534" s="1">
        <v>97.9</v>
      </c>
      <c r="R534" s="8" t="str">
        <f>_xlfn.IFS(J534&gt;=8,"Hit",J534&gt;=6,"Average",J534&lt;6,"Flop")</f>
        <v>Flop</v>
      </c>
      <c r="S534" s="9" t="str">
        <f>_xlfn.IFS(K534&gt;=400,"Blockbuster",K534&gt;=200,"Popular",K534&lt;200,"Normal")</f>
        <v>Blockbuster</v>
      </c>
      <c r="T534" s="10" t="str">
        <f>IF(OR(I534="PG",I534="G"),"Yes","No")</f>
        <v>Yes</v>
      </c>
      <c r="U534" s="11" t="str">
        <f>IF(P534&gt;=100,"High","Low")</f>
        <v>Low</v>
      </c>
      <c r="V534" s="28">
        <f t="shared" si="16"/>
        <v>81.900000000000006</v>
      </c>
      <c r="W534" s="29">
        <f t="shared" si="17"/>
        <v>611.875</v>
      </c>
    </row>
    <row r="535" spans="1:23" x14ac:dyDescent="0.3">
      <c r="A535" s="1" t="s">
        <v>1619</v>
      </c>
      <c r="B535" s="1" t="s">
        <v>1620</v>
      </c>
      <c r="C535" s="1" t="s">
        <v>18</v>
      </c>
      <c r="D535" s="1" t="s">
        <v>75</v>
      </c>
      <c r="E535" s="1">
        <v>2001</v>
      </c>
      <c r="F535" s="1" t="s">
        <v>95</v>
      </c>
      <c r="G535" s="1" t="s">
        <v>1621</v>
      </c>
      <c r="H535" s="1">
        <v>158</v>
      </c>
      <c r="I535" s="1" t="s">
        <v>31</v>
      </c>
      <c r="J535" s="1">
        <v>6.5</v>
      </c>
      <c r="K535" s="1">
        <v>482.7</v>
      </c>
      <c r="L535" s="1" t="s">
        <v>32</v>
      </c>
      <c r="M535" s="1" t="s">
        <v>72</v>
      </c>
      <c r="N535" s="1" t="s">
        <v>178</v>
      </c>
      <c r="O535" s="1"/>
      <c r="P535" s="1">
        <v>32</v>
      </c>
      <c r="Q535" s="1">
        <v>112.6</v>
      </c>
      <c r="R535" s="8" t="str">
        <f>_xlfn.IFS(J535&gt;=8,"Hit",J535&gt;=6,"Average",J535&lt;6,"Flop")</f>
        <v>Average</v>
      </c>
      <c r="S535" s="9" t="str">
        <f>_xlfn.IFS(K535&gt;=400,"Blockbuster",K535&gt;=200,"Popular",K535&lt;200,"Normal")</f>
        <v>Blockbuster</v>
      </c>
      <c r="T535" s="10" t="str">
        <f>IF(OR(I535="PG",I535="G"),"Yes","No")</f>
        <v>No</v>
      </c>
      <c r="U535" s="11" t="str">
        <f>IF(P535&gt;=100,"High","Low")</f>
        <v>Low</v>
      </c>
      <c r="V535" s="28">
        <f t="shared" si="16"/>
        <v>80.599999999999994</v>
      </c>
      <c r="W535" s="29">
        <f t="shared" si="17"/>
        <v>351.875</v>
      </c>
    </row>
    <row r="536" spans="1:23" x14ac:dyDescent="0.3">
      <c r="A536" s="1" t="s">
        <v>1622</v>
      </c>
      <c r="B536" s="1" t="s">
        <v>1623</v>
      </c>
      <c r="C536" s="1" t="s">
        <v>46</v>
      </c>
      <c r="D536" s="1" t="s">
        <v>47</v>
      </c>
      <c r="E536" s="1">
        <v>2009</v>
      </c>
      <c r="F536" s="1" t="s">
        <v>38</v>
      </c>
      <c r="G536" s="1" t="s">
        <v>1624</v>
      </c>
      <c r="H536" s="1">
        <v>52</v>
      </c>
      <c r="I536" s="1" t="s">
        <v>31</v>
      </c>
      <c r="J536" s="1">
        <v>6.5</v>
      </c>
      <c r="K536" s="1">
        <v>498.2</v>
      </c>
      <c r="L536" s="1" t="s">
        <v>32</v>
      </c>
      <c r="M536" s="1" t="s">
        <v>54</v>
      </c>
      <c r="N536" s="1" t="s">
        <v>102</v>
      </c>
      <c r="O536" s="1">
        <v>4</v>
      </c>
      <c r="P536" s="1">
        <v>54</v>
      </c>
      <c r="Q536" s="1">
        <v>120.1</v>
      </c>
      <c r="R536" s="8" t="str">
        <f>_xlfn.IFS(J536&gt;=8,"Hit",J536&gt;=6,"Average",J536&lt;6,"Flop")</f>
        <v>Average</v>
      </c>
      <c r="S536" s="9" t="str">
        <f>_xlfn.IFS(K536&gt;=400,"Blockbuster",K536&gt;=200,"Popular",K536&lt;200,"Normal")</f>
        <v>Blockbuster</v>
      </c>
      <c r="T536" s="10" t="str">
        <f>IF(OR(I536="PG",I536="G"),"Yes","No")</f>
        <v>No</v>
      </c>
      <c r="U536" s="11" t="str">
        <f>IF(P536&gt;=100,"High","Low")</f>
        <v>Low</v>
      </c>
      <c r="V536" s="28">
        <f t="shared" si="16"/>
        <v>66.099999999999994</v>
      </c>
      <c r="W536" s="29">
        <f t="shared" si="17"/>
        <v>222.40740740740739</v>
      </c>
    </row>
    <row r="537" spans="1:23" x14ac:dyDescent="0.3">
      <c r="A537" s="1" t="s">
        <v>1625</v>
      </c>
      <c r="B537" s="1" t="s">
        <v>1626</v>
      </c>
      <c r="C537" s="1" t="s">
        <v>18</v>
      </c>
      <c r="D537" s="1" t="s">
        <v>37</v>
      </c>
      <c r="E537" s="1">
        <v>2015</v>
      </c>
      <c r="F537" s="1" t="s">
        <v>83</v>
      </c>
      <c r="G537" s="1" t="s">
        <v>1370</v>
      </c>
      <c r="H537" s="1">
        <v>150</v>
      </c>
      <c r="I537" s="1" t="s">
        <v>50</v>
      </c>
      <c r="J537" s="1">
        <v>8.3000000000000007</v>
      </c>
      <c r="K537" s="1">
        <v>562.6</v>
      </c>
      <c r="L537" s="1" t="s">
        <v>65</v>
      </c>
      <c r="M537" s="1" t="s">
        <v>42</v>
      </c>
      <c r="N537" s="1" t="s">
        <v>178</v>
      </c>
      <c r="O537" s="1"/>
      <c r="P537" s="1">
        <v>146</v>
      </c>
      <c r="Q537" s="1">
        <v>687.7</v>
      </c>
      <c r="R537" s="8" t="str">
        <f>_xlfn.IFS(J537&gt;=8,"Hit",J537&gt;=6,"Average",J537&lt;6,"Flop")</f>
        <v>Hit</v>
      </c>
      <c r="S537" s="9" t="str">
        <f>_xlfn.IFS(K537&gt;=400,"Blockbuster",K537&gt;=200,"Popular",K537&lt;200,"Normal")</f>
        <v>Blockbuster</v>
      </c>
      <c r="T537" s="10" t="str">
        <f>IF(OR(I537="PG",I537="G"),"Yes","No")</f>
        <v>Yes</v>
      </c>
      <c r="U537" s="11" t="str">
        <f>IF(P537&gt;=100,"High","Low")</f>
        <v>High</v>
      </c>
      <c r="V537" s="28">
        <f t="shared" si="16"/>
        <v>541.70000000000005</v>
      </c>
      <c r="W537" s="29">
        <f t="shared" si="17"/>
        <v>471.02739726027397</v>
      </c>
    </row>
    <row r="538" spans="1:23" x14ac:dyDescent="0.3">
      <c r="A538" s="1" t="s">
        <v>1627</v>
      </c>
      <c r="B538" s="1" t="s">
        <v>1628</v>
      </c>
      <c r="C538" s="1" t="s">
        <v>18</v>
      </c>
      <c r="D538" s="1" t="s">
        <v>58</v>
      </c>
      <c r="E538" s="1">
        <v>2004</v>
      </c>
      <c r="F538" s="1" t="s">
        <v>76</v>
      </c>
      <c r="G538" s="1" t="s">
        <v>1629</v>
      </c>
      <c r="H538" s="1">
        <v>105</v>
      </c>
      <c r="I538" s="1" t="s">
        <v>110</v>
      </c>
      <c r="J538" s="1">
        <v>6.4</v>
      </c>
      <c r="K538" s="1">
        <v>31.7</v>
      </c>
      <c r="L538" s="1" t="s">
        <v>65</v>
      </c>
      <c r="M538" s="1" t="s">
        <v>146</v>
      </c>
      <c r="N538" s="1" t="s">
        <v>119</v>
      </c>
      <c r="O538" s="1"/>
      <c r="P538" s="1">
        <v>124</v>
      </c>
      <c r="Q538" s="1">
        <v>209.2</v>
      </c>
      <c r="R538" s="8" t="str">
        <f>_xlfn.IFS(J538&gt;=8,"Hit",J538&gt;=6,"Average",J538&lt;6,"Flop")</f>
        <v>Average</v>
      </c>
      <c r="S538" s="9" t="str">
        <f>_xlfn.IFS(K538&gt;=400,"Blockbuster",K538&gt;=200,"Popular",K538&lt;200,"Normal")</f>
        <v>Normal</v>
      </c>
      <c r="T538" s="10" t="str">
        <f>IF(OR(I538="PG",I538="G"),"Yes","No")</f>
        <v>No</v>
      </c>
      <c r="U538" s="11" t="str">
        <f>IF(P538&gt;=100,"High","Low")</f>
        <v>High</v>
      </c>
      <c r="V538" s="28">
        <f t="shared" si="16"/>
        <v>85.199999999999989</v>
      </c>
      <c r="W538" s="29">
        <f t="shared" si="17"/>
        <v>168.70967741935482</v>
      </c>
    </row>
    <row r="539" spans="1:23" x14ac:dyDescent="0.3">
      <c r="A539" s="1" t="s">
        <v>1630</v>
      </c>
      <c r="B539" s="1" t="s">
        <v>1631</v>
      </c>
      <c r="C539" s="1" t="s">
        <v>46</v>
      </c>
      <c r="D539" s="1" t="s">
        <v>82</v>
      </c>
      <c r="E539" s="1">
        <v>2009</v>
      </c>
      <c r="F539" s="1" t="s">
        <v>181</v>
      </c>
      <c r="G539" s="1" t="s">
        <v>1568</v>
      </c>
      <c r="H539" s="1">
        <v>50</v>
      </c>
      <c r="I539" s="1" t="s">
        <v>22</v>
      </c>
      <c r="J539" s="1">
        <v>6.6</v>
      </c>
      <c r="K539" s="1">
        <v>262.3</v>
      </c>
      <c r="L539" s="1" t="s">
        <v>41</v>
      </c>
      <c r="M539" s="1" t="s">
        <v>33</v>
      </c>
      <c r="N539" s="1" t="s">
        <v>60</v>
      </c>
      <c r="O539" s="1">
        <v>3</v>
      </c>
      <c r="P539" s="1">
        <v>200</v>
      </c>
      <c r="Q539" s="1">
        <v>388.1</v>
      </c>
      <c r="R539" s="8" t="str">
        <f>_xlfn.IFS(J539&gt;=8,"Hit",J539&gt;=6,"Average",J539&lt;6,"Flop")</f>
        <v>Average</v>
      </c>
      <c r="S539" s="9" t="str">
        <f>_xlfn.IFS(K539&gt;=400,"Blockbuster",K539&gt;=200,"Popular",K539&lt;200,"Normal")</f>
        <v>Popular</v>
      </c>
      <c r="T539" s="10" t="str">
        <f>IF(OR(I539="PG",I539="G"),"Yes","No")</f>
        <v>No</v>
      </c>
      <c r="U539" s="11" t="str">
        <f>IF(P539&gt;=100,"High","Low")</f>
        <v>High</v>
      </c>
      <c r="V539" s="28">
        <f t="shared" si="16"/>
        <v>188.10000000000002</v>
      </c>
      <c r="W539" s="29">
        <f t="shared" si="17"/>
        <v>194.05</v>
      </c>
    </row>
    <row r="540" spans="1:23" x14ac:dyDescent="0.3">
      <c r="A540" s="1" t="s">
        <v>1632</v>
      </c>
      <c r="B540" s="1" t="s">
        <v>1633</v>
      </c>
      <c r="C540" s="1" t="s">
        <v>18</v>
      </c>
      <c r="D540" s="1" t="s">
        <v>37</v>
      </c>
      <c r="E540" s="1">
        <v>2011</v>
      </c>
      <c r="F540" s="1" t="s">
        <v>20</v>
      </c>
      <c r="G540" s="1" t="s">
        <v>1634</v>
      </c>
      <c r="H540" s="1">
        <v>155</v>
      </c>
      <c r="I540" s="1" t="s">
        <v>40</v>
      </c>
      <c r="J540" s="1">
        <v>8.1999999999999993</v>
      </c>
      <c r="K540" s="1">
        <v>283.5</v>
      </c>
      <c r="L540" s="1" t="s">
        <v>41</v>
      </c>
      <c r="M540" s="1" t="s">
        <v>97</v>
      </c>
      <c r="N540" s="1" t="s">
        <v>43</v>
      </c>
      <c r="O540" s="1"/>
      <c r="P540" s="1">
        <v>149</v>
      </c>
      <c r="Q540" s="1">
        <v>510.9</v>
      </c>
      <c r="R540" s="8" t="str">
        <f>_xlfn.IFS(J540&gt;=8,"Hit",J540&gt;=6,"Average",J540&lt;6,"Flop")</f>
        <v>Hit</v>
      </c>
      <c r="S540" s="9" t="str">
        <f>_xlfn.IFS(K540&gt;=400,"Blockbuster",K540&gt;=200,"Popular",K540&lt;200,"Normal")</f>
        <v>Popular</v>
      </c>
      <c r="T540" s="10" t="str">
        <f>IF(OR(I540="PG",I540="G"),"Yes","No")</f>
        <v>Yes</v>
      </c>
      <c r="U540" s="11" t="str">
        <f>IF(P540&gt;=100,"High","Low")</f>
        <v>High</v>
      </c>
      <c r="V540" s="28">
        <f t="shared" si="16"/>
        <v>361.9</v>
      </c>
      <c r="W540" s="29">
        <f t="shared" si="17"/>
        <v>342.88590604026842</v>
      </c>
    </row>
    <row r="541" spans="1:23" x14ac:dyDescent="0.3">
      <c r="A541" s="1" t="s">
        <v>1635</v>
      </c>
      <c r="B541" s="1" t="s">
        <v>1636</v>
      </c>
      <c r="C541" s="1" t="s">
        <v>18</v>
      </c>
      <c r="D541" s="1" t="s">
        <v>19</v>
      </c>
      <c r="E541" s="1">
        <v>2024</v>
      </c>
      <c r="F541" s="1" t="s">
        <v>38</v>
      </c>
      <c r="G541" s="1" t="s">
        <v>1637</v>
      </c>
      <c r="H541" s="1">
        <v>173</v>
      </c>
      <c r="I541" s="1" t="s">
        <v>40</v>
      </c>
      <c r="J541" s="1">
        <v>8.4</v>
      </c>
      <c r="K541" s="1">
        <v>141.80000000000001</v>
      </c>
      <c r="L541" s="1" t="s">
        <v>23</v>
      </c>
      <c r="M541" s="1" t="s">
        <v>111</v>
      </c>
      <c r="N541" s="1" t="s">
        <v>79</v>
      </c>
      <c r="O541" s="1"/>
      <c r="P541" s="1">
        <v>34</v>
      </c>
      <c r="Q541" s="1">
        <v>127.8</v>
      </c>
      <c r="R541" s="8" t="str">
        <f>_xlfn.IFS(J541&gt;=8,"Hit",J541&gt;=6,"Average",J541&lt;6,"Flop")</f>
        <v>Hit</v>
      </c>
      <c r="S541" s="9" t="str">
        <f>_xlfn.IFS(K541&gt;=400,"Blockbuster",K541&gt;=200,"Popular",K541&lt;200,"Normal")</f>
        <v>Normal</v>
      </c>
      <c r="T541" s="10" t="str">
        <f>IF(OR(I541="PG",I541="G"),"Yes","No")</f>
        <v>Yes</v>
      </c>
      <c r="U541" s="11" t="str">
        <f>IF(P541&gt;=100,"High","Low")</f>
        <v>Low</v>
      </c>
      <c r="V541" s="28">
        <f t="shared" si="16"/>
        <v>93.8</v>
      </c>
      <c r="W541" s="29">
        <f t="shared" si="17"/>
        <v>375.88235294117646</v>
      </c>
    </row>
    <row r="542" spans="1:23" x14ac:dyDescent="0.3">
      <c r="A542" s="1" t="s">
        <v>1638</v>
      </c>
      <c r="B542" s="1" t="s">
        <v>1639</v>
      </c>
      <c r="C542" s="1" t="s">
        <v>18</v>
      </c>
      <c r="D542" s="1" t="s">
        <v>28</v>
      </c>
      <c r="E542" s="1">
        <v>2022</v>
      </c>
      <c r="F542" s="1" t="s">
        <v>181</v>
      </c>
      <c r="G542" s="1" t="s">
        <v>1640</v>
      </c>
      <c r="H542" s="1">
        <v>93</v>
      </c>
      <c r="I542" s="1" t="s">
        <v>22</v>
      </c>
      <c r="J542" s="1">
        <v>8.3000000000000007</v>
      </c>
      <c r="K542" s="1">
        <v>28.5</v>
      </c>
      <c r="L542" s="1" t="s">
        <v>23</v>
      </c>
      <c r="M542" s="1" t="s">
        <v>78</v>
      </c>
      <c r="N542" s="1" t="s">
        <v>91</v>
      </c>
      <c r="O542" s="1"/>
      <c r="P542" s="1">
        <v>133</v>
      </c>
      <c r="Q542" s="1">
        <v>638.79999999999995</v>
      </c>
      <c r="R542" s="8" t="str">
        <f>_xlfn.IFS(J542&gt;=8,"Hit",J542&gt;=6,"Average",J542&lt;6,"Flop")</f>
        <v>Hit</v>
      </c>
      <c r="S542" s="9" t="str">
        <f>_xlfn.IFS(K542&gt;=400,"Blockbuster",K542&gt;=200,"Popular",K542&lt;200,"Normal")</f>
        <v>Normal</v>
      </c>
      <c r="T542" s="10" t="str">
        <f>IF(OR(I542="PG",I542="G"),"Yes","No")</f>
        <v>No</v>
      </c>
      <c r="U542" s="11" t="str">
        <f>IF(P542&gt;=100,"High","Low")</f>
        <v>High</v>
      </c>
      <c r="V542" s="28">
        <f t="shared" si="16"/>
        <v>505.79999999999995</v>
      </c>
      <c r="W542" s="29">
        <f t="shared" si="17"/>
        <v>480.30075187969919</v>
      </c>
    </row>
    <row r="543" spans="1:23" x14ac:dyDescent="0.3">
      <c r="A543" s="1" t="s">
        <v>1641</v>
      </c>
      <c r="B543" s="1" t="s">
        <v>1642</v>
      </c>
      <c r="C543" s="1" t="s">
        <v>18</v>
      </c>
      <c r="D543" s="1" t="s">
        <v>117</v>
      </c>
      <c r="E543" s="1">
        <v>2007</v>
      </c>
      <c r="F543" s="1" t="s">
        <v>29</v>
      </c>
      <c r="G543" s="1" t="s">
        <v>1643</v>
      </c>
      <c r="H543" s="1">
        <v>119</v>
      </c>
      <c r="I543" s="1" t="s">
        <v>50</v>
      </c>
      <c r="J543" s="1">
        <v>7.4</v>
      </c>
      <c r="K543" s="1">
        <v>79.5</v>
      </c>
      <c r="L543" s="1" t="s">
        <v>65</v>
      </c>
      <c r="M543" s="1" t="s">
        <v>42</v>
      </c>
      <c r="N543" s="1" t="s">
        <v>86</v>
      </c>
      <c r="O543" s="1"/>
      <c r="P543" s="1">
        <v>85</v>
      </c>
      <c r="Q543" s="1">
        <v>259.89999999999998</v>
      </c>
      <c r="R543" s="8" t="str">
        <f>_xlfn.IFS(J543&gt;=8,"Hit",J543&gt;=6,"Average",J543&lt;6,"Flop")</f>
        <v>Average</v>
      </c>
      <c r="S543" s="9" t="str">
        <f>_xlfn.IFS(K543&gt;=400,"Blockbuster",K543&gt;=200,"Popular",K543&lt;200,"Normal")</f>
        <v>Normal</v>
      </c>
      <c r="T543" s="10" t="str">
        <f>IF(OR(I543="PG",I543="G"),"Yes","No")</f>
        <v>Yes</v>
      </c>
      <c r="U543" s="11" t="str">
        <f>IF(P543&gt;=100,"High","Low")</f>
        <v>Low</v>
      </c>
      <c r="V543" s="28">
        <f t="shared" si="16"/>
        <v>174.89999999999998</v>
      </c>
      <c r="W543" s="29">
        <f t="shared" si="17"/>
        <v>305.76470588235287</v>
      </c>
    </row>
    <row r="544" spans="1:23" x14ac:dyDescent="0.3">
      <c r="A544" s="1" t="s">
        <v>1644</v>
      </c>
      <c r="B544" s="1" t="s">
        <v>1645</v>
      </c>
      <c r="C544" s="1" t="s">
        <v>46</v>
      </c>
      <c r="D544" s="1" t="s">
        <v>117</v>
      </c>
      <c r="E544" s="1">
        <v>2012</v>
      </c>
      <c r="F544" s="1" t="s">
        <v>122</v>
      </c>
      <c r="G544" s="1" t="s">
        <v>707</v>
      </c>
      <c r="H544" s="1">
        <v>52</v>
      </c>
      <c r="I544" s="1" t="s">
        <v>50</v>
      </c>
      <c r="J544" s="1">
        <v>7.6</v>
      </c>
      <c r="K544" s="1">
        <v>201.9</v>
      </c>
      <c r="L544" s="1" t="s">
        <v>32</v>
      </c>
      <c r="M544" s="1" t="s">
        <v>124</v>
      </c>
      <c r="N544" s="1" t="s">
        <v>43</v>
      </c>
      <c r="O544" s="1">
        <v>8</v>
      </c>
      <c r="P544" s="1">
        <v>54</v>
      </c>
      <c r="Q544" s="1">
        <v>180.5</v>
      </c>
      <c r="R544" s="8" t="str">
        <f>_xlfn.IFS(J544&gt;=8,"Hit",J544&gt;=6,"Average",J544&lt;6,"Flop")</f>
        <v>Average</v>
      </c>
      <c r="S544" s="9" t="str">
        <f>_xlfn.IFS(K544&gt;=400,"Blockbuster",K544&gt;=200,"Popular",K544&lt;200,"Normal")</f>
        <v>Popular</v>
      </c>
      <c r="T544" s="10" t="str">
        <f>IF(OR(I544="PG",I544="G"),"Yes","No")</f>
        <v>Yes</v>
      </c>
      <c r="U544" s="11" t="str">
        <f>IF(P544&gt;=100,"High","Low")</f>
        <v>Low</v>
      </c>
      <c r="V544" s="28">
        <f t="shared" si="16"/>
        <v>126.5</v>
      </c>
      <c r="W544" s="29">
        <f t="shared" si="17"/>
        <v>334.25925925925924</v>
      </c>
    </row>
    <row r="545" spans="1:23" x14ac:dyDescent="0.3">
      <c r="A545" s="1" t="s">
        <v>1646</v>
      </c>
      <c r="B545" s="1" t="s">
        <v>1647</v>
      </c>
      <c r="C545" s="1" t="s">
        <v>46</v>
      </c>
      <c r="D545" s="1" t="s">
        <v>19</v>
      </c>
      <c r="E545" s="1">
        <v>2000</v>
      </c>
      <c r="F545" s="1" t="s">
        <v>29</v>
      </c>
      <c r="G545" s="1" t="s">
        <v>1116</v>
      </c>
      <c r="H545" s="1">
        <v>52</v>
      </c>
      <c r="I545" s="1" t="s">
        <v>50</v>
      </c>
      <c r="J545" s="1">
        <v>8.1999999999999993</v>
      </c>
      <c r="K545" s="1">
        <v>104.6</v>
      </c>
      <c r="L545" s="1" t="s">
        <v>71</v>
      </c>
      <c r="M545" s="1" t="s">
        <v>111</v>
      </c>
      <c r="N545" s="1" t="s">
        <v>34</v>
      </c>
      <c r="O545" s="1">
        <v>3</v>
      </c>
      <c r="P545" s="1">
        <v>63</v>
      </c>
      <c r="Q545" s="1">
        <v>113.1</v>
      </c>
      <c r="R545" s="8" t="str">
        <f>_xlfn.IFS(J545&gt;=8,"Hit",J545&gt;=6,"Average",J545&lt;6,"Flop")</f>
        <v>Hit</v>
      </c>
      <c r="S545" s="9" t="str">
        <f>_xlfn.IFS(K545&gt;=400,"Blockbuster",K545&gt;=200,"Popular",K545&lt;200,"Normal")</f>
        <v>Normal</v>
      </c>
      <c r="T545" s="10" t="str">
        <f>IF(OR(I545="PG",I545="G"),"Yes","No")</f>
        <v>Yes</v>
      </c>
      <c r="U545" s="11" t="str">
        <f>IF(P545&gt;=100,"High","Low")</f>
        <v>Low</v>
      </c>
      <c r="V545" s="28">
        <f t="shared" si="16"/>
        <v>50.099999999999994</v>
      </c>
      <c r="W545" s="29">
        <f t="shared" si="17"/>
        <v>179.52380952380952</v>
      </c>
    </row>
    <row r="546" spans="1:23" x14ac:dyDescent="0.3">
      <c r="A546" s="1" t="s">
        <v>1648</v>
      </c>
      <c r="B546" s="1" t="s">
        <v>1649</v>
      </c>
      <c r="C546" s="1" t="s">
        <v>18</v>
      </c>
      <c r="D546" s="1" t="s">
        <v>141</v>
      </c>
      <c r="E546" s="1">
        <v>2022</v>
      </c>
      <c r="F546" s="1" t="s">
        <v>83</v>
      </c>
      <c r="G546" s="1" t="s">
        <v>1650</v>
      </c>
      <c r="H546" s="1">
        <v>138</v>
      </c>
      <c r="I546" s="1" t="s">
        <v>31</v>
      </c>
      <c r="J546" s="1">
        <v>9.3000000000000007</v>
      </c>
      <c r="K546" s="1">
        <v>326.8</v>
      </c>
      <c r="L546" s="1" t="s">
        <v>90</v>
      </c>
      <c r="M546" s="1" t="s">
        <v>66</v>
      </c>
      <c r="N546" s="1" t="s">
        <v>158</v>
      </c>
      <c r="O546" s="1"/>
      <c r="P546" s="1">
        <v>149</v>
      </c>
      <c r="Q546" s="1">
        <v>482.7</v>
      </c>
      <c r="R546" s="8" t="str">
        <f>_xlfn.IFS(J546&gt;=8,"Hit",J546&gt;=6,"Average",J546&lt;6,"Flop")</f>
        <v>Hit</v>
      </c>
      <c r="S546" s="9" t="str">
        <f>_xlfn.IFS(K546&gt;=400,"Blockbuster",K546&gt;=200,"Popular",K546&lt;200,"Normal")</f>
        <v>Popular</v>
      </c>
      <c r="T546" s="10" t="str">
        <f>IF(OR(I546="PG",I546="G"),"Yes","No")</f>
        <v>No</v>
      </c>
      <c r="U546" s="11" t="str">
        <f>IF(P546&gt;=100,"High","Low")</f>
        <v>High</v>
      </c>
      <c r="V546" s="28">
        <f t="shared" si="16"/>
        <v>333.7</v>
      </c>
      <c r="W546" s="29">
        <f t="shared" si="17"/>
        <v>323.95973154362412</v>
      </c>
    </row>
    <row r="547" spans="1:23" x14ac:dyDescent="0.3">
      <c r="A547" s="1" t="s">
        <v>1651</v>
      </c>
      <c r="B547" s="1" t="s">
        <v>1652</v>
      </c>
      <c r="C547" s="1" t="s">
        <v>46</v>
      </c>
      <c r="D547" s="1" t="s">
        <v>37</v>
      </c>
      <c r="E547" s="1">
        <v>2020</v>
      </c>
      <c r="F547" s="1" t="s">
        <v>20</v>
      </c>
      <c r="G547" s="1" t="s">
        <v>1653</v>
      </c>
      <c r="H547" s="1">
        <v>39</v>
      </c>
      <c r="I547" s="1" t="s">
        <v>31</v>
      </c>
      <c r="J547" s="1">
        <v>5.2</v>
      </c>
      <c r="K547" s="1">
        <v>580.4</v>
      </c>
      <c r="L547" s="1" t="s">
        <v>65</v>
      </c>
      <c r="M547" s="1" t="s">
        <v>132</v>
      </c>
      <c r="N547" s="1" t="s">
        <v>119</v>
      </c>
      <c r="O547" s="1">
        <v>6</v>
      </c>
      <c r="P547" s="1">
        <v>101</v>
      </c>
      <c r="Q547" s="1">
        <v>140.6</v>
      </c>
      <c r="R547" s="8" t="str">
        <f>_xlfn.IFS(J547&gt;=8,"Hit",J547&gt;=6,"Average",J547&lt;6,"Flop")</f>
        <v>Flop</v>
      </c>
      <c r="S547" s="9" t="str">
        <f>_xlfn.IFS(K547&gt;=400,"Blockbuster",K547&gt;=200,"Popular",K547&lt;200,"Normal")</f>
        <v>Blockbuster</v>
      </c>
      <c r="T547" s="10" t="str">
        <f>IF(OR(I547="PG",I547="G"),"Yes","No")</f>
        <v>No</v>
      </c>
      <c r="U547" s="11" t="str">
        <f>IF(P547&gt;=100,"High","Low")</f>
        <v>High</v>
      </c>
      <c r="V547" s="28">
        <f t="shared" si="16"/>
        <v>39.599999999999994</v>
      </c>
      <c r="W547" s="29">
        <f t="shared" si="17"/>
        <v>139.20792079207919</v>
      </c>
    </row>
    <row r="548" spans="1:23" x14ac:dyDescent="0.3">
      <c r="A548" s="1" t="s">
        <v>1654</v>
      </c>
      <c r="B548" s="1" t="s">
        <v>1655</v>
      </c>
      <c r="C548" s="1" t="s">
        <v>46</v>
      </c>
      <c r="D548" s="1" t="s">
        <v>117</v>
      </c>
      <c r="E548" s="1">
        <v>2003</v>
      </c>
      <c r="F548" s="1" t="s">
        <v>48</v>
      </c>
      <c r="G548" s="1" t="s">
        <v>1656</v>
      </c>
      <c r="H548" s="1">
        <v>60</v>
      </c>
      <c r="I548" s="1" t="s">
        <v>50</v>
      </c>
      <c r="J548" s="1">
        <v>5.8</v>
      </c>
      <c r="K548" s="1">
        <v>318.5</v>
      </c>
      <c r="L548" s="1" t="s">
        <v>71</v>
      </c>
      <c r="M548" s="1" t="s">
        <v>85</v>
      </c>
      <c r="N548" s="1" t="s">
        <v>60</v>
      </c>
      <c r="O548" s="1">
        <v>7</v>
      </c>
      <c r="P548" s="1">
        <v>198</v>
      </c>
      <c r="Q548" s="1">
        <v>545.79999999999995</v>
      </c>
      <c r="R548" s="8" t="str">
        <f>_xlfn.IFS(J548&gt;=8,"Hit",J548&gt;=6,"Average",J548&lt;6,"Flop")</f>
        <v>Flop</v>
      </c>
      <c r="S548" s="9" t="str">
        <f>_xlfn.IFS(K548&gt;=400,"Blockbuster",K548&gt;=200,"Popular",K548&lt;200,"Normal")</f>
        <v>Popular</v>
      </c>
      <c r="T548" s="10" t="str">
        <f>IF(OR(I548="PG",I548="G"),"Yes","No")</f>
        <v>Yes</v>
      </c>
      <c r="U548" s="11" t="str">
        <f>IF(P548&gt;=100,"High","Low")</f>
        <v>High</v>
      </c>
      <c r="V548" s="28">
        <f t="shared" si="16"/>
        <v>347.79999999999995</v>
      </c>
      <c r="W548" s="29">
        <f t="shared" si="17"/>
        <v>275.65656565656565</v>
      </c>
    </row>
    <row r="549" spans="1:23" x14ac:dyDescent="0.3">
      <c r="A549" s="1" t="s">
        <v>1657</v>
      </c>
      <c r="B549" s="1" t="s">
        <v>1658</v>
      </c>
      <c r="C549" s="1" t="s">
        <v>18</v>
      </c>
      <c r="D549" s="1" t="s">
        <v>19</v>
      </c>
      <c r="E549" s="1">
        <v>2020</v>
      </c>
      <c r="F549" s="1" t="s">
        <v>48</v>
      </c>
      <c r="G549" s="1" t="s">
        <v>609</v>
      </c>
      <c r="H549" s="1">
        <v>169</v>
      </c>
      <c r="I549" s="1" t="s">
        <v>22</v>
      </c>
      <c r="J549" s="1">
        <v>6.1</v>
      </c>
      <c r="K549" s="1">
        <v>133.9</v>
      </c>
      <c r="L549" s="1" t="s">
        <v>41</v>
      </c>
      <c r="M549" s="1" t="s">
        <v>24</v>
      </c>
      <c r="N549" s="1" t="s">
        <v>128</v>
      </c>
      <c r="O549" s="1"/>
      <c r="P549" s="1">
        <v>20</v>
      </c>
      <c r="Q549" s="1">
        <v>53.7</v>
      </c>
      <c r="R549" s="8" t="str">
        <f>_xlfn.IFS(J549&gt;=8,"Hit",J549&gt;=6,"Average",J549&lt;6,"Flop")</f>
        <v>Average</v>
      </c>
      <c r="S549" s="9" t="str">
        <f>_xlfn.IFS(K549&gt;=400,"Blockbuster",K549&gt;=200,"Popular",K549&lt;200,"Normal")</f>
        <v>Normal</v>
      </c>
      <c r="T549" s="10" t="str">
        <f>IF(OR(I549="PG",I549="G"),"Yes","No")</f>
        <v>No</v>
      </c>
      <c r="U549" s="11" t="str">
        <f>IF(P549&gt;=100,"High","Low")</f>
        <v>Low</v>
      </c>
      <c r="V549" s="28">
        <f t="shared" si="16"/>
        <v>33.700000000000003</v>
      </c>
      <c r="W549" s="29">
        <f t="shared" si="17"/>
        <v>268.5</v>
      </c>
    </row>
    <row r="550" spans="1:23" x14ac:dyDescent="0.3">
      <c r="A550" s="1" t="s">
        <v>1659</v>
      </c>
      <c r="B550" s="1" t="s">
        <v>1660</v>
      </c>
      <c r="C550" s="1" t="s">
        <v>18</v>
      </c>
      <c r="D550" s="1" t="s">
        <v>117</v>
      </c>
      <c r="E550" s="1">
        <v>2016</v>
      </c>
      <c r="F550" s="1" t="s">
        <v>83</v>
      </c>
      <c r="G550" s="1" t="s">
        <v>653</v>
      </c>
      <c r="H550" s="1">
        <v>152</v>
      </c>
      <c r="I550" s="1" t="s">
        <v>22</v>
      </c>
      <c r="J550" s="1">
        <v>6.9</v>
      </c>
      <c r="K550" s="1">
        <v>583</v>
      </c>
      <c r="L550" s="1" t="s">
        <v>71</v>
      </c>
      <c r="M550" s="1" t="s">
        <v>85</v>
      </c>
      <c r="N550" s="1" t="s">
        <v>153</v>
      </c>
      <c r="O550" s="1"/>
      <c r="P550" s="1">
        <v>11</v>
      </c>
      <c r="Q550" s="1">
        <v>42.6</v>
      </c>
      <c r="R550" s="8" t="str">
        <f>_xlfn.IFS(J550&gt;=8,"Hit",J550&gt;=6,"Average",J550&lt;6,"Flop")</f>
        <v>Average</v>
      </c>
      <c r="S550" s="9" t="str">
        <f>_xlfn.IFS(K550&gt;=400,"Blockbuster",K550&gt;=200,"Popular",K550&lt;200,"Normal")</f>
        <v>Blockbuster</v>
      </c>
      <c r="T550" s="10" t="str">
        <f>IF(OR(I550="PG",I550="G"),"Yes","No")</f>
        <v>No</v>
      </c>
      <c r="U550" s="11" t="str">
        <f>IF(P550&gt;=100,"High","Low")</f>
        <v>Low</v>
      </c>
      <c r="V550" s="28">
        <f t="shared" si="16"/>
        <v>31.6</v>
      </c>
      <c r="W550" s="29">
        <f t="shared" si="17"/>
        <v>387.27272727272731</v>
      </c>
    </row>
    <row r="551" spans="1:23" x14ac:dyDescent="0.3">
      <c r="A551" s="1" t="s">
        <v>1661</v>
      </c>
      <c r="B551" s="1" t="s">
        <v>1662</v>
      </c>
      <c r="C551" s="1" t="s">
        <v>46</v>
      </c>
      <c r="D551" s="1" t="s">
        <v>94</v>
      </c>
      <c r="E551" s="1">
        <v>2018</v>
      </c>
      <c r="F551" s="1" t="s">
        <v>122</v>
      </c>
      <c r="G551" s="1" t="s">
        <v>1565</v>
      </c>
      <c r="H551" s="1">
        <v>45</v>
      </c>
      <c r="I551" s="1" t="s">
        <v>31</v>
      </c>
      <c r="J551" s="1">
        <v>7.5</v>
      </c>
      <c r="K551" s="1">
        <v>226.2</v>
      </c>
      <c r="L551" s="1" t="s">
        <v>41</v>
      </c>
      <c r="M551" s="1" t="s">
        <v>66</v>
      </c>
      <c r="N551" s="1" t="s">
        <v>25</v>
      </c>
      <c r="O551" s="1">
        <v>5</v>
      </c>
      <c r="P551" s="1">
        <v>86</v>
      </c>
      <c r="Q551" s="1">
        <v>224.6</v>
      </c>
      <c r="R551" s="8" t="str">
        <f>_xlfn.IFS(J551&gt;=8,"Hit",J551&gt;=6,"Average",J551&lt;6,"Flop")</f>
        <v>Average</v>
      </c>
      <c r="S551" s="9" t="str">
        <f>_xlfn.IFS(K551&gt;=400,"Blockbuster",K551&gt;=200,"Popular",K551&lt;200,"Normal")</f>
        <v>Popular</v>
      </c>
      <c r="T551" s="10" t="str">
        <f>IF(OR(I551="PG",I551="G"),"Yes","No")</f>
        <v>No</v>
      </c>
      <c r="U551" s="11" t="str">
        <f>IF(P551&gt;=100,"High","Low")</f>
        <v>Low</v>
      </c>
      <c r="V551" s="28">
        <f t="shared" si="16"/>
        <v>138.6</v>
      </c>
      <c r="W551" s="29">
        <f t="shared" si="17"/>
        <v>261.16279069767444</v>
      </c>
    </row>
    <row r="552" spans="1:23" x14ac:dyDescent="0.3">
      <c r="A552" s="1" t="s">
        <v>1663</v>
      </c>
      <c r="B552" s="1" t="s">
        <v>1664</v>
      </c>
      <c r="C552" s="1" t="s">
        <v>18</v>
      </c>
      <c r="D552" s="1" t="s">
        <v>63</v>
      </c>
      <c r="E552" s="1">
        <v>2022</v>
      </c>
      <c r="F552" s="1" t="s">
        <v>122</v>
      </c>
      <c r="G552" s="1" t="s">
        <v>1665</v>
      </c>
      <c r="H552" s="1">
        <v>174</v>
      </c>
      <c r="I552" s="1" t="s">
        <v>40</v>
      </c>
      <c r="J552" s="1">
        <v>8.1999999999999993</v>
      </c>
      <c r="K552" s="1">
        <v>564.4</v>
      </c>
      <c r="L552" s="1" t="s">
        <v>65</v>
      </c>
      <c r="M552" s="1" t="s">
        <v>42</v>
      </c>
      <c r="N552" s="1" t="s">
        <v>158</v>
      </c>
      <c r="O552" s="1"/>
      <c r="P552" s="1">
        <v>180</v>
      </c>
      <c r="Q552" s="1">
        <v>945.3</v>
      </c>
      <c r="R552" s="8" t="str">
        <f>_xlfn.IFS(J552&gt;=8,"Hit",J552&gt;=6,"Average",J552&lt;6,"Flop")</f>
        <v>Hit</v>
      </c>
      <c r="S552" s="9" t="str">
        <f>_xlfn.IFS(K552&gt;=400,"Blockbuster",K552&gt;=200,"Popular",K552&lt;200,"Normal")</f>
        <v>Blockbuster</v>
      </c>
      <c r="T552" s="10" t="str">
        <f>IF(OR(I552="PG",I552="G"),"Yes","No")</f>
        <v>Yes</v>
      </c>
      <c r="U552" s="11" t="str">
        <f>IF(P552&gt;=100,"High","Low")</f>
        <v>High</v>
      </c>
      <c r="V552" s="28">
        <f t="shared" si="16"/>
        <v>765.3</v>
      </c>
      <c r="W552" s="29">
        <f t="shared" si="17"/>
        <v>525.16666666666663</v>
      </c>
    </row>
    <row r="553" spans="1:23" x14ac:dyDescent="0.3">
      <c r="A553" s="1" t="s">
        <v>1666</v>
      </c>
      <c r="B553" s="1" t="s">
        <v>1667</v>
      </c>
      <c r="C553" s="1" t="s">
        <v>18</v>
      </c>
      <c r="D553" s="1" t="s">
        <v>63</v>
      </c>
      <c r="E553" s="1">
        <v>2021</v>
      </c>
      <c r="F553" s="1" t="s">
        <v>48</v>
      </c>
      <c r="G553" s="1" t="s">
        <v>1668</v>
      </c>
      <c r="H553" s="1">
        <v>91</v>
      </c>
      <c r="I553" s="1" t="s">
        <v>40</v>
      </c>
      <c r="J553" s="1">
        <v>4.7</v>
      </c>
      <c r="K553" s="1">
        <v>24.1</v>
      </c>
      <c r="L553" s="1" t="s">
        <v>65</v>
      </c>
      <c r="M553" s="1" t="s">
        <v>132</v>
      </c>
      <c r="N553" s="1" t="s">
        <v>128</v>
      </c>
      <c r="O553" s="1"/>
      <c r="P553" s="1">
        <v>65</v>
      </c>
      <c r="Q553" s="1">
        <v>355.9</v>
      </c>
      <c r="R553" s="8" t="str">
        <f>_xlfn.IFS(J553&gt;=8,"Hit",J553&gt;=6,"Average",J553&lt;6,"Flop")</f>
        <v>Flop</v>
      </c>
      <c r="S553" s="9" t="str">
        <f>_xlfn.IFS(K553&gt;=400,"Blockbuster",K553&gt;=200,"Popular",K553&lt;200,"Normal")</f>
        <v>Normal</v>
      </c>
      <c r="T553" s="10" t="str">
        <f>IF(OR(I553="PG",I553="G"),"Yes","No")</f>
        <v>Yes</v>
      </c>
      <c r="U553" s="11" t="str">
        <f>IF(P553&gt;=100,"High","Low")</f>
        <v>Low</v>
      </c>
      <c r="V553" s="28">
        <f t="shared" si="16"/>
        <v>290.89999999999998</v>
      </c>
      <c r="W553" s="29">
        <f t="shared" si="17"/>
        <v>547.53846153846155</v>
      </c>
    </row>
    <row r="554" spans="1:23" x14ac:dyDescent="0.3">
      <c r="A554" s="1" t="s">
        <v>1669</v>
      </c>
      <c r="B554" s="1" t="s">
        <v>1670</v>
      </c>
      <c r="C554" s="1" t="s">
        <v>46</v>
      </c>
      <c r="D554" s="1" t="s">
        <v>141</v>
      </c>
      <c r="E554" s="1">
        <v>2021</v>
      </c>
      <c r="F554" s="1" t="s">
        <v>20</v>
      </c>
      <c r="G554" s="1" t="s">
        <v>334</v>
      </c>
      <c r="H554" s="1">
        <v>54</v>
      </c>
      <c r="I554" s="1" t="s">
        <v>40</v>
      </c>
      <c r="J554" s="1">
        <v>5</v>
      </c>
      <c r="K554" s="1">
        <v>458.1</v>
      </c>
      <c r="L554" s="1" t="s">
        <v>65</v>
      </c>
      <c r="M554" s="1" t="s">
        <v>146</v>
      </c>
      <c r="N554" s="1" t="s">
        <v>34</v>
      </c>
      <c r="O554" s="1">
        <v>6</v>
      </c>
      <c r="P554" s="1">
        <v>177</v>
      </c>
      <c r="Q554" s="1">
        <v>534.6</v>
      </c>
      <c r="R554" s="8" t="str">
        <f>_xlfn.IFS(J554&gt;=8,"Hit",J554&gt;=6,"Average",J554&lt;6,"Flop")</f>
        <v>Flop</v>
      </c>
      <c r="S554" s="9" t="str">
        <f>_xlfn.IFS(K554&gt;=400,"Blockbuster",K554&gt;=200,"Popular",K554&lt;200,"Normal")</f>
        <v>Blockbuster</v>
      </c>
      <c r="T554" s="10" t="str">
        <f>IF(OR(I554="PG",I554="G"),"Yes","No")</f>
        <v>Yes</v>
      </c>
      <c r="U554" s="11" t="str">
        <f>IF(P554&gt;=100,"High","Low")</f>
        <v>High</v>
      </c>
      <c r="V554" s="28">
        <f t="shared" si="16"/>
        <v>357.6</v>
      </c>
      <c r="W554" s="29">
        <f t="shared" si="17"/>
        <v>302.03389830508473</v>
      </c>
    </row>
    <row r="555" spans="1:23" x14ac:dyDescent="0.3">
      <c r="A555" s="1" t="s">
        <v>1671</v>
      </c>
      <c r="B555" s="1" t="s">
        <v>1672</v>
      </c>
      <c r="C555" s="1" t="s">
        <v>18</v>
      </c>
      <c r="D555" s="1" t="s">
        <v>82</v>
      </c>
      <c r="E555" s="1">
        <v>2023</v>
      </c>
      <c r="F555" s="1" t="s">
        <v>100</v>
      </c>
      <c r="G555" s="1" t="s">
        <v>1673</v>
      </c>
      <c r="H555" s="1">
        <v>141</v>
      </c>
      <c r="I555" s="1" t="s">
        <v>22</v>
      </c>
      <c r="J555" s="1">
        <v>6.5</v>
      </c>
      <c r="K555" s="1">
        <v>580.20000000000005</v>
      </c>
      <c r="L555" s="1" t="s">
        <v>71</v>
      </c>
      <c r="M555" s="1" t="s">
        <v>54</v>
      </c>
      <c r="N555" s="1" t="s">
        <v>43</v>
      </c>
      <c r="O555" s="1"/>
      <c r="P555" s="1">
        <v>14</v>
      </c>
      <c r="Q555" s="1">
        <v>60.5</v>
      </c>
      <c r="R555" s="8" t="str">
        <f>_xlfn.IFS(J555&gt;=8,"Hit",J555&gt;=6,"Average",J555&lt;6,"Flop")</f>
        <v>Average</v>
      </c>
      <c r="S555" s="9" t="str">
        <f>_xlfn.IFS(K555&gt;=400,"Blockbuster",K555&gt;=200,"Popular",K555&lt;200,"Normal")</f>
        <v>Blockbuster</v>
      </c>
      <c r="T555" s="10" t="str">
        <f>IF(OR(I555="PG",I555="G"),"Yes","No")</f>
        <v>No</v>
      </c>
      <c r="U555" s="11" t="str">
        <f>IF(P555&gt;=100,"High","Low")</f>
        <v>Low</v>
      </c>
      <c r="V555" s="28">
        <f t="shared" si="16"/>
        <v>46.5</v>
      </c>
      <c r="W555" s="29">
        <f t="shared" si="17"/>
        <v>432.14285714285711</v>
      </c>
    </row>
    <row r="556" spans="1:23" x14ac:dyDescent="0.3">
      <c r="A556" s="1" t="s">
        <v>1674</v>
      </c>
      <c r="B556" s="1" t="s">
        <v>1675</v>
      </c>
      <c r="C556" s="1" t="s">
        <v>18</v>
      </c>
      <c r="D556" s="1" t="s">
        <v>75</v>
      </c>
      <c r="E556" s="1">
        <v>2022</v>
      </c>
      <c r="F556" s="1" t="s">
        <v>100</v>
      </c>
      <c r="G556" s="1" t="s">
        <v>1676</v>
      </c>
      <c r="H556" s="1">
        <v>150</v>
      </c>
      <c r="I556" s="1" t="s">
        <v>22</v>
      </c>
      <c r="J556" s="1">
        <v>5.5</v>
      </c>
      <c r="K556" s="1">
        <v>258.2</v>
      </c>
      <c r="L556" s="1" t="s">
        <v>23</v>
      </c>
      <c r="M556" s="1" t="s">
        <v>124</v>
      </c>
      <c r="N556" s="1" t="s">
        <v>91</v>
      </c>
      <c r="O556" s="1"/>
      <c r="P556" s="1">
        <v>181</v>
      </c>
      <c r="Q556" s="1">
        <v>772.3</v>
      </c>
      <c r="R556" s="8" t="str">
        <f>_xlfn.IFS(J556&gt;=8,"Hit",J556&gt;=6,"Average",J556&lt;6,"Flop")</f>
        <v>Flop</v>
      </c>
      <c r="S556" s="9" t="str">
        <f>_xlfn.IFS(K556&gt;=400,"Blockbuster",K556&gt;=200,"Popular",K556&lt;200,"Normal")</f>
        <v>Popular</v>
      </c>
      <c r="T556" s="10" t="str">
        <f>IF(OR(I556="PG",I556="G"),"Yes","No")</f>
        <v>No</v>
      </c>
      <c r="U556" s="11" t="str">
        <f>IF(P556&gt;=100,"High","Low")</f>
        <v>High</v>
      </c>
      <c r="V556" s="28">
        <f t="shared" si="16"/>
        <v>591.29999999999995</v>
      </c>
      <c r="W556" s="29">
        <f t="shared" si="17"/>
        <v>426.68508287292815</v>
      </c>
    </row>
    <row r="557" spans="1:23" x14ac:dyDescent="0.3">
      <c r="A557" s="1" t="s">
        <v>1677</v>
      </c>
      <c r="B557" s="1" t="s">
        <v>1678</v>
      </c>
      <c r="C557" s="1" t="s">
        <v>46</v>
      </c>
      <c r="D557" s="1" t="s">
        <v>28</v>
      </c>
      <c r="E557" s="1">
        <v>2009</v>
      </c>
      <c r="F557" s="1" t="s">
        <v>29</v>
      </c>
      <c r="G557" s="1" t="s">
        <v>1679</v>
      </c>
      <c r="H557" s="1">
        <v>30</v>
      </c>
      <c r="I557" s="1" t="s">
        <v>22</v>
      </c>
      <c r="J557" s="1">
        <v>7.9</v>
      </c>
      <c r="K557" s="1">
        <v>226.7</v>
      </c>
      <c r="L557" s="1" t="s">
        <v>23</v>
      </c>
      <c r="M557" s="1" t="s">
        <v>132</v>
      </c>
      <c r="N557" s="1" t="s">
        <v>34</v>
      </c>
      <c r="O557" s="1">
        <v>7</v>
      </c>
      <c r="P557" s="1">
        <v>189</v>
      </c>
      <c r="Q557" s="1">
        <v>890.8</v>
      </c>
      <c r="R557" s="8" t="str">
        <f>_xlfn.IFS(J557&gt;=8,"Hit",J557&gt;=6,"Average",J557&lt;6,"Flop")</f>
        <v>Average</v>
      </c>
      <c r="S557" s="9" t="str">
        <f>_xlfn.IFS(K557&gt;=400,"Blockbuster",K557&gt;=200,"Popular",K557&lt;200,"Normal")</f>
        <v>Popular</v>
      </c>
      <c r="T557" s="10" t="str">
        <f>IF(OR(I557="PG",I557="G"),"Yes","No")</f>
        <v>No</v>
      </c>
      <c r="U557" s="11" t="str">
        <f>IF(P557&gt;=100,"High","Low")</f>
        <v>High</v>
      </c>
      <c r="V557" s="28">
        <f t="shared" si="16"/>
        <v>701.8</v>
      </c>
      <c r="W557" s="29">
        <f t="shared" si="17"/>
        <v>471.32275132275129</v>
      </c>
    </row>
    <row r="558" spans="1:23" x14ac:dyDescent="0.3">
      <c r="A558" s="1" t="s">
        <v>1680</v>
      </c>
      <c r="B558" s="1" t="s">
        <v>1681</v>
      </c>
      <c r="C558" s="1" t="s">
        <v>18</v>
      </c>
      <c r="D558" s="1" t="s">
        <v>37</v>
      </c>
      <c r="E558" s="1">
        <v>2018</v>
      </c>
      <c r="F558" s="1" t="s">
        <v>95</v>
      </c>
      <c r="G558" s="1" t="s">
        <v>1521</v>
      </c>
      <c r="H558" s="1">
        <v>165</v>
      </c>
      <c r="I558" s="1" t="s">
        <v>50</v>
      </c>
      <c r="J558" s="1">
        <v>7.2</v>
      </c>
      <c r="K558" s="1">
        <v>589.6</v>
      </c>
      <c r="L558" s="1" t="s">
        <v>32</v>
      </c>
      <c r="M558" s="1" t="s">
        <v>54</v>
      </c>
      <c r="N558" s="1" t="s">
        <v>25</v>
      </c>
      <c r="O558" s="1"/>
      <c r="P558" s="1">
        <v>77</v>
      </c>
      <c r="Q558" s="1">
        <v>111.4</v>
      </c>
      <c r="R558" s="8" t="str">
        <f>_xlfn.IFS(J558&gt;=8,"Hit",J558&gt;=6,"Average",J558&lt;6,"Flop")</f>
        <v>Average</v>
      </c>
      <c r="S558" s="9" t="str">
        <f>_xlfn.IFS(K558&gt;=400,"Blockbuster",K558&gt;=200,"Popular",K558&lt;200,"Normal")</f>
        <v>Blockbuster</v>
      </c>
      <c r="T558" s="10" t="str">
        <f>IF(OR(I558="PG",I558="G"),"Yes","No")</f>
        <v>Yes</v>
      </c>
      <c r="U558" s="11" t="str">
        <f>IF(P558&gt;=100,"High","Low")</f>
        <v>Low</v>
      </c>
      <c r="V558" s="28">
        <f t="shared" si="16"/>
        <v>34.400000000000006</v>
      </c>
      <c r="W558" s="29">
        <f t="shared" si="17"/>
        <v>144.6753246753247</v>
      </c>
    </row>
    <row r="559" spans="1:23" x14ac:dyDescent="0.3">
      <c r="A559" s="1" t="s">
        <v>1682</v>
      </c>
      <c r="B559" s="1" t="s">
        <v>1683</v>
      </c>
      <c r="C559" s="1" t="s">
        <v>46</v>
      </c>
      <c r="D559" s="1" t="s">
        <v>82</v>
      </c>
      <c r="E559" s="1">
        <v>2004</v>
      </c>
      <c r="F559" s="1" t="s">
        <v>95</v>
      </c>
      <c r="G559" s="1" t="s">
        <v>1684</v>
      </c>
      <c r="H559" s="1">
        <v>50</v>
      </c>
      <c r="I559" s="1" t="s">
        <v>31</v>
      </c>
      <c r="J559" s="1">
        <v>5.6</v>
      </c>
      <c r="K559" s="1">
        <v>15.7</v>
      </c>
      <c r="L559" s="1" t="s">
        <v>65</v>
      </c>
      <c r="M559" s="1" t="s">
        <v>24</v>
      </c>
      <c r="N559" s="1" t="s">
        <v>102</v>
      </c>
      <c r="O559" s="1">
        <v>4</v>
      </c>
      <c r="P559" s="1">
        <v>8</v>
      </c>
      <c r="Q559" s="1">
        <v>48.7</v>
      </c>
      <c r="R559" s="8" t="str">
        <f>_xlfn.IFS(J559&gt;=8,"Hit",J559&gt;=6,"Average",J559&lt;6,"Flop")</f>
        <v>Flop</v>
      </c>
      <c r="S559" s="9" t="str">
        <f>_xlfn.IFS(K559&gt;=400,"Blockbuster",K559&gt;=200,"Popular",K559&lt;200,"Normal")</f>
        <v>Normal</v>
      </c>
      <c r="T559" s="10" t="str">
        <f>IF(OR(I559="PG",I559="G"),"Yes","No")</f>
        <v>No</v>
      </c>
      <c r="U559" s="11" t="str">
        <f>IF(P559&gt;=100,"High","Low")</f>
        <v>Low</v>
      </c>
      <c r="V559" s="28">
        <f t="shared" si="16"/>
        <v>40.700000000000003</v>
      </c>
      <c r="W559" s="29">
        <f t="shared" si="17"/>
        <v>608.75</v>
      </c>
    </row>
    <row r="560" spans="1:23" x14ac:dyDescent="0.3">
      <c r="A560" s="1" t="s">
        <v>1685</v>
      </c>
      <c r="B560" s="1" t="s">
        <v>1686</v>
      </c>
      <c r="C560" s="1" t="s">
        <v>18</v>
      </c>
      <c r="D560" s="1" t="s">
        <v>82</v>
      </c>
      <c r="E560" s="1">
        <v>2016</v>
      </c>
      <c r="F560" s="1" t="s">
        <v>38</v>
      </c>
      <c r="G560" s="1" t="s">
        <v>1687</v>
      </c>
      <c r="H560" s="1">
        <v>92</v>
      </c>
      <c r="I560" s="1" t="s">
        <v>31</v>
      </c>
      <c r="J560" s="1">
        <v>8.6</v>
      </c>
      <c r="K560" s="1">
        <v>407.3</v>
      </c>
      <c r="L560" s="1" t="s">
        <v>171</v>
      </c>
      <c r="M560" s="1" t="s">
        <v>54</v>
      </c>
      <c r="N560" s="1" t="s">
        <v>67</v>
      </c>
      <c r="O560" s="1"/>
      <c r="P560" s="1">
        <v>22</v>
      </c>
      <c r="Q560" s="1">
        <v>59</v>
      </c>
      <c r="R560" s="8" t="str">
        <f>_xlfn.IFS(J560&gt;=8,"Hit",J560&gt;=6,"Average",J560&lt;6,"Flop")</f>
        <v>Hit</v>
      </c>
      <c r="S560" s="9" t="str">
        <f>_xlfn.IFS(K560&gt;=400,"Blockbuster",K560&gt;=200,"Popular",K560&lt;200,"Normal")</f>
        <v>Blockbuster</v>
      </c>
      <c r="T560" s="10" t="str">
        <f>IF(OR(I560="PG",I560="G"),"Yes","No")</f>
        <v>No</v>
      </c>
      <c r="U560" s="11" t="str">
        <f>IF(P560&gt;=100,"High","Low")</f>
        <v>Low</v>
      </c>
      <c r="V560" s="28">
        <f t="shared" si="16"/>
        <v>37</v>
      </c>
      <c r="W560" s="29">
        <f t="shared" si="17"/>
        <v>268.18181818181819</v>
      </c>
    </row>
    <row r="561" spans="1:23" x14ac:dyDescent="0.3">
      <c r="A561" s="1" t="s">
        <v>1688</v>
      </c>
      <c r="B561" s="1" t="s">
        <v>1689</v>
      </c>
      <c r="C561" s="1" t="s">
        <v>46</v>
      </c>
      <c r="D561" s="1" t="s">
        <v>94</v>
      </c>
      <c r="E561" s="1">
        <v>2011</v>
      </c>
      <c r="F561" s="1" t="s">
        <v>95</v>
      </c>
      <c r="G561" s="1" t="s">
        <v>656</v>
      </c>
      <c r="H561" s="1">
        <v>35</v>
      </c>
      <c r="I561" s="1" t="s">
        <v>31</v>
      </c>
      <c r="J561" s="1">
        <v>9.1</v>
      </c>
      <c r="K561" s="1">
        <v>499.7</v>
      </c>
      <c r="L561" s="1" t="s">
        <v>23</v>
      </c>
      <c r="M561" s="1" t="s">
        <v>146</v>
      </c>
      <c r="N561" s="1" t="s">
        <v>60</v>
      </c>
      <c r="O561" s="1">
        <v>1</v>
      </c>
      <c r="P561" s="1">
        <v>47</v>
      </c>
      <c r="Q561" s="1">
        <v>155.9</v>
      </c>
      <c r="R561" s="8" t="str">
        <f>_xlfn.IFS(J561&gt;=8,"Hit",J561&gt;=6,"Average",J561&lt;6,"Flop")</f>
        <v>Hit</v>
      </c>
      <c r="S561" s="9" t="str">
        <f>_xlfn.IFS(K561&gt;=400,"Blockbuster",K561&gt;=200,"Popular",K561&lt;200,"Normal")</f>
        <v>Blockbuster</v>
      </c>
      <c r="T561" s="10" t="str">
        <f>IF(OR(I561="PG",I561="G"),"Yes","No")</f>
        <v>No</v>
      </c>
      <c r="U561" s="11" t="str">
        <f>IF(P561&gt;=100,"High","Low")</f>
        <v>Low</v>
      </c>
      <c r="V561" s="28">
        <f t="shared" si="16"/>
        <v>108.9</v>
      </c>
      <c r="W561" s="29">
        <f t="shared" si="17"/>
        <v>331.7021276595745</v>
      </c>
    </row>
    <row r="562" spans="1:23" x14ac:dyDescent="0.3">
      <c r="A562" s="1" t="s">
        <v>1690</v>
      </c>
      <c r="B562" s="1" t="s">
        <v>1691</v>
      </c>
      <c r="C562" s="1" t="s">
        <v>46</v>
      </c>
      <c r="D562" s="1" t="s">
        <v>94</v>
      </c>
      <c r="E562" s="1">
        <v>2022</v>
      </c>
      <c r="F562" s="1" t="s">
        <v>122</v>
      </c>
      <c r="G562" s="1" t="s">
        <v>59</v>
      </c>
      <c r="H562" s="1">
        <v>52</v>
      </c>
      <c r="I562" s="1" t="s">
        <v>31</v>
      </c>
      <c r="J562" s="1">
        <v>7.5</v>
      </c>
      <c r="K562" s="1">
        <v>591.79999999999995</v>
      </c>
      <c r="L562" s="1" t="s">
        <v>171</v>
      </c>
      <c r="M562" s="1" t="s">
        <v>66</v>
      </c>
      <c r="N562" s="1" t="s">
        <v>55</v>
      </c>
      <c r="O562" s="1">
        <v>5</v>
      </c>
      <c r="P562" s="1">
        <v>123</v>
      </c>
      <c r="Q562" s="1">
        <v>560.5</v>
      </c>
      <c r="R562" s="8" t="str">
        <f>_xlfn.IFS(J562&gt;=8,"Hit",J562&gt;=6,"Average",J562&lt;6,"Flop")</f>
        <v>Average</v>
      </c>
      <c r="S562" s="9" t="str">
        <f>_xlfn.IFS(K562&gt;=400,"Blockbuster",K562&gt;=200,"Popular",K562&lt;200,"Normal")</f>
        <v>Blockbuster</v>
      </c>
      <c r="T562" s="10" t="str">
        <f>IF(OR(I562="PG",I562="G"),"Yes","No")</f>
        <v>No</v>
      </c>
      <c r="U562" s="11" t="str">
        <f>IF(P562&gt;=100,"High","Low")</f>
        <v>High</v>
      </c>
      <c r="V562" s="28">
        <f t="shared" si="16"/>
        <v>437.5</v>
      </c>
      <c r="W562" s="29">
        <f t="shared" si="17"/>
        <v>455.6910569105691</v>
      </c>
    </row>
    <row r="563" spans="1:23" x14ac:dyDescent="0.3">
      <c r="A563" s="1" t="s">
        <v>1692</v>
      </c>
      <c r="B563" s="1" t="s">
        <v>1693</v>
      </c>
      <c r="C563" s="1" t="s">
        <v>18</v>
      </c>
      <c r="D563" s="1" t="s">
        <v>75</v>
      </c>
      <c r="E563" s="1">
        <v>2017</v>
      </c>
      <c r="F563" s="1" t="s">
        <v>48</v>
      </c>
      <c r="G563" s="1" t="s">
        <v>1694</v>
      </c>
      <c r="H563" s="1">
        <v>151</v>
      </c>
      <c r="I563" s="1" t="s">
        <v>22</v>
      </c>
      <c r="J563" s="1">
        <v>8.4</v>
      </c>
      <c r="K563" s="1">
        <v>275</v>
      </c>
      <c r="L563" s="1" t="s">
        <v>171</v>
      </c>
      <c r="M563" s="1" t="s">
        <v>146</v>
      </c>
      <c r="N563" s="1" t="s">
        <v>158</v>
      </c>
      <c r="O563" s="1"/>
      <c r="P563" s="1">
        <v>163</v>
      </c>
      <c r="Q563" s="1">
        <v>321.60000000000002</v>
      </c>
      <c r="R563" s="8" t="str">
        <f>_xlfn.IFS(J563&gt;=8,"Hit",J563&gt;=6,"Average",J563&lt;6,"Flop")</f>
        <v>Hit</v>
      </c>
      <c r="S563" s="9" t="str">
        <f>_xlfn.IFS(K563&gt;=400,"Blockbuster",K563&gt;=200,"Popular",K563&lt;200,"Normal")</f>
        <v>Popular</v>
      </c>
      <c r="T563" s="10" t="str">
        <f>IF(OR(I563="PG",I563="G"),"Yes","No")</f>
        <v>No</v>
      </c>
      <c r="U563" s="11" t="str">
        <f>IF(P563&gt;=100,"High","Low")</f>
        <v>High</v>
      </c>
      <c r="V563" s="28">
        <f t="shared" si="16"/>
        <v>158.60000000000002</v>
      </c>
      <c r="W563" s="29">
        <f t="shared" si="17"/>
        <v>197.30061349693253</v>
      </c>
    </row>
    <row r="564" spans="1:23" x14ac:dyDescent="0.3">
      <c r="A564" s="1" t="s">
        <v>1695</v>
      </c>
      <c r="B564" s="1" t="s">
        <v>1696</v>
      </c>
      <c r="C564" s="1" t="s">
        <v>46</v>
      </c>
      <c r="D564" s="1" t="s">
        <v>47</v>
      </c>
      <c r="E564" s="1">
        <v>2021</v>
      </c>
      <c r="F564" s="1" t="s">
        <v>100</v>
      </c>
      <c r="G564" s="1" t="s">
        <v>1697</v>
      </c>
      <c r="H564" s="1">
        <v>53</v>
      </c>
      <c r="I564" s="1" t="s">
        <v>50</v>
      </c>
      <c r="J564" s="1">
        <v>7.3</v>
      </c>
      <c r="K564" s="1">
        <v>333.3</v>
      </c>
      <c r="L564" s="1" t="s">
        <v>32</v>
      </c>
      <c r="M564" s="1" t="s">
        <v>97</v>
      </c>
      <c r="N564" s="1" t="s">
        <v>79</v>
      </c>
      <c r="O564" s="1">
        <v>2</v>
      </c>
      <c r="P564" s="1">
        <v>56</v>
      </c>
      <c r="Q564" s="1">
        <v>94.2</v>
      </c>
      <c r="R564" s="8" t="str">
        <f>_xlfn.IFS(J564&gt;=8,"Hit",J564&gt;=6,"Average",J564&lt;6,"Flop")</f>
        <v>Average</v>
      </c>
      <c r="S564" s="9" t="str">
        <f>_xlfn.IFS(K564&gt;=400,"Blockbuster",K564&gt;=200,"Popular",K564&lt;200,"Normal")</f>
        <v>Popular</v>
      </c>
      <c r="T564" s="10" t="str">
        <f>IF(OR(I564="PG",I564="G"),"Yes","No")</f>
        <v>Yes</v>
      </c>
      <c r="U564" s="11" t="str">
        <f>IF(P564&gt;=100,"High","Low")</f>
        <v>Low</v>
      </c>
      <c r="V564" s="28">
        <f t="shared" si="16"/>
        <v>38.200000000000003</v>
      </c>
      <c r="W564" s="29">
        <f t="shared" si="17"/>
        <v>168.21428571428572</v>
      </c>
    </row>
    <row r="565" spans="1:23" x14ac:dyDescent="0.3">
      <c r="A565" s="1" t="s">
        <v>1698</v>
      </c>
      <c r="B565" s="1" t="s">
        <v>1699</v>
      </c>
      <c r="C565" s="1" t="s">
        <v>18</v>
      </c>
      <c r="D565" s="1" t="s">
        <v>58</v>
      </c>
      <c r="E565" s="1">
        <v>2011</v>
      </c>
      <c r="F565" s="1" t="s">
        <v>20</v>
      </c>
      <c r="G565" s="1" t="s">
        <v>1700</v>
      </c>
      <c r="H565" s="1">
        <v>162</v>
      </c>
      <c r="I565" s="1" t="s">
        <v>40</v>
      </c>
      <c r="J565" s="1">
        <v>5</v>
      </c>
      <c r="K565" s="1">
        <v>241.4</v>
      </c>
      <c r="L565" s="1" t="s">
        <v>71</v>
      </c>
      <c r="M565" s="1" t="s">
        <v>42</v>
      </c>
      <c r="N565" s="1" t="s">
        <v>67</v>
      </c>
      <c r="O565" s="1"/>
      <c r="P565" s="1">
        <v>141</v>
      </c>
      <c r="Q565" s="1">
        <v>476.1</v>
      </c>
      <c r="R565" s="8" t="str">
        <f>_xlfn.IFS(J565&gt;=8,"Hit",J565&gt;=6,"Average",J565&lt;6,"Flop")</f>
        <v>Flop</v>
      </c>
      <c r="S565" s="9" t="str">
        <f>_xlfn.IFS(K565&gt;=400,"Blockbuster",K565&gt;=200,"Popular",K565&lt;200,"Normal")</f>
        <v>Popular</v>
      </c>
      <c r="T565" s="10" t="str">
        <f>IF(OR(I565="PG",I565="G"),"Yes","No")</f>
        <v>Yes</v>
      </c>
      <c r="U565" s="11" t="str">
        <f>IF(P565&gt;=100,"High","Low")</f>
        <v>High</v>
      </c>
      <c r="V565" s="28">
        <f t="shared" si="16"/>
        <v>335.1</v>
      </c>
      <c r="W565" s="29">
        <f t="shared" si="17"/>
        <v>337.65957446808511</v>
      </c>
    </row>
    <row r="566" spans="1:23" x14ac:dyDescent="0.3">
      <c r="A566" s="1" t="s">
        <v>1701</v>
      </c>
      <c r="B566" s="1" t="s">
        <v>1702</v>
      </c>
      <c r="C566" s="1" t="s">
        <v>18</v>
      </c>
      <c r="D566" s="1" t="s">
        <v>63</v>
      </c>
      <c r="E566" s="1">
        <v>2007</v>
      </c>
      <c r="F566" s="1" t="s">
        <v>122</v>
      </c>
      <c r="G566" s="1" t="s">
        <v>1703</v>
      </c>
      <c r="H566" s="1">
        <v>164</v>
      </c>
      <c r="I566" s="1" t="s">
        <v>50</v>
      </c>
      <c r="J566" s="1">
        <v>8.6999999999999993</v>
      </c>
      <c r="K566" s="1">
        <v>34.9</v>
      </c>
      <c r="L566" s="1" t="s">
        <v>23</v>
      </c>
      <c r="M566" s="1" t="s">
        <v>97</v>
      </c>
      <c r="N566" s="1" t="s">
        <v>86</v>
      </c>
      <c r="O566" s="1"/>
      <c r="P566" s="1">
        <v>32</v>
      </c>
      <c r="Q566" s="1">
        <v>56.1</v>
      </c>
      <c r="R566" s="8" t="str">
        <f>_xlfn.IFS(J566&gt;=8,"Hit",J566&gt;=6,"Average",J566&lt;6,"Flop")</f>
        <v>Hit</v>
      </c>
      <c r="S566" s="9" t="str">
        <f>_xlfn.IFS(K566&gt;=400,"Blockbuster",K566&gt;=200,"Popular",K566&lt;200,"Normal")</f>
        <v>Normal</v>
      </c>
      <c r="T566" s="10" t="str">
        <f>IF(OR(I566="PG",I566="G"),"Yes","No")</f>
        <v>Yes</v>
      </c>
      <c r="U566" s="11" t="str">
        <f>IF(P566&gt;=100,"High","Low")</f>
        <v>Low</v>
      </c>
      <c r="V566" s="28">
        <f t="shared" si="16"/>
        <v>24.1</v>
      </c>
      <c r="W566" s="29">
        <f t="shared" si="17"/>
        <v>175.3125</v>
      </c>
    </row>
    <row r="567" spans="1:23" x14ac:dyDescent="0.3">
      <c r="A567" s="1" t="s">
        <v>1704</v>
      </c>
      <c r="B567" s="1" t="s">
        <v>1705</v>
      </c>
      <c r="C567" s="1" t="s">
        <v>46</v>
      </c>
      <c r="D567" s="1" t="s">
        <v>141</v>
      </c>
      <c r="E567" s="1">
        <v>2015</v>
      </c>
      <c r="F567" s="1" t="s">
        <v>83</v>
      </c>
      <c r="G567" s="1" t="s">
        <v>1706</v>
      </c>
      <c r="H567" s="1">
        <v>36</v>
      </c>
      <c r="I567" s="1" t="s">
        <v>50</v>
      </c>
      <c r="J567" s="1">
        <v>6.4</v>
      </c>
      <c r="K567" s="1">
        <v>589</v>
      </c>
      <c r="L567" s="1" t="s">
        <v>23</v>
      </c>
      <c r="M567" s="1" t="s">
        <v>106</v>
      </c>
      <c r="N567" s="1" t="s">
        <v>91</v>
      </c>
      <c r="O567" s="1">
        <v>2</v>
      </c>
      <c r="P567" s="1">
        <v>162</v>
      </c>
      <c r="Q567" s="1">
        <v>305.7</v>
      </c>
      <c r="R567" s="8" t="str">
        <f>_xlfn.IFS(J567&gt;=8,"Hit",J567&gt;=6,"Average",J567&lt;6,"Flop")</f>
        <v>Average</v>
      </c>
      <c r="S567" s="9" t="str">
        <f>_xlfn.IFS(K567&gt;=400,"Blockbuster",K567&gt;=200,"Popular",K567&lt;200,"Normal")</f>
        <v>Blockbuster</v>
      </c>
      <c r="T567" s="10" t="str">
        <f>IF(OR(I567="PG",I567="G"),"Yes","No")</f>
        <v>Yes</v>
      </c>
      <c r="U567" s="11" t="str">
        <f>IF(P567&gt;=100,"High","Low")</f>
        <v>High</v>
      </c>
      <c r="V567" s="28">
        <f t="shared" si="16"/>
        <v>143.69999999999999</v>
      </c>
      <c r="W567" s="29">
        <f t="shared" si="17"/>
        <v>188.7037037037037</v>
      </c>
    </row>
    <row r="568" spans="1:23" x14ac:dyDescent="0.3">
      <c r="A568" s="1" t="s">
        <v>1707</v>
      </c>
      <c r="B568" s="1" t="s">
        <v>1708</v>
      </c>
      <c r="C568" s="1" t="s">
        <v>46</v>
      </c>
      <c r="D568" s="1" t="s">
        <v>75</v>
      </c>
      <c r="E568" s="1">
        <v>2025</v>
      </c>
      <c r="F568" s="1" t="s">
        <v>29</v>
      </c>
      <c r="G568" s="1" t="s">
        <v>1709</v>
      </c>
      <c r="H568" s="1">
        <v>52</v>
      </c>
      <c r="I568" s="1" t="s">
        <v>22</v>
      </c>
      <c r="J568" s="1">
        <v>8.8000000000000007</v>
      </c>
      <c r="K568" s="1">
        <v>492.6</v>
      </c>
      <c r="L568" s="1" t="s">
        <v>41</v>
      </c>
      <c r="M568" s="1" t="s">
        <v>97</v>
      </c>
      <c r="N568" s="1" t="s">
        <v>34</v>
      </c>
      <c r="O568" s="1">
        <v>4</v>
      </c>
      <c r="P568" s="1">
        <v>66</v>
      </c>
      <c r="Q568" s="1">
        <v>209</v>
      </c>
      <c r="R568" s="8" t="str">
        <f>_xlfn.IFS(J568&gt;=8,"Hit",J568&gt;=6,"Average",J568&lt;6,"Flop")</f>
        <v>Hit</v>
      </c>
      <c r="S568" s="9" t="str">
        <f>_xlfn.IFS(K568&gt;=400,"Blockbuster",K568&gt;=200,"Popular",K568&lt;200,"Normal")</f>
        <v>Blockbuster</v>
      </c>
      <c r="T568" s="10" t="str">
        <f>IF(OR(I568="PG",I568="G"),"Yes","No")</f>
        <v>No</v>
      </c>
      <c r="U568" s="11" t="str">
        <f>IF(P568&gt;=100,"High","Low")</f>
        <v>Low</v>
      </c>
      <c r="V568" s="28">
        <f t="shared" si="16"/>
        <v>143</v>
      </c>
      <c r="W568" s="29">
        <f t="shared" si="17"/>
        <v>316.66666666666663</v>
      </c>
    </row>
    <row r="569" spans="1:23" x14ac:dyDescent="0.3">
      <c r="A569" s="1" t="s">
        <v>1710</v>
      </c>
      <c r="B569" s="1" t="s">
        <v>1711</v>
      </c>
      <c r="C569" s="1" t="s">
        <v>46</v>
      </c>
      <c r="D569" s="1" t="s">
        <v>58</v>
      </c>
      <c r="E569" s="1">
        <v>2002</v>
      </c>
      <c r="F569" s="1" t="s">
        <v>95</v>
      </c>
      <c r="G569" s="1" t="s">
        <v>1615</v>
      </c>
      <c r="H569" s="1">
        <v>44</v>
      </c>
      <c r="I569" s="1" t="s">
        <v>110</v>
      </c>
      <c r="J569" s="1">
        <v>5.0999999999999996</v>
      </c>
      <c r="K569" s="1">
        <v>199.4</v>
      </c>
      <c r="L569" s="1" t="s">
        <v>32</v>
      </c>
      <c r="M569" s="1" t="s">
        <v>42</v>
      </c>
      <c r="N569" s="1" t="s">
        <v>43</v>
      </c>
      <c r="O569" s="1">
        <v>7</v>
      </c>
      <c r="P569" s="1">
        <v>6</v>
      </c>
      <c r="Q569" s="1">
        <v>23.1</v>
      </c>
      <c r="R569" s="8" t="str">
        <f>_xlfn.IFS(J569&gt;=8,"Hit",J569&gt;=6,"Average",J569&lt;6,"Flop")</f>
        <v>Flop</v>
      </c>
      <c r="S569" s="9" t="str">
        <f>_xlfn.IFS(K569&gt;=400,"Blockbuster",K569&gt;=200,"Popular",K569&lt;200,"Normal")</f>
        <v>Normal</v>
      </c>
      <c r="T569" s="10" t="str">
        <f>IF(OR(I569="PG",I569="G"),"Yes","No")</f>
        <v>No</v>
      </c>
      <c r="U569" s="11" t="str">
        <f>IF(P569&gt;=100,"High","Low")</f>
        <v>Low</v>
      </c>
      <c r="V569" s="28">
        <f t="shared" si="16"/>
        <v>17.100000000000001</v>
      </c>
      <c r="W569" s="29">
        <f t="shared" si="17"/>
        <v>385</v>
      </c>
    </row>
    <row r="570" spans="1:23" x14ac:dyDescent="0.3">
      <c r="A570" s="1" t="s">
        <v>1712</v>
      </c>
      <c r="B570" s="1" t="s">
        <v>1713</v>
      </c>
      <c r="C570" s="1" t="s">
        <v>18</v>
      </c>
      <c r="D570" s="1" t="s">
        <v>94</v>
      </c>
      <c r="E570" s="1">
        <v>2011</v>
      </c>
      <c r="F570" s="1" t="s">
        <v>29</v>
      </c>
      <c r="G570" s="1" t="s">
        <v>1714</v>
      </c>
      <c r="H570" s="1">
        <v>146</v>
      </c>
      <c r="I570" s="1" t="s">
        <v>40</v>
      </c>
      <c r="J570" s="1">
        <v>8.4</v>
      </c>
      <c r="K570" s="1">
        <v>65</v>
      </c>
      <c r="L570" s="1" t="s">
        <v>41</v>
      </c>
      <c r="M570" s="1" t="s">
        <v>33</v>
      </c>
      <c r="N570" s="1" t="s">
        <v>34</v>
      </c>
      <c r="O570" s="1"/>
      <c r="P570" s="1">
        <v>120</v>
      </c>
      <c r="Q570" s="1">
        <v>525.29999999999995</v>
      </c>
      <c r="R570" s="8" t="str">
        <f>_xlfn.IFS(J570&gt;=8,"Hit",J570&gt;=6,"Average",J570&lt;6,"Flop")</f>
        <v>Hit</v>
      </c>
      <c r="S570" s="9" t="str">
        <f>_xlfn.IFS(K570&gt;=400,"Blockbuster",K570&gt;=200,"Popular",K570&lt;200,"Normal")</f>
        <v>Normal</v>
      </c>
      <c r="T570" s="10" t="str">
        <f>IF(OR(I570="PG",I570="G"),"Yes","No")</f>
        <v>Yes</v>
      </c>
      <c r="U570" s="11" t="str">
        <f>IF(P570&gt;=100,"High","Low")</f>
        <v>High</v>
      </c>
      <c r="V570" s="28">
        <f t="shared" si="16"/>
        <v>405.29999999999995</v>
      </c>
      <c r="W570" s="29">
        <f t="shared" si="17"/>
        <v>437.74999999999994</v>
      </c>
    </row>
    <row r="571" spans="1:23" x14ac:dyDescent="0.3">
      <c r="A571" s="1" t="s">
        <v>1715</v>
      </c>
      <c r="B571" s="1" t="s">
        <v>1716</v>
      </c>
      <c r="C571" s="1" t="s">
        <v>46</v>
      </c>
      <c r="D571" s="1" t="s">
        <v>75</v>
      </c>
      <c r="E571" s="1">
        <v>2017</v>
      </c>
      <c r="F571" s="1" t="s">
        <v>29</v>
      </c>
      <c r="G571" s="1" t="s">
        <v>1717</v>
      </c>
      <c r="H571" s="1">
        <v>56</v>
      </c>
      <c r="I571" s="1" t="s">
        <v>50</v>
      </c>
      <c r="J571" s="1">
        <v>5.2</v>
      </c>
      <c r="K571" s="1">
        <v>34.9</v>
      </c>
      <c r="L571" s="1" t="s">
        <v>90</v>
      </c>
      <c r="M571" s="1" t="s">
        <v>124</v>
      </c>
      <c r="N571" s="1" t="s">
        <v>43</v>
      </c>
      <c r="O571" s="1">
        <v>5</v>
      </c>
      <c r="P571" s="1">
        <v>100</v>
      </c>
      <c r="Q571" s="1">
        <v>347.9</v>
      </c>
      <c r="R571" s="8" t="str">
        <f>_xlfn.IFS(J571&gt;=8,"Hit",J571&gt;=6,"Average",J571&lt;6,"Flop")</f>
        <v>Flop</v>
      </c>
      <c r="S571" s="9" t="str">
        <f>_xlfn.IFS(K571&gt;=400,"Blockbuster",K571&gt;=200,"Popular",K571&lt;200,"Normal")</f>
        <v>Normal</v>
      </c>
      <c r="T571" s="10" t="str">
        <f>IF(OR(I571="PG",I571="G"),"Yes","No")</f>
        <v>Yes</v>
      </c>
      <c r="U571" s="11" t="str">
        <f>IF(P571&gt;=100,"High","Low")</f>
        <v>High</v>
      </c>
      <c r="V571" s="28">
        <f t="shared" si="16"/>
        <v>247.89999999999998</v>
      </c>
      <c r="W571" s="29">
        <f t="shared" si="17"/>
        <v>347.9</v>
      </c>
    </row>
    <row r="572" spans="1:23" x14ac:dyDescent="0.3">
      <c r="A572" s="1" t="s">
        <v>1718</v>
      </c>
      <c r="B572" s="1" t="s">
        <v>1719</v>
      </c>
      <c r="C572" s="1" t="s">
        <v>46</v>
      </c>
      <c r="D572" s="1" t="s">
        <v>28</v>
      </c>
      <c r="E572" s="1">
        <v>2020</v>
      </c>
      <c r="F572" s="1" t="s">
        <v>122</v>
      </c>
      <c r="G572" s="1" t="s">
        <v>808</v>
      </c>
      <c r="H572" s="1">
        <v>53</v>
      </c>
      <c r="I572" s="1" t="s">
        <v>40</v>
      </c>
      <c r="J572" s="1">
        <v>7.6</v>
      </c>
      <c r="K572" s="1">
        <v>557.1</v>
      </c>
      <c r="L572" s="1" t="s">
        <v>90</v>
      </c>
      <c r="M572" s="1" t="s">
        <v>24</v>
      </c>
      <c r="N572" s="1" t="s">
        <v>25</v>
      </c>
      <c r="O572" s="1">
        <v>8</v>
      </c>
      <c r="P572" s="1">
        <v>164</v>
      </c>
      <c r="Q572" s="1">
        <v>947.6</v>
      </c>
      <c r="R572" s="8" t="str">
        <f>_xlfn.IFS(J572&gt;=8,"Hit",J572&gt;=6,"Average",J572&lt;6,"Flop")</f>
        <v>Average</v>
      </c>
      <c r="S572" s="9" t="str">
        <f>_xlfn.IFS(K572&gt;=400,"Blockbuster",K572&gt;=200,"Popular",K572&lt;200,"Normal")</f>
        <v>Blockbuster</v>
      </c>
      <c r="T572" s="10" t="str">
        <f>IF(OR(I572="PG",I572="G"),"Yes","No")</f>
        <v>Yes</v>
      </c>
      <c r="U572" s="11" t="str">
        <f>IF(P572&gt;=100,"High","Low")</f>
        <v>High</v>
      </c>
      <c r="V572" s="28">
        <f t="shared" si="16"/>
        <v>783.6</v>
      </c>
      <c r="W572" s="29">
        <f t="shared" si="17"/>
        <v>577.80487804878055</v>
      </c>
    </row>
    <row r="573" spans="1:23" x14ac:dyDescent="0.3">
      <c r="A573" s="1" t="s">
        <v>1720</v>
      </c>
      <c r="B573" s="1" t="s">
        <v>1721</v>
      </c>
      <c r="C573" s="1" t="s">
        <v>18</v>
      </c>
      <c r="D573" s="1" t="s">
        <v>47</v>
      </c>
      <c r="E573" s="1">
        <v>2024</v>
      </c>
      <c r="F573" s="1" t="s">
        <v>83</v>
      </c>
      <c r="G573" s="1" t="s">
        <v>1722</v>
      </c>
      <c r="H573" s="1">
        <v>81</v>
      </c>
      <c r="I573" s="1" t="s">
        <v>31</v>
      </c>
      <c r="J573" s="1">
        <v>8.9</v>
      </c>
      <c r="K573" s="1">
        <v>357.8</v>
      </c>
      <c r="L573" s="1" t="s">
        <v>90</v>
      </c>
      <c r="M573" s="1" t="s">
        <v>132</v>
      </c>
      <c r="N573" s="1" t="s">
        <v>67</v>
      </c>
      <c r="O573" s="1"/>
      <c r="P573" s="1">
        <v>100</v>
      </c>
      <c r="Q573" s="1">
        <v>220.5</v>
      </c>
      <c r="R573" s="8" t="str">
        <f>_xlfn.IFS(J573&gt;=8,"Hit",J573&gt;=6,"Average",J573&lt;6,"Flop")</f>
        <v>Hit</v>
      </c>
      <c r="S573" s="9" t="str">
        <f>_xlfn.IFS(K573&gt;=400,"Blockbuster",K573&gt;=200,"Popular",K573&lt;200,"Normal")</f>
        <v>Popular</v>
      </c>
      <c r="T573" s="10" t="str">
        <f>IF(OR(I573="PG",I573="G"),"Yes","No")</f>
        <v>No</v>
      </c>
      <c r="U573" s="11" t="str">
        <f>IF(P573&gt;=100,"High","Low")</f>
        <v>High</v>
      </c>
      <c r="V573" s="28">
        <f t="shared" si="16"/>
        <v>120.5</v>
      </c>
      <c r="W573" s="29">
        <f t="shared" si="17"/>
        <v>220.5</v>
      </c>
    </row>
    <row r="574" spans="1:23" x14ac:dyDescent="0.3">
      <c r="A574" s="1" t="s">
        <v>1723</v>
      </c>
      <c r="B574" s="1" t="s">
        <v>1724</v>
      </c>
      <c r="C574" s="1" t="s">
        <v>46</v>
      </c>
      <c r="D574" s="1" t="s">
        <v>75</v>
      </c>
      <c r="E574" s="1">
        <v>2015</v>
      </c>
      <c r="F574" s="1" t="s">
        <v>122</v>
      </c>
      <c r="G574" s="1" t="s">
        <v>1725</v>
      </c>
      <c r="H574" s="1">
        <v>54</v>
      </c>
      <c r="I574" s="1" t="s">
        <v>110</v>
      </c>
      <c r="J574" s="1">
        <v>7</v>
      </c>
      <c r="K574" s="1">
        <v>530.6</v>
      </c>
      <c r="L574" s="1" t="s">
        <v>65</v>
      </c>
      <c r="M574" s="1" t="s">
        <v>78</v>
      </c>
      <c r="N574" s="1" t="s">
        <v>34</v>
      </c>
      <c r="O574" s="1">
        <v>5</v>
      </c>
      <c r="P574" s="1">
        <v>127</v>
      </c>
      <c r="Q574" s="1">
        <v>480.5</v>
      </c>
      <c r="R574" s="8" t="str">
        <f>_xlfn.IFS(J574&gt;=8,"Hit",J574&gt;=6,"Average",J574&lt;6,"Flop")</f>
        <v>Average</v>
      </c>
      <c r="S574" s="9" t="str">
        <f>_xlfn.IFS(K574&gt;=400,"Blockbuster",K574&gt;=200,"Popular",K574&lt;200,"Normal")</f>
        <v>Blockbuster</v>
      </c>
      <c r="T574" s="10" t="str">
        <f>IF(OR(I574="PG",I574="G"),"Yes","No")</f>
        <v>No</v>
      </c>
      <c r="U574" s="11" t="str">
        <f>IF(P574&gt;=100,"High","Low")</f>
        <v>High</v>
      </c>
      <c r="V574" s="28">
        <f t="shared" si="16"/>
        <v>353.5</v>
      </c>
      <c r="W574" s="29">
        <f t="shared" si="17"/>
        <v>378.34645669291336</v>
      </c>
    </row>
    <row r="575" spans="1:23" x14ac:dyDescent="0.3">
      <c r="A575" s="1" t="s">
        <v>1726</v>
      </c>
      <c r="B575" s="1" t="s">
        <v>1727</v>
      </c>
      <c r="C575" s="1" t="s">
        <v>18</v>
      </c>
      <c r="D575" s="1" t="s">
        <v>19</v>
      </c>
      <c r="E575" s="1">
        <v>2020</v>
      </c>
      <c r="F575" s="1" t="s">
        <v>38</v>
      </c>
      <c r="G575" s="1" t="s">
        <v>1728</v>
      </c>
      <c r="H575" s="1">
        <v>103</v>
      </c>
      <c r="I575" s="1" t="s">
        <v>40</v>
      </c>
      <c r="J575" s="1">
        <v>7.6</v>
      </c>
      <c r="K575" s="1">
        <v>531.20000000000005</v>
      </c>
      <c r="L575" s="1" t="s">
        <v>90</v>
      </c>
      <c r="M575" s="1" t="s">
        <v>24</v>
      </c>
      <c r="N575" s="1" t="s">
        <v>34</v>
      </c>
      <c r="O575" s="1"/>
      <c r="P575" s="1">
        <v>159</v>
      </c>
      <c r="Q575" s="1">
        <v>931.8</v>
      </c>
      <c r="R575" s="8" t="str">
        <f>_xlfn.IFS(J575&gt;=8,"Hit",J575&gt;=6,"Average",J575&lt;6,"Flop")</f>
        <v>Average</v>
      </c>
      <c r="S575" s="9" t="str">
        <f>_xlfn.IFS(K575&gt;=400,"Blockbuster",K575&gt;=200,"Popular",K575&lt;200,"Normal")</f>
        <v>Blockbuster</v>
      </c>
      <c r="T575" s="10" t="str">
        <f>IF(OR(I575="PG",I575="G"),"Yes","No")</f>
        <v>Yes</v>
      </c>
      <c r="U575" s="11" t="str">
        <f>IF(P575&gt;=100,"High","Low")</f>
        <v>High</v>
      </c>
      <c r="V575" s="28">
        <f t="shared" si="16"/>
        <v>772.8</v>
      </c>
      <c r="W575" s="29">
        <f t="shared" si="17"/>
        <v>586.03773584905662</v>
      </c>
    </row>
    <row r="576" spans="1:23" x14ac:dyDescent="0.3">
      <c r="A576" s="1" t="s">
        <v>1729</v>
      </c>
      <c r="B576" s="1" t="s">
        <v>1730</v>
      </c>
      <c r="C576" s="1" t="s">
        <v>18</v>
      </c>
      <c r="D576" s="1" t="s">
        <v>94</v>
      </c>
      <c r="E576" s="1">
        <v>2008</v>
      </c>
      <c r="F576" s="1" t="s">
        <v>83</v>
      </c>
      <c r="G576" s="1" t="s">
        <v>1460</v>
      </c>
      <c r="H576" s="1">
        <v>94</v>
      </c>
      <c r="I576" s="1" t="s">
        <v>40</v>
      </c>
      <c r="J576" s="1">
        <v>7.7</v>
      </c>
      <c r="K576" s="1">
        <v>401.5</v>
      </c>
      <c r="L576" s="1" t="s">
        <v>65</v>
      </c>
      <c r="M576" s="1" t="s">
        <v>124</v>
      </c>
      <c r="N576" s="1" t="s">
        <v>178</v>
      </c>
      <c r="O576" s="1"/>
      <c r="P576" s="1">
        <v>170</v>
      </c>
      <c r="Q576" s="1">
        <v>524.9</v>
      </c>
      <c r="R576" s="8" t="str">
        <f>_xlfn.IFS(J576&gt;=8,"Hit",J576&gt;=6,"Average",J576&lt;6,"Flop")</f>
        <v>Average</v>
      </c>
      <c r="S576" s="9" t="str">
        <f>_xlfn.IFS(K576&gt;=400,"Blockbuster",K576&gt;=200,"Popular",K576&lt;200,"Normal")</f>
        <v>Blockbuster</v>
      </c>
      <c r="T576" s="10" t="str">
        <f>IF(OR(I576="PG",I576="G"),"Yes","No")</f>
        <v>Yes</v>
      </c>
      <c r="U576" s="11" t="str">
        <f>IF(P576&gt;=100,"High","Low")</f>
        <v>High</v>
      </c>
      <c r="V576" s="28">
        <f t="shared" si="16"/>
        <v>354.9</v>
      </c>
      <c r="W576" s="29">
        <f t="shared" si="17"/>
        <v>308.76470588235293</v>
      </c>
    </row>
    <row r="577" spans="1:23" x14ac:dyDescent="0.3">
      <c r="A577" s="1" t="s">
        <v>1731</v>
      </c>
      <c r="B577" s="1" t="s">
        <v>1732</v>
      </c>
      <c r="C577" s="1" t="s">
        <v>46</v>
      </c>
      <c r="D577" s="1" t="s">
        <v>37</v>
      </c>
      <c r="E577" s="1">
        <v>2003</v>
      </c>
      <c r="F577" s="1" t="s">
        <v>20</v>
      </c>
      <c r="G577" s="1" t="s">
        <v>1733</v>
      </c>
      <c r="H577" s="1">
        <v>32</v>
      </c>
      <c r="I577" s="1" t="s">
        <v>40</v>
      </c>
      <c r="J577" s="1">
        <v>8.6</v>
      </c>
      <c r="K577" s="1">
        <v>168.8</v>
      </c>
      <c r="L577" s="1" t="s">
        <v>65</v>
      </c>
      <c r="M577" s="1" t="s">
        <v>111</v>
      </c>
      <c r="N577" s="1" t="s">
        <v>102</v>
      </c>
      <c r="O577" s="1">
        <v>4</v>
      </c>
      <c r="P577" s="1">
        <v>158</v>
      </c>
      <c r="Q577" s="1">
        <v>515</v>
      </c>
      <c r="R577" s="8" t="str">
        <f>_xlfn.IFS(J577&gt;=8,"Hit",J577&gt;=6,"Average",J577&lt;6,"Flop")</f>
        <v>Hit</v>
      </c>
      <c r="S577" s="9" t="str">
        <f>_xlfn.IFS(K577&gt;=400,"Blockbuster",K577&gt;=200,"Popular",K577&lt;200,"Normal")</f>
        <v>Normal</v>
      </c>
      <c r="T577" s="10" t="str">
        <f>IF(OR(I577="PG",I577="G"),"Yes","No")</f>
        <v>Yes</v>
      </c>
      <c r="U577" s="11" t="str">
        <f>IF(P577&gt;=100,"High","Low")</f>
        <v>High</v>
      </c>
      <c r="V577" s="28">
        <f t="shared" si="16"/>
        <v>357</v>
      </c>
      <c r="W577" s="29">
        <f t="shared" si="17"/>
        <v>325.94936708860757</v>
      </c>
    </row>
    <row r="578" spans="1:23" x14ac:dyDescent="0.3">
      <c r="A578" s="1" t="s">
        <v>1734</v>
      </c>
      <c r="B578" s="1" t="s">
        <v>1735</v>
      </c>
      <c r="C578" s="1" t="s">
        <v>46</v>
      </c>
      <c r="D578" s="1" t="s">
        <v>19</v>
      </c>
      <c r="E578" s="1">
        <v>2008</v>
      </c>
      <c r="F578" s="1" t="s">
        <v>29</v>
      </c>
      <c r="G578" s="1" t="s">
        <v>1736</v>
      </c>
      <c r="H578" s="1">
        <v>41</v>
      </c>
      <c r="I578" s="1" t="s">
        <v>50</v>
      </c>
      <c r="J578" s="1">
        <v>9.1999999999999993</v>
      </c>
      <c r="K578" s="1">
        <v>173.1</v>
      </c>
      <c r="L578" s="1" t="s">
        <v>41</v>
      </c>
      <c r="M578" s="1" t="s">
        <v>124</v>
      </c>
      <c r="N578" s="1" t="s">
        <v>79</v>
      </c>
      <c r="O578" s="1">
        <v>3</v>
      </c>
      <c r="P578" s="1">
        <v>76</v>
      </c>
      <c r="Q578" s="1">
        <v>214.7</v>
      </c>
      <c r="R578" s="8" t="str">
        <f>_xlfn.IFS(J578&gt;=8,"Hit",J578&gt;=6,"Average",J578&lt;6,"Flop")</f>
        <v>Hit</v>
      </c>
      <c r="S578" s="9" t="str">
        <f>_xlfn.IFS(K578&gt;=400,"Blockbuster",K578&gt;=200,"Popular",K578&lt;200,"Normal")</f>
        <v>Normal</v>
      </c>
      <c r="T578" s="10" t="str">
        <f>IF(OR(I578="PG",I578="G"),"Yes","No")</f>
        <v>Yes</v>
      </c>
      <c r="U578" s="11" t="str">
        <f>IF(P578&gt;=100,"High","Low")</f>
        <v>Low</v>
      </c>
      <c r="V578" s="28">
        <f t="shared" si="16"/>
        <v>138.69999999999999</v>
      </c>
      <c r="W578" s="29">
        <f t="shared" si="17"/>
        <v>282.5</v>
      </c>
    </row>
    <row r="579" spans="1:23" x14ac:dyDescent="0.3">
      <c r="A579" s="1" t="s">
        <v>1737</v>
      </c>
      <c r="B579" s="1" t="s">
        <v>1738</v>
      </c>
      <c r="C579" s="1" t="s">
        <v>18</v>
      </c>
      <c r="D579" s="1" t="s">
        <v>37</v>
      </c>
      <c r="E579" s="1">
        <v>2019</v>
      </c>
      <c r="F579" s="1" t="s">
        <v>181</v>
      </c>
      <c r="G579" s="1" t="s">
        <v>1739</v>
      </c>
      <c r="H579" s="1">
        <v>154</v>
      </c>
      <c r="I579" s="1" t="s">
        <v>31</v>
      </c>
      <c r="J579" s="1">
        <v>6.5</v>
      </c>
      <c r="K579" s="1">
        <v>58</v>
      </c>
      <c r="L579" s="1" t="s">
        <v>41</v>
      </c>
      <c r="M579" s="1" t="s">
        <v>146</v>
      </c>
      <c r="N579" s="1" t="s">
        <v>119</v>
      </c>
      <c r="O579" s="1"/>
      <c r="P579" s="1">
        <v>130</v>
      </c>
      <c r="Q579" s="1">
        <v>825.5</v>
      </c>
      <c r="R579" s="8" t="str">
        <f>_xlfn.IFS(J579&gt;=8,"Hit",J579&gt;=6,"Average",J579&lt;6,"Flop")</f>
        <v>Average</v>
      </c>
      <c r="S579" s="9" t="str">
        <f>_xlfn.IFS(K579&gt;=400,"Blockbuster",K579&gt;=200,"Popular",K579&lt;200,"Normal")</f>
        <v>Normal</v>
      </c>
      <c r="T579" s="10" t="str">
        <f>IF(OR(I579="PG",I579="G"),"Yes","No")</f>
        <v>No</v>
      </c>
      <c r="U579" s="11" t="str">
        <f>IF(P579&gt;=100,"High","Low")</f>
        <v>High</v>
      </c>
      <c r="V579" s="28">
        <f t="shared" ref="V579:V642" si="18">Q579-P579</f>
        <v>695.5</v>
      </c>
      <c r="W579" s="29">
        <f t="shared" ref="W579:W642" si="19">(Q579/P579)*100</f>
        <v>635</v>
      </c>
    </row>
    <row r="580" spans="1:23" x14ac:dyDescent="0.3">
      <c r="A580" s="1" t="s">
        <v>1740</v>
      </c>
      <c r="B580" s="1" t="s">
        <v>1741</v>
      </c>
      <c r="C580" s="1" t="s">
        <v>46</v>
      </c>
      <c r="D580" s="1" t="s">
        <v>94</v>
      </c>
      <c r="E580" s="1">
        <v>2013</v>
      </c>
      <c r="F580" s="1" t="s">
        <v>38</v>
      </c>
      <c r="G580" s="1" t="s">
        <v>1742</v>
      </c>
      <c r="H580" s="1">
        <v>31</v>
      </c>
      <c r="I580" s="1" t="s">
        <v>31</v>
      </c>
      <c r="J580" s="1">
        <v>5.4</v>
      </c>
      <c r="K580" s="1">
        <v>109.8</v>
      </c>
      <c r="L580" s="1" t="s">
        <v>65</v>
      </c>
      <c r="M580" s="1" t="s">
        <v>132</v>
      </c>
      <c r="N580" s="1" t="s">
        <v>119</v>
      </c>
      <c r="O580" s="1">
        <v>1</v>
      </c>
      <c r="P580" s="1">
        <v>131</v>
      </c>
      <c r="Q580" s="1">
        <v>602.9</v>
      </c>
      <c r="R580" s="8" t="str">
        <f>_xlfn.IFS(J580&gt;=8,"Hit",J580&gt;=6,"Average",J580&lt;6,"Flop")</f>
        <v>Flop</v>
      </c>
      <c r="S580" s="9" t="str">
        <f>_xlfn.IFS(K580&gt;=400,"Blockbuster",K580&gt;=200,"Popular",K580&lt;200,"Normal")</f>
        <v>Normal</v>
      </c>
      <c r="T580" s="10" t="str">
        <f>IF(OR(I580="PG",I580="G"),"Yes","No")</f>
        <v>No</v>
      </c>
      <c r="U580" s="11" t="str">
        <f>IF(P580&gt;=100,"High","Low")</f>
        <v>High</v>
      </c>
      <c r="V580" s="28">
        <f t="shared" si="18"/>
        <v>471.9</v>
      </c>
      <c r="W580" s="29">
        <f t="shared" si="19"/>
        <v>460.2290076335878</v>
      </c>
    </row>
    <row r="581" spans="1:23" x14ac:dyDescent="0.3">
      <c r="A581" s="1" t="s">
        <v>1743</v>
      </c>
      <c r="B581" s="1" t="s">
        <v>1744</v>
      </c>
      <c r="C581" s="1" t="s">
        <v>18</v>
      </c>
      <c r="D581" s="1" t="s">
        <v>82</v>
      </c>
      <c r="E581" s="1">
        <v>2024</v>
      </c>
      <c r="F581" s="1" t="s">
        <v>95</v>
      </c>
      <c r="G581" s="1" t="s">
        <v>1745</v>
      </c>
      <c r="H581" s="1">
        <v>123</v>
      </c>
      <c r="I581" s="1" t="s">
        <v>40</v>
      </c>
      <c r="J581" s="1">
        <v>5.6</v>
      </c>
      <c r="K581" s="1">
        <v>430</v>
      </c>
      <c r="L581" s="1" t="s">
        <v>65</v>
      </c>
      <c r="M581" s="1" t="s">
        <v>85</v>
      </c>
      <c r="N581" s="1" t="s">
        <v>25</v>
      </c>
      <c r="O581" s="1"/>
      <c r="P581" s="1">
        <v>5</v>
      </c>
      <c r="Q581" s="1">
        <v>29.4</v>
      </c>
      <c r="R581" s="8" t="str">
        <f>_xlfn.IFS(J581&gt;=8,"Hit",J581&gt;=6,"Average",J581&lt;6,"Flop")</f>
        <v>Flop</v>
      </c>
      <c r="S581" s="9" t="str">
        <f>_xlfn.IFS(K581&gt;=400,"Blockbuster",K581&gt;=200,"Popular",K581&lt;200,"Normal")</f>
        <v>Blockbuster</v>
      </c>
      <c r="T581" s="10" t="str">
        <f>IF(OR(I581="PG",I581="G"),"Yes","No")</f>
        <v>Yes</v>
      </c>
      <c r="U581" s="11" t="str">
        <f>IF(P581&gt;=100,"High","Low")</f>
        <v>Low</v>
      </c>
      <c r="V581" s="28">
        <f t="shared" si="18"/>
        <v>24.4</v>
      </c>
      <c r="W581" s="29">
        <f t="shared" si="19"/>
        <v>588</v>
      </c>
    </row>
    <row r="582" spans="1:23" x14ac:dyDescent="0.3">
      <c r="A582" s="1" t="s">
        <v>1746</v>
      </c>
      <c r="B582" s="1" t="s">
        <v>1747</v>
      </c>
      <c r="C582" s="1" t="s">
        <v>18</v>
      </c>
      <c r="D582" s="1" t="s">
        <v>37</v>
      </c>
      <c r="E582" s="1">
        <v>2024</v>
      </c>
      <c r="F582" s="1" t="s">
        <v>20</v>
      </c>
      <c r="G582" s="1" t="s">
        <v>1748</v>
      </c>
      <c r="H582" s="1">
        <v>161</v>
      </c>
      <c r="I582" s="1" t="s">
        <v>22</v>
      </c>
      <c r="J582" s="1">
        <v>9.3000000000000007</v>
      </c>
      <c r="K582" s="1">
        <v>282.5</v>
      </c>
      <c r="L582" s="1" t="s">
        <v>32</v>
      </c>
      <c r="M582" s="1" t="s">
        <v>24</v>
      </c>
      <c r="N582" s="1" t="s">
        <v>178</v>
      </c>
      <c r="O582" s="1"/>
      <c r="P582" s="1">
        <v>17</v>
      </c>
      <c r="Q582" s="1">
        <v>21.2</v>
      </c>
      <c r="R582" s="8" t="str">
        <f>_xlfn.IFS(J582&gt;=8,"Hit",J582&gt;=6,"Average",J582&lt;6,"Flop")</f>
        <v>Hit</v>
      </c>
      <c r="S582" s="9" t="str">
        <f>_xlfn.IFS(K582&gt;=400,"Blockbuster",K582&gt;=200,"Popular",K582&lt;200,"Normal")</f>
        <v>Popular</v>
      </c>
      <c r="T582" s="10" t="str">
        <f>IF(OR(I582="PG",I582="G"),"Yes","No")</f>
        <v>No</v>
      </c>
      <c r="U582" s="11" t="str">
        <f>IF(P582&gt;=100,"High","Low")</f>
        <v>Low</v>
      </c>
      <c r="V582" s="28">
        <f t="shared" si="18"/>
        <v>4.1999999999999993</v>
      </c>
      <c r="W582" s="29">
        <f t="shared" si="19"/>
        <v>124.70588235294117</v>
      </c>
    </row>
    <row r="583" spans="1:23" x14ac:dyDescent="0.3">
      <c r="A583" s="1" t="s">
        <v>1749</v>
      </c>
      <c r="B583" s="1" t="s">
        <v>1750</v>
      </c>
      <c r="C583" s="1" t="s">
        <v>18</v>
      </c>
      <c r="D583" s="1" t="s">
        <v>75</v>
      </c>
      <c r="E583" s="1">
        <v>2024</v>
      </c>
      <c r="F583" s="1" t="s">
        <v>83</v>
      </c>
      <c r="G583" s="1" t="s">
        <v>1751</v>
      </c>
      <c r="H583" s="1">
        <v>172</v>
      </c>
      <c r="I583" s="1" t="s">
        <v>50</v>
      </c>
      <c r="J583" s="1">
        <v>5.5</v>
      </c>
      <c r="K583" s="1">
        <v>554.4</v>
      </c>
      <c r="L583" s="1" t="s">
        <v>90</v>
      </c>
      <c r="M583" s="1" t="s">
        <v>124</v>
      </c>
      <c r="N583" s="1" t="s">
        <v>91</v>
      </c>
      <c r="O583" s="1"/>
      <c r="P583" s="1">
        <v>32</v>
      </c>
      <c r="Q583" s="1">
        <v>61.7</v>
      </c>
      <c r="R583" s="8" t="str">
        <f>_xlfn.IFS(J583&gt;=8,"Hit",J583&gt;=6,"Average",J583&lt;6,"Flop")</f>
        <v>Flop</v>
      </c>
      <c r="S583" s="9" t="str">
        <f>_xlfn.IFS(K583&gt;=400,"Blockbuster",K583&gt;=200,"Popular",K583&lt;200,"Normal")</f>
        <v>Blockbuster</v>
      </c>
      <c r="T583" s="10" t="str">
        <f>IF(OR(I583="PG",I583="G"),"Yes","No")</f>
        <v>Yes</v>
      </c>
      <c r="U583" s="11" t="str">
        <f>IF(P583&gt;=100,"High","Low")</f>
        <v>Low</v>
      </c>
      <c r="V583" s="28">
        <f t="shared" si="18"/>
        <v>29.700000000000003</v>
      </c>
      <c r="W583" s="29">
        <f t="shared" si="19"/>
        <v>192.8125</v>
      </c>
    </row>
    <row r="584" spans="1:23" x14ac:dyDescent="0.3">
      <c r="A584" s="1" t="s">
        <v>1752</v>
      </c>
      <c r="B584" s="1" t="s">
        <v>1753</v>
      </c>
      <c r="C584" s="1" t="s">
        <v>46</v>
      </c>
      <c r="D584" s="1" t="s">
        <v>82</v>
      </c>
      <c r="E584" s="1">
        <v>2010</v>
      </c>
      <c r="F584" s="1" t="s">
        <v>95</v>
      </c>
      <c r="G584" s="1" t="s">
        <v>1754</v>
      </c>
      <c r="H584" s="1">
        <v>59</v>
      </c>
      <c r="I584" s="1" t="s">
        <v>110</v>
      </c>
      <c r="J584" s="1">
        <v>5.7</v>
      </c>
      <c r="K584" s="1">
        <v>172</v>
      </c>
      <c r="L584" s="1" t="s">
        <v>32</v>
      </c>
      <c r="M584" s="1" t="s">
        <v>78</v>
      </c>
      <c r="N584" s="1" t="s">
        <v>178</v>
      </c>
      <c r="O584" s="1">
        <v>1</v>
      </c>
      <c r="P584" s="1">
        <v>81</v>
      </c>
      <c r="Q584" s="1">
        <v>406</v>
      </c>
      <c r="R584" s="8" t="str">
        <f>_xlfn.IFS(J584&gt;=8,"Hit",J584&gt;=6,"Average",J584&lt;6,"Flop")</f>
        <v>Flop</v>
      </c>
      <c r="S584" s="9" t="str">
        <f>_xlfn.IFS(K584&gt;=400,"Blockbuster",K584&gt;=200,"Popular",K584&lt;200,"Normal")</f>
        <v>Normal</v>
      </c>
      <c r="T584" s="10" t="str">
        <f>IF(OR(I584="PG",I584="G"),"Yes","No")</f>
        <v>No</v>
      </c>
      <c r="U584" s="11" t="str">
        <f>IF(P584&gt;=100,"High","Low")</f>
        <v>Low</v>
      </c>
      <c r="V584" s="28">
        <f t="shared" si="18"/>
        <v>325</v>
      </c>
      <c r="W584" s="29">
        <f t="shared" si="19"/>
        <v>501.23456790123458</v>
      </c>
    </row>
    <row r="585" spans="1:23" x14ac:dyDescent="0.3">
      <c r="A585" s="1" t="s">
        <v>1755</v>
      </c>
      <c r="B585" s="1" t="s">
        <v>1756</v>
      </c>
      <c r="C585" s="1" t="s">
        <v>18</v>
      </c>
      <c r="D585" s="1" t="s">
        <v>141</v>
      </c>
      <c r="E585" s="1">
        <v>2006</v>
      </c>
      <c r="F585" s="1" t="s">
        <v>76</v>
      </c>
      <c r="G585" s="1" t="s">
        <v>1757</v>
      </c>
      <c r="H585" s="1">
        <v>104</v>
      </c>
      <c r="I585" s="1" t="s">
        <v>31</v>
      </c>
      <c r="J585" s="1">
        <v>4.7</v>
      </c>
      <c r="K585" s="1">
        <v>275.5</v>
      </c>
      <c r="L585" s="1" t="s">
        <v>65</v>
      </c>
      <c r="M585" s="1" t="s">
        <v>42</v>
      </c>
      <c r="N585" s="1" t="s">
        <v>60</v>
      </c>
      <c r="O585" s="1"/>
      <c r="P585" s="1">
        <v>82</v>
      </c>
      <c r="Q585" s="1">
        <v>324</v>
      </c>
      <c r="R585" s="8" t="str">
        <f>_xlfn.IFS(J585&gt;=8,"Hit",J585&gt;=6,"Average",J585&lt;6,"Flop")</f>
        <v>Flop</v>
      </c>
      <c r="S585" s="9" t="str">
        <f>_xlfn.IFS(K585&gt;=400,"Blockbuster",K585&gt;=200,"Popular",K585&lt;200,"Normal")</f>
        <v>Popular</v>
      </c>
      <c r="T585" s="10" t="str">
        <f>IF(OR(I585="PG",I585="G"),"Yes","No")</f>
        <v>No</v>
      </c>
      <c r="U585" s="11" t="str">
        <f>IF(P585&gt;=100,"High","Low")</f>
        <v>Low</v>
      </c>
      <c r="V585" s="28">
        <f t="shared" si="18"/>
        <v>242</v>
      </c>
      <c r="W585" s="29">
        <f t="shared" si="19"/>
        <v>395.1219512195122</v>
      </c>
    </row>
    <row r="586" spans="1:23" x14ac:dyDescent="0.3">
      <c r="A586" s="1" t="s">
        <v>1758</v>
      </c>
      <c r="B586" s="1" t="s">
        <v>1759</v>
      </c>
      <c r="C586" s="1" t="s">
        <v>18</v>
      </c>
      <c r="D586" s="1" t="s">
        <v>58</v>
      </c>
      <c r="E586" s="1">
        <v>2007</v>
      </c>
      <c r="F586" s="1" t="s">
        <v>100</v>
      </c>
      <c r="G586" s="1" t="s">
        <v>1760</v>
      </c>
      <c r="H586" s="1">
        <v>163</v>
      </c>
      <c r="I586" s="1" t="s">
        <v>40</v>
      </c>
      <c r="J586" s="1">
        <v>5.0999999999999996</v>
      </c>
      <c r="K586" s="1">
        <v>500.3</v>
      </c>
      <c r="L586" s="1" t="s">
        <v>65</v>
      </c>
      <c r="M586" s="1" t="s">
        <v>33</v>
      </c>
      <c r="N586" s="1" t="s">
        <v>34</v>
      </c>
      <c r="O586" s="1"/>
      <c r="P586" s="1">
        <v>108</v>
      </c>
      <c r="Q586" s="1">
        <v>406.4</v>
      </c>
      <c r="R586" s="8" t="str">
        <f>_xlfn.IFS(J586&gt;=8,"Hit",J586&gt;=6,"Average",J586&lt;6,"Flop")</f>
        <v>Flop</v>
      </c>
      <c r="S586" s="9" t="str">
        <f>_xlfn.IFS(K586&gt;=400,"Blockbuster",K586&gt;=200,"Popular",K586&lt;200,"Normal")</f>
        <v>Blockbuster</v>
      </c>
      <c r="T586" s="10" t="str">
        <f>IF(OR(I586="PG",I586="G"),"Yes","No")</f>
        <v>Yes</v>
      </c>
      <c r="U586" s="11" t="str">
        <f>IF(P586&gt;=100,"High","Low")</f>
        <v>High</v>
      </c>
      <c r="V586" s="28">
        <f t="shared" si="18"/>
        <v>298.39999999999998</v>
      </c>
      <c r="W586" s="29">
        <f t="shared" si="19"/>
        <v>376.29629629629625</v>
      </c>
    </row>
    <row r="587" spans="1:23" x14ac:dyDescent="0.3">
      <c r="A587" s="1" t="s">
        <v>1761</v>
      </c>
      <c r="B587" s="1" t="s">
        <v>1762</v>
      </c>
      <c r="C587" s="1" t="s">
        <v>46</v>
      </c>
      <c r="D587" s="1" t="s">
        <v>37</v>
      </c>
      <c r="E587" s="1">
        <v>2015</v>
      </c>
      <c r="F587" s="1" t="s">
        <v>48</v>
      </c>
      <c r="G587" s="1" t="s">
        <v>206</v>
      </c>
      <c r="H587" s="1">
        <v>55</v>
      </c>
      <c r="I587" s="1" t="s">
        <v>110</v>
      </c>
      <c r="J587" s="1">
        <v>4.5999999999999996</v>
      </c>
      <c r="K587" s="1">
        <v>527.4</v>
      </c>
      <c r="L587" s="1" t="s">
        <v>41</v>
      </c>
      <c r="M587" s="1" t="s">
        <v>78</v>
      </c>
      <c r="N587" s="1" t="s">
        <v>158</v>
      </c>
      <c r="O587" s="1">
        <v>3</v>
      </c>
      <c r="P587" s="1">
        <v>174</v>
      </c>
      <c r="Q587" s="1">
        <v>852.8</v>
      </c>
      <c r="R587" s="8" t="str">
        <f>_xlfn.IFS(J587&gt;=8,"Hit",J587&gt;=6,"Average",J587&lt;6,"Flop")</f>
        <v>Flop</v>
      </c>
      <c r="S587" s="9" t="str">
        <f>_xlfn.IFS(K587&gt;=400,"Blockbuster",K587&gt;=200,"Popular",K587&lt;200,"Normal")</f>
        <v>Blockbuster</v>
      </c>
      <c r="T587" s="10" t="str">
        <f>IF(OR(I587="PG",I587="G"),"Yes","No")</f>
        <v>No</v>
      </c>
      <c r="U587" s="11" t="str">
        <f>IF(P587&gt;=100,"High","Low")</f>
        <v>High</v>
      </c>
      <c r="V587" s="28">
        <f t="shared" si="18"/>
        <v>678.8</v>
      </c>
      <c r="W587" s="29">
        <f t="shared" si="19"/>
        <v>490.11494252873558</v>
      </c>
    </row>
    <row r="588" spans="1:23" x14ac:dyDescent="0.3">
      <c r="A588" s="1" t="s">
        <v>1763</v>
      </c>
      <c r="B588" s="1" t="s">
        <v>1764</v>
      </c>
      <c r="C588" s="1" t="s">
        <v>46</v>
      </c>
      <c r="D588" s="1" t="s">
        <v>19</v>
      </c>
      <c r="E588" s="1">
        <v>2022</v>
      </c>
      <c r="F588" s="1" t="s">
        <v>38</v>
      </c>
      <c r="G588" s="1" t="s">
        <v>1765</v>
      </c>
      <c r="H588" s="1">
        <v>43</v>
      </c>
      <c r="I588" s="1" t="s">
        <v>31</v>
      </c>
      <c r="J588" s="1">
        <v>5.7</v>
      </c>
      <c r="K588" s="1">
        <v>116.3</v>
      </c>
      <c r="L588" s="1" t="s">
        <v>23</v>
      </c>
      <c r="M588" s="1" t="s">
        <v>66</v>
      </c>
      <c r="N588" s="1" t="s">
        <v>178</v>
      </c>
      <c r="O588" s="1">
        <v>8</v>
      </c>
      <c r="P588" s="1">
        <v>5</v>
      </c>
      <c r="Q588" s="1">
        <v>8.4</v>
      </c>
      <c r="R588" s="8" t="str">
        <f>_xlfn.IFS(J588&gt;=8,"Hit",J588&gt;=6,"Average",J588&lt;6,"Flop")</f>
        <v>Flop</v>
      </c>
      <c r="S588" s="9" t="str">
        <f>_xlfn.IFS(K588&gt;=400,"Blockbuster",K588&gt;=200,"Popular",K588&lt;200,"Normal")</f>
        <v>Normal</v>
      </c>
      <c r="T588" s="10" t="str">
        <f>IF(OR(I588="PG",I588="G"),"Yes","No")</f>
        <v>No</v>
      </c>
      <c r="U588" s="11" t="str">
        <f>IF(P588&gt;=100,"High","Low")</f>
        <v>Low</v>
      </c>
      <c r="V588" s="28">
        <f t="shared" si="18"/>
        <v>3.4000000000000004</v>
      </c>
      <c r="W588" s="29">
        <f t="shared" si="19"/>
        <v>168.00000000000003</v>
      </c>
    </row>
    <row r="589" spans="1:23" x14ac:dyDescent="0.3">
      <c r="A589" s="1" t="s">
        <v>1766</v>
      </c>
      <c r="B589" s="1" t="s">
        <v>1767</v>
      </c>
      <c r="C589" s="1" t="s">
        <v>46</v>
      </c>
      <c r="D589" s="1" t="s">
        <v>82</v>
      </c>
      <c r="E589" s="1">
        <v>2000</v>
      </c>
      <c r="F589" s="1" t="s">
        <v>76</v>
      </c>
      <c r="G589" s="1" t="s">
        <v>1768</v>
      </c>
      <c r="H589" s="1">
        <v>41</v>
      </c>
      <c r="I589" s="1" t="s">
        <v>22</v>
      </c>
      <c r="J589" s="1">
        <v>6.2</v>
      </c>
      <c r="K589" s="1">
        <v>64.8</v>
      </c>
      <c r="L589" s="1" t="s">
        <v>71</v>
      </c>
      <c r="M589" s="1" t="s">
        <v>66</v>
      </c>
      <c r="N589" s="1" t="s">
        <v>102</v>
      </c>
      <c r="O589" s="1">
        <v>8</v>
      </c>
      <c r="P589" s="1">
        <v>39</v>
      </c>
      <c r="Q589" s="1">
        <v>197.9</v>
      </c>
      <c r="R589" s="8" t="str">
        <f>_xlfn.IFS(J589&gt;=8,"Hit",J589&gt;=6,"Average",J589&lt;6,"Flop")</f>
        <v>Average</v>
      </c>
      <c r="S589" s="9" t="str">
        <f>_xlfn.IFS(K589&gt;=400,"Blockbuster",K589&gt;=200,"Popular",K589&lt;200,"Normal")</f>
        <v>Normal</v>
      </c>
      <c r="T589" s="10" t="str">
        <f>IF(OR(I589="PG",I589="G"),"Yes","No")</f>
        <v>No</v>
      </c>
      <c r="U589" s="11" t="str">
        <f>IF(P589&gt;=100,"High","Low")</f>
        <v>Low</v>
      </c>
      <c r="V589" s="28">
        <f t="shared" si="18"/>
        <v>158.9</v>
      </c>
      <c r="W589" s="29">
        <f t="shared" si="19"/>
        <v>507.4358974358974</v>
      </c>
    </row>
    <row r="590" spans="1:23" x14ac:dyDescent="0.3">
      <c r="A590" s="1" t="s">
        <v>1769</v>
      </c>
      <c r="B590" s="1" t="s">
        <v>1770</v>
      </c>
      <c r="C590" s="1" t="s">
        <v>18</v>
      </c>
      <c r="D590" s="1" t="s">
        <v>28</v>
      </c>
      <c r="E590" s="1">
        <v>2021</v>
      </c>
      <c r="F590" s="1" t="s">
        <v>29</v>
      </c>
      <c r="G590" s="1" t="s">
        <v>1771</v>
      </c>
      <c r="H590" s="1">
        <v>129</v>
      </c>
      <c r="I590" s="1" t="s">
        <v>110</v>
      </c>
      <c r="J590" s="1">
        <v>8.5</v>
      </c>
      <c r="K590" s="1">
        <v>354.8</v>
      </c>
      <c r="L590" s="1" t="s">
        <v>23</v>
      </c>
      <c r="M590" s="1" t="s">
        <v>42</v>
      </c>
      <c r="N590" s="1" t="s">
        <v>79</v>
      </c>
      <c r="O590" s="1"/>
      <c r="P590" s="1">
        <v>64</v>
      </c>
      <c r="Q590" s="1">
        <v>250.6</v>
      </c>
      <c r="R590" s="8" t="str">
        <f>_xlfn.IFS(J590&gt;=8,"Hit",J590&gt;=6,"Average",J590&lt;6,"Flop")</f>
        <v>Hit</v>
      </c>
      <c r="S590" s="9" t="str">
        <f>_xlfn.IFS(K590&gt;=400,"Blockbuster",K590&gt;=200,"Popular",K590&lt;200,"Normal")</f>
        <v>Popular</v>
      </c>
      <c r="T590" s="10" t="str">
        <f>IF(OR(I590="PG",I590="G"),"Yes","No")</f>
        <v>No</v>
      </c>
      <c r="U590" s="11" t="str">
        <f>IF(P590&gt;=100,"High","Low")</f>
        <v>Low</v>
      </c>
      <c r="V590" s="28">
        <f t="shared" si="18"/>
        <v>186.6</v>
      </c>
      <c r="W590" s="29">
        <f t="shared" si="19"/>
        <v>391.5625</v>
      </c>
    </row>
    <row r="591" spans="1:23" x14ac:dyDescent="0.3">
      <c r="A591" s="1" t="s">
        <v>1772</v>
      </c>
      <c r="B591" s="1" t="s">
        <v>1773</v>
      </c>
      <c r="C591" s="1" t="s">
        <v>46</v>
      </c>
      <c r="D591" s="1" t="s">
        <v>58</v>
      </c>
      <c r="E591" s="1">
        <v>2021</v>
      </c>
      <c r="F591" s="1" t="s">
        <v>48</v>
      </c>
      <c r="G591" s="1" t="s">
        <v>1095</v>
      </c>
      <c r="H591" s="1">
        <v>41</v>
      </c>
      <c r="I591" s="1" t="s">
        <v>40</v>
      </c>
      <c r="J591" s="1">
        <v>5.6</v>
      </c>
      <c r="K591" s="1">
        <v>518.1</v>
      </c>
      <c r="L591" s="1" t="s">
        <v>32</v>
      </c>
      <c r="M591" s="1" t="s">
        <v>146</v>
      </c>
      <c r="N591" s="1" t="s">
        <v>119</v>
      </c>
      <c r="O591" s="1">
        <v>2</v>
      </c>
      <c r="P591" s="1">
        <v>30</v>
      </c>
      <c r="Q591" s="1">
        <v>72.5</v>
      </c>
      <c r="R591" s="8" t="str">
        <f>_xlfn.IFS(J591&gt;=8,"Hit",J591&gt;=6,"Average",J591&lt;6,"Flop")</f>
        <v>Flop</v>
      </c>
      <c r="S591" s="9" t="str">
        <f>_xlfn.IFS(K591&gt;=400,"Blockbuster",K591&gt;=200,"Popular",K591&lt;200,"Normal")</f>
        <v>Blockbuster</v>
      </c>
      <c r="T591" s="10" t="str">
        <f>IF(OR(I591="PG",I591="G"),"Yes","No")</f>
        <v>Yes</v>
      </c>
      <c r="U591" s="11" t="str">
        <f>IF(P591&gt;=100,"High","Low")</f>
        <v>Low</v>
      </c>
      <c r="V591" s="28">
        <f t="shared" si="18"/>
        <v>42.5</v>
      </c>
      <c r="W591" s="29">
        <f t="shared" si="19"/>
        <v>241.66666666666666</v>
      </c>
    </row>
    <row r="592" spans="1:23" x14ac:dyDescent="0.3">
      <c r="A592" s="1" t="s">
        <v>1774</v>
      </c>
      <c r="B592" s="1" t="s">
        <v>1775</v>
      </c>
      <c r="C592" s="1" t="s">
        <v>46</v>
      </c>
      <c r="D592" s="1" t="s">
        <v>82</v>
      </c>
      <c r="E592" s="1">
        <v>2005</v>
      </c>
      <c r="F592" s="1" t="s">
        <v>38</v>
      </c>
      <c r="G592" s="1" t="s">
        <v>461</v>
      </c>
      <c r="H592" s="1">
        <v>42</v>
      </c>
      <c r="I592" s="1" t="s">
        <v>50</v>
      </c>
      <c r="J592" s="1">
        <v>5.7</v>
      </c>
      <c r="K592" s="1">
        <v>26</v>
      </c>
      <c r="L592" s="1" t="s">
        <v>32</v>
      </c>
      <c r="M592" s="1" t="s">
        <v>157</v>
      </c>
      <c r="N592" s="1" t="s">
        <v>60</v>
      </c>
      <c r="O592" s="1">
        <v>7</v>
      </c>
      <c r="P592" s="1">
        <v>64</v>
      </c>
      <c r="Q592" s="1">
        <v>274.8</v>
      </c>
      <c r="R592" s="8" t="str">
        <f>_xlfn.IFS(J592&gt;=8,"Hit",J592&gt;=6,"Average",J592&lt;6,"Flop")</f>
        <v>Flop</v>
      </c>
      <c r="S592" s="9" t="str">
        <f>_xlfn.IFS(K592&gt;=400,"Blockbuster",K592&gt;=200,"Popular",K592&lt;200,"Normal")</f>
        <v>Normal</v>
      </c>
      <c r="T592" s="10" t="str">
        <f>IF(OR(I592="PG",I592="G"),"Yes","No")</f>
        <v>Yes</v>
      </c>
      <c r="U592" s="11" t="str">
        <f>IF(P592&gt;=100,"High","Low")</f>
        <v>Low</v>
      </c>
      <c r="V592" s="28">
        <f t="shared" si="18"/>
        <v>210.8</v>
      </c>
      <c r="W592" s="29">
        <f t="shared" si="19"/>
        <v>429.375</v>
      </c>
    </row>
    <row r="593" spans="1:23" x14ac:dyDescent="0.3">
      <c r="A593" s="1" t="s">
        <v>1776</v>
      </c>
      <c r="B593" s="1" t="s">
        <v>1777</v>
      </c>
      <c r="C593" s="1" t="s">
        <v>46</v>
      </c>
      <c r="D593" s="1" t="s">
        <v>141</v>
      </c>
      <c r="E593" s="1">
        <v>2011</v>
      </c>
      <c r="F593" s="1" t="s">
        <v>29</v>
      </c>
      <c r="G593" s="1" t="s">
        <v>1778</v>
      </c>
      <c r="H593" s="1">
        <v>57</v>
      </c>
      <c r="I593" s="1" t="s">
        <v>40</v>
      </c>
      <c r="J593" s="1">
        <v>7.7</v>
      </c>
      <c r="K593" s="1">
        <v>158.1</v>
      </c>
      <c r="L593" s="1" t="s">
        <v>71</v>
      </c>
      <c r="M593" s="1" t="s">
        <v>157</v>
      </c>
      <c r="N593" s="1" t="s">
        <v>25</v>
      </c>
      <c r="O593" s="1">
        <v>5</v>
      </c>
      <c r="P593" s="1">
        <v>200</v>
      </c>
      <c r="Q593" s="1">
        <v>779.5</v>
      </c>
      <c r="R593" s="8" t="str">
        <f>_xlfn.IFS(J593&gt;=8,"Hit",J593&gt;=6,"Average",J593&lt;6,"Flop")</f>
        <v>Average</v>
      </c>
      <c r="S593" s="9" t="str">
        <f>_xlfn.IFS(K593&gt;=400,"Blockbuster",K593&gt;=200,"Popular",K593&lt;200,"Normal")</f>
        <v>Normal</v>
      </c>
      <c r="T593" s="10" t="str">
        <f>IF(OR(I593="PG",I593="G"),"Yes","No")</f>
        <v>Yes</v>
      </c>
      <c r="U593" s="11" t="str">
        <f>IF(P593&gt;=100,"High","Low")</f>
        <v>High</v>
      </c>
      <c r="V593" s="28">
        <f t="shared" si="18"/>
        <v>579.5</v>
      </c>
      <c r="W593" s="29">
        <f t="shared" si="19"/>
        <v>389.75</v>
      </c>
    </row>
    <row r="594" spans="1:23" x14ac:dyDescent="0.3">
      <c r="A594" s="1" t="s">
        <v>1779</v>
      </c>
      <c r="B594" s="1" t="s">
        <v>1780</v>
      </c>
      <c r="C594" s="1" t="s">
        <v>18</v>
      </c>
      <c r="D594" s="1" t="s">
        <v>141</v>
      </c>
      <c r="E594" s="1">
        <v>2024</v>
      </c>
      <c r="F594" s="1" t="s">
        <v>83</v>
      </c>
      <c r="G594" s="1" t="s">
        <v>1781</v>
      </c>
      <c r="H594" s="1">
        <v>121</v>
      </c>
      <c r="I594" s="1" t="s">
        <v>110</v>
      </c>
      <c r="J594" s="1">
        <v>6.2</v>
      </c>
      <c r="K594" s="1">
        <v>204.6</v>
      </c>
      <c r="L594" s="1" t="s">
        <v>41</v>
      </c>
      <c r="M594" s="1" t="s">
        <v>33</v>
      </c>
      <c r="N594" s="1" t="s">
        <v>79</v>
      </c>
      <c r="O594" s="1"/>
      <c r="P594" s="1">
        <v>108</v>
      </c>
      <c r="Q594" s="1">
        <v>217</v>
      </c>
      <c r="R594" s="8" t="str">
        <f>_xlfn.IFS(J594&gt;=8,"Hit",J594&gt;=6,"Average",J594&lt;6,"Flop")</f>
        <v>Average</v>
      </c>
      <c r="S594" s="9" t="str">
        <f>_xlfn.IFS(K594&gt;=400,"Blockbuster",K594&gt;=200,"Popular",K594&lt;200,"Normal")</f>
        <v>Popular</v>
      </c>
      <c r="T594" s="10" t="str">
        <f>IF(OR(I594="PG",I594="G"),"Yes","No")</f>
        <v>No</v>
      </c>
      <c r="U594" s="11" t="str">
        <f>IF(P594&gt;=100,"High","Low")</f>
        <v>High</v>
      </c>
      <c r="V594" s="28">
        <f t="shared" si="18"/>
        <v>109</v>
      </c>
      <c r="W594" s="29">
        <f t="shared" si="19"/>
        <v>200.9259259259259</v>
      </c>
    </row>
    <row r="595" spans="1:23" x14ac:dyDescent="0.3">
      <c r="A595" s="1" t="s">
        <v>1782</v>
      </c>
      <c r="B595" s="1" t="s">
        <v>1783</v>
      </c>
      <c r="C595" s="1" t="s">
        <v>18</v>
      </c>
      <c r="D595" s="1" t="s">
        <v>37</v>
      </c>
      <c r="E595" s="1">
        <v>2005</v>
      </c>
      <c r="F595" s="1" t="s">
        <v>38</v>
      </c>
      <c r="G595" s="1" t="s">
        <v>1784</v>
      </c>
      <c r="H595" s="1">
        <v>170</v>
      </c>
      <c r="I595" s="1" t="s">
        <v>22</v>
      </c>
      <c r="J595" s="1">
        <v>6.2</v>
      </c>
      <c r="K595" s="1">
        <v>314.60000000000002</v>
      </c>
      <c r="L595" s="1" t="s">
        <v>41</v>
      </c>
      <c r="M595" s="1" t="s">
        <v>54</v>
      </c>
      <c r="N595" s="1" t="s">
        <v>60</v>
      </c>
      <c r="O595" s="1"/>
      <c r="P595" s="1">
        <v>58</v>
      </c>
      <c r="Q595" s="1">
        <v>106.5</v>
      </c>
      <c r="R595" s="8" t="str">
        <f>_xlfn.IFS(J595&gt;=8,"Hit",J595&gt;=6,"Average",J595&lt;6,"Flop")</f>
        <v>Average</v>
      </c>
      <c r="S595" s="9" t="str">
        <f>_xlfn.IFS(K595&gt;=400,"Blockbuster",K595&gt;=200,"Popular",K595&lt;200,"Normal")</f>
        <v>Popular</v>
      </c>
      <c r="T595" s="10" t="str">
        <f>IF(OR(I595="PG",I595="G"),"Yes","No")</f>
        <v>No</v>
      </c>
      <c r="U595" s="11" t="str">
        <f>IF(P595&gt;=100,"High","Low")</f>
        <v>Low</v>
      </c>
      <c r="V595" s="28">
        <f t="shared" si="18"/>
        <v>48.5</v>
      </c>
      <c r="W595" s="29">
        <f t="shared" si="19"/>
        <v>183.62068965517241</v>
      </c>
    </row>
    <row r="596" spans="1:23" x14ac:dyDescent="0.3">
      <c r="A596" s="1" t="s">
        <v>1785</v>
      </c>
      <c r="B596" s="1" t="s">
        <v>1786</v>
      </c>
      <c r="C596" s="1" t="s">
        <v>18</v>
      </c>
      <c r="D596" s="1" t="s">
        <v>28</v>
      </c>
      <c r="E596" s="1">
        <v>2011</v>
      </c>
      <c r="F596" s="1" t="s">
        <v>20</v>
      </c>
      <c r="G596" s="1" t="s">
        <v>1787</v>
      </c>
      <c r="H596" s="1">
        <v>155</v>
      </c>
      <c r="I596" s="1" t="s">
        <v>110</v>
      </c>
      <c r="J596" s="1">
        <v>9.3000000000000007</v>
      </c>
      <c r="K596" s="1">
        <v>303.8</v>
      </c>
      <c r="L596" s="1" t="s">
        <v>23</v>
      </c>
      <c r="M596" s="1" t="s">
        <v>124</v>
      </c>
      <c r="N596" s="1" t="s">
        <v>128</v>
      </c>
      <c r="O596" s="1"/>
      <c r="P596" s="1">
        <v>81</v>
      </c>
      <c r="Q596" s="1">
        <v>403</v>
      </c>
      <c r="R596" s="8" t="str">
        <f>_xlfn.IFS(J596&gt;=8,"Hit",J596&gt;=6,"Average",J596&lt;6,"Flop")</f>
        <v>Hit</v>
      </c>
      <c r="S596" s="9" t="str">
        <f>_xlfn.IFS(K596&gt;=400,"Blockbuster",K596&gt;=200,"Popular",K596&lt;200,"Normal")</f>
        <v>Popular</v>
      </c>
      <c r="T596" s="10" t="str">
        <f>IF(OR(I596="PG",I596="G"),"Yes","No")</f>
        <v>No</v>
      </c>
      <c r="U596" s="11" t="str">
        <f>IF(P596&gt;=100,"High","Low")</f>
        <v>Low</v>
      </c>
      <c r="V596" s="28">
        <f t="shared" si="18"/>
        <v>322</v>
      </c>
      <c r="W596" s="29">
        <f t="shared" si="19"/>
        <v>497.53086419753083</v>
      </c>
    </row>
    <row r="597" spans="1:23" x14ac:dyDescent="0.3">
      <c r="A597" s="1" t="s">
        <v>1788</v>
      </c>
      <c r="B597" s="1" t="s">
        <v>1789</v>
      </c>
      <c r="C597" s="1" t="s">
        <v>18</v>
      </c>
      <c r="D597" s="1" t="s">
        <v>37</v>
      </c>
      <c r="E597" s="1">
        <v>2014</v>
      </c>
      <c r="F597" s="1" t="s">
        <v>48</v>
      </c>
      <c r="G597" s="1" t="s">
        <v>1790</v>
      </c>
      <c r="H597" s="1">
        <v>176</v>
      </c>
      <c r="I597" s="1" t="s">
        <v>22</v>
      </c>
      <c r="J597" s="1">
        <v>7.7</v>
      </c>
      <c r="K597" s="1">
        <v>455.2</v>
      </c>
      <c r="L597" s="1" t="s">
        <v>71</v>
      </c>
      <c r="M597" s="1" t="s">
        <v>85</v>
      </c>
      <c r="N597" s="1" t="s">
        <v>86</v>
      </c>
      <c r="O597" s="1"/>
      <c r="P597" s="1">
        <v>100</v>
      </c>
      <c r="Q597" s="1">
        <v>304.89999999999998</v>
      </c>
      <c r="R597" s="8" t="str">
        <f>_xlfn.IFS(J597&gt;=8,"Hit",J597&gt;=6,"Average",J597&lt;6,"Flop")</f>
        <v>Average</v>
      </c>
      <c r="S597" s="9" t="str">
        <f>_xlfn.IFS(K597&gt;=400,"Blockbuster",K597&gt;=200,"Popular",K597&lt;200,"Normal")</f>
        <v>Blockbuster</v>
      </c>
      <c r="T597" s="10" t="str">
        <f>IF(OR(I597="PG",I597="G"),"Yes","No")</f>
        <v>No</v>
      </c>
      <c r="U597" s="11" t="str">
        <f>IF(P597&gt;=100,"High","Low")</f>
        <v>High</v>
      </c>
      <c r="V597" s="28">
        <f t="shared" si="18"/>
        <v>204.89999999999998</v>
      </c>
      <c r="W597" s="29">
        <f t="shared" si="19"/>
        <v>304.89999999999998</v>
      </c>
    </row>
    <row r="598" spans="1:23" x14ac:dyDescent="0.3">
      <c r="A598" s="1" t="s">
        <v>1791</v>
      </c>
      <c r="B598" s="1" t="s">
        <v>1792</v>
      </c>
      <c r="C598" s="1" t="s">
        <v>18</v>
      </c>
      <c r="D598" s="1" t="s">
        <v>75</v>
      </c>
      <c r="E598" s="1">
        <v>2020</v>
      </c>
      <c r="F598" s="1" t="s">
        <v>20</v>
      </c>
      <c r="G598" s="1" t="s">
        <v>1793</v>
      </c>
      <c r="H598" s="1">
        <v>143</v>
      </c>
      <c r="I598" s="1" t="s">
        <v>40</v>
      </c>
      <c r="J598" s="1">
        <v>6.8</v>
      </c>
      <c r="K598" s="1">
        <v>168.6</v>
      </c>
      <c r="L598" s="1" t="s">
        <v>65</v>
      </c>
      <c r="M598" s="1" t="s">
        <v>72</v>
      </c>
      <c r="N598" s="1" t="s">
        <v>128</v>
      </c>
      <c r="O598" s="1"/>
      <c r="P598" s="1">
        <v>192</v>
      </c>
      <c r="Q598" s="1">
        <v>855.9</v>
      </c>
      <c r="R598" s="8" t="str">
        <f>_xlfn.IFS(J598&gt;=8,"Hit",J598&gt;=6,"Average",J598&lt;6,"Flop")</f>
        <v>Average</v>
      </c>
      <c r="S598" s="9" t="str">
        <f>_xlfn.IFS(K598&gt;=400,"Blockbuster",K598&gt;=200,"Popular",K598&lt;200,"Normal")</f>
        <v>Normal</v>
      </c>
      <c r="T598" s="10" t="str">
        <f>IF(OR(I598="PG",I598="G"),"Yes","No")</f>
        <v>Yes</v>
      </c>
      <c r="U598" s="11" t="str">
        <f>IF(P598&gt;=100,"High","Low")</f>
        <v>High</v>
      </c>
      <c r="V598" s="28">
        <f t="shared" si="18"/>
        <v>663.9</v>
      </c>
      <c r="W598" s="29">
        <f t="shared" si="19"/>
        <v>445.78125</v>
      </c>
    </row>
    <row r="599" spans="1:23" x14ac:dyDescent="0.3">
      <c r="A599" s="1" t="s">
        <v>1794</v>
      </c>
      <c r="B599" s="1" t="s">
        <v>1795</v>
      </c>
      <c r="C599" s="1" t="s">
        <v>18</v>
      </c>
      <c r="D599" s="1" t="s">
        <v>117</v>
      </c>
      <c r="E599" s="1">
        <v>2007</v>
      </c>
      <c r="F599" s="1" t="s">
        <v>29</v>
      </c>
      <c r="G599" s="1" t="s">
        <v>1796</v>
      </c>
      <c r="H599" s="1">
        <v>180</v>
      </c>
      <c r="I599" s="1" t="s">
        <v>50</v>
      </c>
      <c r="J599" s="1">
        <v>5.5</v>
      </c>
      <c r="K599" s="1">
        <v>348.8</v>
      </c>
      <c r="L599" s="1" t="s">
        <v>71</v>
      </c>
      <c r="M599" s="1" t="s">
        <v>85</v>
      </c>
      <c r="N599" s="1" t="s">
        <v>25</v>
      </c>
      <c r="O599" s="1"/>
      <c r="P599" s="1">
        <v>22</v>
      </c>
      <c r="Q599" s="1">
        <v>28.5</v>
      </c>
      <c r="R599" s="8" t="str">
        <f>_xlfn.IFS(J599&gt;=8,"Hit",J599&gt;=6,"Average",J599&lt;6,"Flop")</f>
        <v>Flop</v>
      </c>
      <c r="S599" s="9" t="str">
        <f>_xlfn.IFS(K599&gt;=400,"Blockbuster",K599&gt;=200,"Popular",K599&lt;200,"Normal")</f>
        <v>Popular</v>
      </c>
      <c r="T599" s="10" t="str">
        <f>IF(OR(I599="PG",I599="G"),"Yes","No")</f>
        <v>Yes</v>
      </c>
      <c r="U599" s="11" t="str">
        <f>IF(P599&gt;=100,"High","Low")</f>
        <v>Low</v>
      </c>
      <c r="V599" s="28">
        <f t="shared" si="18"/>
        <v>6.5</v>
      </c>
      <c r="W599" s="29">
        <f t="shared" si="19"/>
        <v>129.54545454545453</v>
      </c>
    </row>
    <row r="600" spans="1:23" x14ac:dyDescent="0.3">
      <c r="A600" s="1" t="s">
        <v>1797</v>
      </c>
      <c r="B600" s="1" t="s">
        <v>1798</v>
      </c>
      <c r="C600" s="1" t="s">
        <v>18</v>
      </c>
      <c r="D600" s="1" t="s">
        <v>37</v>
      </c>
      <c r="E600" s="1">
        <v>2012</v>
      </c>
      <c r="F600" s="1" t="s">
        <v>20</v>
      </c>
      <c r="G600" s="1" t="s">
        <v>1799</v>
      </c>
      <c r="H600" s="1">
        <v>114</v>
      </c>
      <c r="I600" s="1" t="s">
        <v>110</v>
      </c>
      <c r="J600" s="1">
        <v>7.3</v>
      </c>
      <c r="K600" s="1">
        <v>484.7</v>
      </c>
      <c r="L600" s="1" t="s">
        <v>23</v>
      </c>
      <c r="M600" s="1" t="s">
        <v>72</v>
      </c>
      <c r="N600" s="1" t="s">
        <v>60</v>
      </c>
      <c r="O600" s="1"/>
      <c r="P600" s="1">
        <v>144</v>
      </c>
      <c r="Q600" s="1">
        <v>189.3</v>
      </c>
      <c r="R600" s="8" t="str">
        <f>_xlfn.IFS(J600&gt;=8,"Hit",J600&gt;=6,"Average",J600&lt;6,"Flop")</f>
        <v>Average</v>
      </c>
      <c r="S600" s="9" t="str">
        <f>_xlfn.IFS(K600&gt;=400,"Blockbuster",K600&gt;=200,"Popular",K600&lt;200,"Normal")</f>
        <v>Blockbuster</v>
      </c>
      <c r="T600" s="10" t="str">
        <f>IF(OR(I600="PG",I600="G"),"Yes","No")</f>
        <v>No</v>
      </c>
      <c r="U600" s="11" t="str">
        <f>IF(P600&gt;=100,"High","Low")</f>
        <v>High</v>
      </c>
      <c r="V600" s="28">
        <f t="shared" si="18"/>
        <v>45.300000000000011</v>
      </c>
      <c r="W600" s="29">
        <f t="shared" si="19"/>
        <v>131.45833333333334</v>
      </c>
    </row>
    <row r="601" spans="1:23" x14ac:dyDescent="0.3">
      <c r="A601" s="1" t="s">
        <v>1800</v>
      </c>
      <c r="B601" s="1" t="s">
        <v>1801</v>
      </c>
      <c r="C601" s="1" t="s">
        <v>18</v>
      </c>
      <c r="D601" s="1" t="s">
        <v>58</v>
      </c>
      <c r="E601" s="1">
        <v>2017</v>
      </c>
      <c r="F601" s="1" t="s">
        <v>122</v>
      </c>
      <c r="G601" s="1" t="s">
        <v>1802</v>
      </c>
      <c r="H601" s="1">
        <v>148</v>
      </c>
      <c r="I601" s="1" t="s">
        <v>110</v>
      </c>
      <c r="J601" s="1">
        <v>8.3000000000000007</v>
      </c>
      <c r="K601" s="1">
        <v>473.7</v>
      </c>
      <c r="L601" s="1" t="s">
        <v>23</v>
      </c>
      <c r="M601" s="1" t="s">
        <v>106</v>
      </c>
      <c r="N601" s="1" t="s">
        <v>60</v>
      </c>
      <c r="O601" s="1"/>
      <c r="P601" s="1">
        <v>43</v>
      </c>
      <c r="Q601" s="1">
        <v>133.69999999999999</v>
      </c>
      <c r="R601" s="8" t="str">
        <f>_xlfn.IFS(J601&gt;=8,"Hit",J601&gt;=6,"Average",J601&lt;6,"Flop")</f>
        <v>Hit</v>
      </c>
      <c r="S601" s="9" t="str">
        <f>_xlfn.IFS(K601&gt;=400,"Blockbuster",K601&gt;=200,"Popular",K601&lt;200,"Normal")</f>
        <v>Blockbuster</v>
      </c>
      <c r="T601" s="10" t="str">
        <f>IF(OR(I601="PG",I601="G"),"Yes","No")</f>
        <v>No</v>
      </c>
      <c r="U601" s="11" t="str">
        <f>IF(P601&gt;=100,"High","Low")</f>
        <v>Low</v>
      </c>
      <c r="V601" s="28">
        <f t="shared" si="18"/>
        <v>90.699999999999989</v>
      </c>
      <c r="W601" s="29">
        <f t="shared" si="19"/>
        <v>310.93023255813949</v>
      </c>
    </row>
    <row r="602" spans="1:23" x14ac:dyDescent="0.3">
      <c r="A602" s="1" t="s">
        <v>1803</v>
      </c>
      <c r="B602" s="1" t="s">
        <v>1804</v>
      </c>
      <c r="C602" s="1" t="s">
        <v>18</v>
      </c>
      <c r="D602" s="1" t="s">
        <v>117</v>
      </c>
      <c r="E602" s="1">
        <v>2021</v>
      </c>
      <c r="F602" s="1" t="s">
        <v>100</v>
      </c>
      <c r="G602" s="1" t="s">
        <v>1805</v>
      </c>
      <c r="H602" s="1">
        <v>129</v>
      </c>
      <c r="I602" s="1" t="s">
        <v>50</v>
      </c>
      <c r="J602" s="1">
        <v>6.9</v>
      </c>
      <c r="K602" s="1">
        <v>589.4</v>
      </c>
      <c r="L602" s="1" t="s">
        <v>41</v>
      </c>
      <c r="M602" s="1" t="s">
        <v>146</v>
      </c>
      <c r="N602" s="1" t="s">
        <v>67</v>
      </c>
      <c r="O602" s="1"/>
      <c r="P602" s="1">
        <v>12</v>
      </c>
      <c r="Q602" s="1">
        <v>27.5</v>
      </c>
      <c r="R602" s="8" t="str">
        <f>_xlfn.IFS(J602&gt;=8,"Hit",J602&gt;=6,"Average",J602&lt;6,"Flop")</f>
        <v>Average</v>
      </c>
      <c r="S602" s="9" t="str">
        <f>_xlfn.IFS(K602&gt;=400,"Blockbuster",K602&gt;=200,"Popular",K602&lt;200,"Normal")</f>
        <v>Blockbuster</v>
      </c>
      <c r="T602" s="10" t="str">
        <f>IF(OR(I602="PG",I602="G"),"Yes","No")</f>
        <v>Yes</v>
      </c>
      <c r="U602" s="11" t="str">
        <f>IF(P602&gt;=100,"High","Low")</f>
        <v>Low</v>
      </c>
      <c r="V602" s="28">
        <f t="shared" si="18"/>
        <v>15.5</v>
      </c>
      <c r="W602" s="29">
        <f t="shared" si="19"/>
        <v>229.16666666666666</v>
      </c>
    </row>
    <row r="603" spans="1:23" x14ac:dyDescent="0.3">
      <c r="A603" s="1" t="s">
        <v>1806</v>
      </c>
      <c r="B603" s="1" t="s">
        <v>1807</v>
      </c>
      <c r="C603" s="1" t="s">
        <v>18</v>
      </c>
      <c r="D603" s="1" t="s">
        <v>63</v>
      </c>
      <c r="E603" s="1">
        <v>2014</v>
      </c>
      <c r="F603" s="1" t="s">
        <v>100</v>
      </c>
      <c r="G603" s="1" t="s">
        <v>1808</v>
      </c>
      <c r="H603" s="1">
        <v>105</v>
      </c>
      <c r="I603" s="1" t="s">
        <v>31</v>
      </c>
      <c r="J603" s="1">
        <v>7.8</v>
      </c>
      <c r="K603" s="1">
        <v>222.3</v>
      </c>
      <c r="L603" s="1" t="s">
        <v>32</v>
      </c>
      <c r="M603" s="1" t="s">
        <v>24</v>
      </c>
      <c r="N603" s="1" t="s">
        <v>34</v>
      </c>
      <c r="O603" s="1"/>
      <c r="P603" s="1">
        <v>99</v>
      </c>
      <c r="Q603" s="1">
        <v>277</v>
      </c>
      <c r="R603" s="8" t="str">
        <f>_xlfn.IFS(J603&gt;=8,"Hit",J603&gt;=6,"Average",J603&lt;6,"Flop")</f>
        <v>Average</v>
      </c>
      <c r="S603" s="9" t="str">
        <f>_xlfn.IFS(K603&gt;=400,"Blockbuster",K603&gt;=200,"Popular",K603&lt;200,"Normal")</f>
        <v>Popular</v>
      </c>
      <c r="T603" s="10" t="str">
        <f>IF(OR(I603="PG",I603="G"),"Yes","No")</f>
        <v>No</v>
      </c>
      <c r="U603" s="11" t="str">
        <f>IF(P603&gt;=100,"High","Low")</f>
        <v>Low</v>
      </c>
      <c r="V603" s="28">
        <f t="shared" si="18"/>
        <v>178</v>
      </c>
      <c r="W603" s="29">
        <f t="shared" si="19"/>
        <v>279.79797979797979</v>
      </c>
    </row>
    <row r="604" spans="1:23" x14ac:dyDescent="0.3">
      <c r="A604" s="1" t="s">
        <v>1809</v>
      </c>
      <c r="B604" s="1" t="s">
        <v>1810</v>
      </c>
      <c r="C604" s="1" t="s">
        <v>46</v>
      </c>
      <c r="D604" s="1" t="s">
        <v>37</v>
      </c>
      <c r="E604" s="1">
        <v>2024</v>
      </c>
      <c r="F604" s="1" t="s">
        <v>20</v>
      </c>
      <c r="G604" s="1" t="s">
        <v>1811</v>
      </c>
      <c r="H604" s="1">
        <v>33</v>
      </c>
      <c r="I604" s="1" t="s">
        <v>31</v>
      </c>
      <c r="J604" s="1">
        <v>6.2</v>
      </c>
      <c r="K604" s="1">
        <v>503</v>
      </c>
      <c r="L604" s="1" t="s">
        <v>90</v>
      </c>
      <c r="M604" s="1" t="s">
        <v>85</v>
      </c>
      <c r="N604" s="1" t="s">
        <v>119</v>
      </c>
      <c r="O604" s="1">
        <v>4</v>
      </c>
      <c r="P604" s="1">
        <v>101</v>
      </c>
      <c r="Q604" s="1">
        <v>214.1</v>
      </c>
      <c r="R604" s="8" t="str">
        <f>_xlfn.IFS(J604&gt;=8,"Hit",J604&gt;=6,"Average",J604&lt;6,"Flop")</f>
        <v>Average</v>
      </c>
      <c r="S604" s="9" t="str">
        <f>_xlfn.IFS(K604&gt;=400,"Blockbuster",K604&gt;=200,"Popular",K604&lt;200,"Normal")</f>
        <v>Blockbuster</v>
      </c>
      <c r="T604" s="10" t="str">
        <f>IF(OR(I604="PG",I604="G"),"Yes","No")</f>
        <v>No</v>
      </c>
      <c r="U604" s="11" t="str">
        <f>IF(P604&gt;=100,"High","Low")</f>
        <v>High</v>
      </c>
      <c r="V604" s="28">
        <f t="shared" si="18"/>
        <v>113.1</v>
      </c>
      <c r="W604" s="29">
        <f t="shared" si="19"/>
        <v>211.980198019802</v>
      </c>
    </row>
    <row r="605" spans="1:23" x14ac:dyDescent="0.3">
      <c r="A605" s="1" t="s">
        <v>1812</v>
      </c>
      <c r="B605" s="1" t="s">
        <v>1813</v>
      </c>
      <c r="C605" s="1" t="s">
        <v>46</v>
      </c>
      <c r="D605" s="1" t="s">
        <v>141</v>
      </c>
      <c r="E605" s="1">
        <v>2004</v>
      </c>
      <c r="F605" s="1" t="s">
        <v>38</v>
      </c>
      <c r="G605" s="1" t="s">
        <v>396</v>
      </c>
      <c r="H605" s="1">
        <v>41</v>
      </c>
      <c r="I605" s="1" t="s">
        <v>22</v>
      </c>
      <c r="J605" s="1">
        <v>8</v>
      </c>
      <c r="K605" s="1">
        <v>187</v>
      </c>
      <c r="L605" s="1" t="s">
        <v>171</v>
      </c>
      <c r="M605" s="1" t="s">
        <v>72</v>
      </c>
      <c r="N605" s="1" t="s">
        <v>43</v>
      </c>
      <c r="O605" s="1">
        <v>4</v>
      </c>
      <c r="P605" s="1">
        <v>94</v>
      </c>
      <c r="Q605" s="1">
        <v>133.6</v>
      </c>
      <c r="R605" s="8" t="str">
        <f>_xlfn.IFS(J605&gt;=8,"Hit",J605&gt;=6,"Average",J605&lt;6,"Flop")</f>
        <v>Hit</v>
      </c>
      <c r="S605" s="9" t="str">
        <f>_xlfn.IFS(K605&gt;=400,"Blockbuster",K605&gt;=200,"Popular",K605&lt;200,"Normal")</f>
        <v>Normal</v>
      </c>
      <c r="T605" s="10" t="str">
        <f>IF(OR(I605="PG",I605="G"),"Yes","No")</f>
        <v>No</v>
      </c>
      <c r="U605" s="11" t="str">
        <f>IF(P605&gt;=100,"High","Low")</f>
        <v>Low</v>
      </c>
      <c r="V605" s="28">
        <f t="shared" si="18"/>
        <v>39.599999999999994</v>
      </c>
      <c r="W605" s="29">
        <f t="shared" si="19"/>
        <v>142.12765957446805</v>
      </c>
    </row>
    <row r="606" spans="1:23" x14ac:dyDescent="0.3">
      <c r="A606" s="1" t="s">
        <v>1814</v>
      </c>
      <c r="B606" s="1" t="s">
        <v>1815</v>
      </c>
      <c r="C606" s="1" t="s">
        <v>46</v>
      </c>
      <c r="D606" s="1" t="s">
        <v>47</v>
      </c>
      <c r="E606" s="1">
        <v>2002</v>
      </c>
      <c r="F606" s="1" t="s">
        <v>95</v>
      </c>
      <c r="G606" s="1" t="s">
        <v>1816</v>
      </c>
      <c r="H606" s="1">
        <v>42</v>
      </c>
      <c r="I606" s="1" t="s">
        <v>110</v>
      </c>
      <c r="J606" s="1">
        <v>7.6</v>
      </c>
      <c r="K606" s="1">
        <v>512.79999999999995</v>
      </c>
      <c r="L606" s="1" t="s">
        <v>171</v>
      </c>
      <c r="M606" s="1" t="s">
        <v>111</v>
      </c>
      <c r="N606" s="1" t="s">
        <v>55</v>
      </c>
      <c r="O606" s="1">
        <v>8</v>
      </c>
      <c r="P606" s="1">
        <v>64</v>
      </c>
      <c r="Q606" s="1">
        <v>124.7</v>
      </c>
      <c r="R606" s="8" t="str">
        <f>_xlfn.IFS(J606&gt;=8,"Hit",J606&gt;=6,"Average",J606&lt;6,"Flop")</f>
        <v>Average</v>
      </c>
      <c r="S606" s="9" t="str">
        <f>_xlfn.IFS(K606&gt;=400,"Blockbuster",K606&gt;=200,"Popular",K606&lt;200,"Normal")</f>
        <v>Blockbuster</v>
      </c>
      <c r="T606" s="10" t="str">
        <f>IF(OR(I606="PG",I606="G"),"Yes","No")</f>
        <v>No</v>
      </c>
      <c r="U606" s="11" t="str">
        <f>IF(P606&gt;=100,"High","Low")</f>
        <v>Low</v>
      </c>
      <c r="V606" s="28">
        <f t="shared" si="18"/>
        <v>60.7</v>
      </c>
      <c r="W606" s="29">
        <f t="shared" si="19"/>
        <v>194.84375</v>
      </c>
    </row>
    <row r="607" spans="1:23" x14ac:dyDescent="0.3">
      <c r="A607" s="1" t="s">
        <v>1817</v>
      </c>
      <c r="B607" s="1" t="s">
        <v>1818</v>
      </c>
      <c r="C607" s="1" t="s">
        <v>46</v>
      </c>
      <c r="D607" s="1" t="s">
        <v>117</v>
      </c>
      <c r="E607" s="1">
        <v>2011</v>
      </c>
      <c r="F607" s="1" t="s">
        <v>95</v>
      </c>
      <c r="G607" s="1" t="s">
        <v>1819</v>
      </c>
      <c r="H607" s="1">
        <v>40</v>
      </c>
      <c r="I607" s="1" t="s">
        <v>40</v>
      </c>
      <c r="J607" s="1">
        <v>5.5</v>
      </c>
      <c r="K607" s="1">
        <v>29.6</v>
      </c>
      <c r="L607" s="1" t="s">
        <v>32</v>
      </c>
      <c r="M607" s="1" t="s">
        <v>132</v>
      </c>
      <c r="N607" s="1" t="s">
        <v>86</v>
      </c>
      <c r="O607" s="1">
        <v>1</v>
      </c>
      <c r="P607" s="1">
        <v>69</v>
      </c>
      <c r="Q607" s="1">
        <v>385.9</v>
      </c>
      <c r="R607" s="8" t="str">
        <f>_xlfn.IFS(J607&gt;=8,"Hit",J607&gt;=6,"Average",J607&lt;6,"Flop")</f>
        <v>Flop</v>
      </c>
      <c r="S607" s="9" t="str">
        <f>_xlfn.IFS(K607&gt;=400,"Blockbuster",K607&gt;=200,"Popular",K607&lt;200,"Normal")</f>
        <v>Normal</v>
      </c>
      <c r="T607" s="10" t="str">
        <f>IF(OR(I607="PG",I607="G"),"Yes","No")</f>
        <v>Yes</v>
      </c>
      <c r="U607" s="11" t="str">
        <f>IF(P607&gt;=100,"High","Low")</f>
        <v>Low</v>
      </c>
      <c r="V607" s="28">
        <f t="shared" si="18"/>
        <v>316.89999999999998</v>
      </c>
      <c r="W607" s="29">
        <f t="shared" si="19"/>
        <v>559.27536231884062</v>
      </c>
    </row>
    <row r="608" spans="1:23" x14ac:dyDescent="0.3">
      <c r="A608" s="1" t="s">
        <v>1820</v>
      </c>
      <c r="B608" s="1" t="s">
        <v>1821</v>
      </c>
      <c r="C608" s="1" t="s">
        <v>46</v>
      </c>
      <c r="D608" s="1" t="s">
        <v>94</v>
      </c>
      <c r="E608" s="1">
        <v>2010</v>
      </c>
      <c r="F608" s="1" t="s">
        <v>38</v>
      </c>
      <c r="G608" s="1" t="s">
        <v>1822</v>
      </c>
      <c r="H608" s="1">
        <v>55</v>
      </c>
      <c r="I608" s="1" t="s">
        <v>110</v>
      </c>
      <c r="J608" s="1">
        <v>7.4</v>
      </c>
      <c r="K608" s="1">
        <v>186.9</v>
      </c>
      <c r="L608" s="1" t="s">
        <v>41</v>
      </c>
      <c r="M608" s="1" t="s">
        <v>42</v>
      </c>
      <c r="N608" s="1" t="s">
        <v>102</v>
      </c>
      <c r="O608" s="1">
        <v>7</v>
      </c>
      <c r="P608" s="1">
        <v>195</v>
      </c>
      <c r="Q608" s="1">
        <v>494.4</v>
      </c>
      <c r="R608" s="8" t="str">
        <f>_xlfn.IFS(J608&gt;=8,"Hit",J608&gt;=6,"Average",J608&lt;6,"Flop")</f>
        <v>Average</v>
      </c>
      <c r="S608" s="9" t="str">
        <f>_xlfn.IFS(K608&gt;=400,"Blockbuster",K608&gt;=200,"Popular",K608&lt;200,"Normal")</f>
        <v>Normal</v>
      </c>
      <c r="T608" s="10" t="str">
        <f>IF(OR(I608="PG",I608="G"),"Yes","No")</f>
        <v>No</v>
      </c>
      <c r="U608" s="11" t="str">
        <f>IF(P608&gt;=100,"High","Low")</f>
        <v>High</v>
      </c>
      <c r="V608" s="28">
        <f t="shared" si="18"/>
        <v>299.39999999999998</v>
      </c>
      <c r="W608" s="29">
        <f t="shared" si="19"/>
        <v>253.53846153846155</v>
      </c>
    </row>
    <row r="609" spans="1:23" x14ac:dyDescent="0.3">
      <c r="A609" s="1" t="s">
        <v>1823</v>
      </c>
      <c r="B609" s="1" t="s">
        <v>1824</v>
      </c>
      <c r="C609" s="1" t="s">
        <v>18</v>
      </c>
      <c r="D609" s="1" t="s">
        <v>47</v>
      </c>
      <c r="E609" s="1">
        <v>2008</v>
      </c>
      <c r="F609" s="1" t="s">
        <v>29</v>
      </c>
      <c r="G609" s="1" t="s">
        <v>1825</v>
      </c>
      <c r="H609" s="1">
        <v>170</v>
      </c>
      <c r="I609" s="1" t="s">
        <v>110</v>
      </c>
      <c r="J609" s="1">
        <v>9.4</v>
      </c>
      <c r="K609" s="1">
        <v>292.39999999999998</v>
      </c>
      <c r="L609" s="1" t="s">
        <v>90</v>
      </c>
      <c r="M609" s="1" t="s">
        <v>85</v>
      </c>
      <c r="N609" s="1" t="s">
        <v>55</v>
      </c>
      <c r="O609" s="1"/>
      <c r="P609" s="1">
        <v>11</v>
      </c>
      <c r="Q609" s="1">
        <v>25.3</v>
      </c>
      <c r="R609" s="8" t="str">
        <f>_xlfn.IFS(J609&gt;=8,"Hit",J609&gt;=6,"Average",J609&lt;6,"Flop")</f>
        <v>Hit</v>
      </c>
      <c r="S609" s="9" t="str">
        <f>_xlfn.IFS(K609&gt;=400,"Blockbuster",K609&gt;=200,"Popular",K609&lt;200,"Normal")</f>
        <v>Popular</v>
      </c>
      <c r="T609" s="10" t="str">
        <f>IF(OR(I609="PG",I609="G"),"Yes","No")</f>
        <v>No</v>
      </c>
      <c r="U609" s="11" t="str">
        <f>IF(P609&gt;=100,"High","Low")</f>
        <v>Low</v>
      </c>
      <c r="V609" s="28">
        <f t="shared" si="18"/>
        <v>14.3</v>
      </c>
      <c r="W609" s="29">
        <f t="shared" si="19"/>
        <v>230.00000000000003</v>
      </c>
    </row>
    <row r="610" spans="1:23" x14ac:dyDescent="0.3">
      <c r="A610" s="1" t="s">
        <v>1826</v>
      </c>
      <c r="B610" s="1" t="s">
        <v>1827</v>
      </c>
      <c r="C610" s="1" t="s">
        <v>18</v>
      </c>
      <c r="D610" s="1" t="s">
        <v>58</v>
      </c>
      <c r="E610" s="1">
        <v>2008</v>
      </c>
      <c r="F610" s="1" t="s">
        <v>20</v>
      </c>
      <c r="G610" s="1" t="s">
        <v>1828</v>
      </c>
      <c r="H610" s="1">
        <v>155</v>
      </c>
      <c r="I610" s="1" t="s">
        <v>22</v>
      </c>
      <c r="J610" s="1">
        <v>7.6</v>
      </c>
      <c r="K610" s="1">
        <v>146.30000000000001</v>
      </c>
      <c r="L610" s="1" t="s">
        <v>32</v>
      </c>
      <c r="M610" s="1" t="s">
        <v>66</v>
      </c>
      <c r="N610" s="1" t="s">
        <v>60</v>
      </c>
      <c r="O610" s="1"/>
      <c r="P610" s="1">
        <v>110</v>
      </c>
      <c r="Q610" s="1">
        <v>623.70000000000005</v>
      </c>
      <c r="R610" s="8" t="str">
        <f>_xlfn.IFS(J610&gt;=8,"Hit",J610&gt;=6,"Average",J610&lt;6,"Flop")</f>
        <v>Average</v>
      </c>
      <c r="S610" s="9" t="str">
        <f>_xlfn.IFS(K610&gt;=400,"Blockbuster",K610&gt;=200,"Popular",K610&lt;200,"Normal")</f>
        <v>Normal</v>
      </c>
      <c r="T610" s="10" t="str">
        <f>IF(OR(I610="PG",I610="G"),"Yes","No")</f>
        <v>No</v>
      </c>
      <c r="U610" s="11" t="str">
        <f>IF(P610&gt;=100,"High","Low")</f>
        <v>High</v>
      </c>
      <c r="V610" s="28">
        <f t="shared" si="18"/>
        <v>513.70000000000005</v>
      </c>
      <c r="W610" s="29">
        <f t="shared" si="19"/>
        <v>567.00000000000011</v>
      </c>
    </row>
    <row r="611" spans="1:23" x14ac:dyDescent="0.3">
      <c r="A611" s="1" t="s">
        <v>1829</v>
      </c>
      <c r="B611" s="1" t="s">
        <v>1830</v>
      </c>
      <c r="C611" s="1" t="s">
        <v>18</v>
      </c>
      <c r="D611" s="1" t="s">
        <v>141</v>
      </c>
      <c r="E611" s="1">
        <v>2010</v>
      </c>
      <c r="F611" s="1" t="s">
        <v>95</v>
      </c>
      <c r="G611" s="1" t="s">
        <v>1831</v>
      </c>
      <c r="H611" s="1">
        <v>157</v>
      </c>
      <c r="I611" s="1" t="s">
        <v>110</v>
      </c>
      <c r="J611" s="1">
        <v>8</v>
      </c>
      <c r="K611" s="1">
        <v>207.4</v>
      </c>
      <c r="L611" s="1" t="s">
        <v>71</v>
      </c>
      <c r="M611" s="1" t="s">
        <v>97</v>
      </c>
      <c r="N611" s="1" t="s">
        <v>158</v>
      </c>
      <c r="O611" s="1"/>
      <c r="P611" s="1">
        <v>102</v>
      </c>
      <c r="Q611" s="1">
        <v>154</v>
      </c>
      <c r="R611" s="8" t="str">
        <f>_xlfn.IFS(J611&gt;=8,"Hit",J611&gt;=6,"Average",J611&lt;6,"Flop")</f>
        <v>Hit</v>
      </c>
      <c r="S611" s="9" t="str">
        <f>_xlfn.IFS(K611&gt;=400,"Blockbuster",K611&gt;=200,"Popular",K611&lt;200,"Normal")</f>
        <v>Popular</v>
      </c>
      <c r="T611" s="10" t="str">
        <f>IF(OR(I611="PG",I611="G"),"Yes","No")</f>
        <v>No</v>
      </c>
      <c r="U611" s="11" t="str">
        <f>IF(P611&gt;=100,"High","Low")</f>
        <v>High</v>
      </c>
      <c r="V611" s="28">
        <f t="shared" si="18"/>
        <v>52</v>
      </c>
      <c r="W611" s="29">
        <f t="shared" si="19"/>
        <v>150.98039215686273</v>
      </c>
    </row>
    <row r="612" spans="1:23" x14ac:dyDescent="0.3">
      <c r="A612" s="1" t="s">
        <v>1832</v>
      </c>
      <c r="B612" s="1" t="s">
        <v>1833</v>
      </c>
      <c r="C612" s="1" t="s">
        <v>46</v>
      </c>
      <c r="D612" s="1" t="s">
        <v>37</v>
      </c>
      <c r="E612" s="1">
        <v>2011</v>
      </c>
      <c r="F612" s="1" t="s">
        <v>20</v>
      </c>
      <c r="G612" s="1" t="s">
        <v>1834</v>
      </c>
      <c r="H612" s="1">
        <v>32</v>
      </c>
      <c r="I612" s="1" t="s">
        <v>110</v>
      </c>
      <c r="J612" s="1">
        <v>7.2</v>
      </c>
      <c r="K612" s="1">
        <v>503.6</v>
      </c>
      <c r="L612" s="1" t="s">
        <v>23</v>
      </c>
      <c r="M612" s="1" t="s">
        <v>72</v>
      </c>
      <c r="N612" s="1" t="s">
        <v>55</v>
      </c>
      <c r="O612" s="1">
        <v>6</v>
      </c>
      <c r="P612" s="1">
        <v>12</v>
      </c>
      <c r="Q612" s="1">
        <v>31.1</v>
      </c>
      <c r="R612" s="8" t="str">
        <f>_xlfn.IFS(J612&gt;=8,"Hit",J612&gt;=6,"Average",J612&lt;6,"Flop")</f>
        <v>Average</v>
      </c>
      <c r="S612" s="9" t="str">
        <f>_xlfn.IFS(K612&gt;=400,"Blockbuster",K612&gt;=200,"Popular",K612&lt;200,"Normal")</f>
        <v>Blockbuster</v>
      </c>
      <c r="T612" s="10" t="str">
        <f>IF(OR(I612="PG",I612="G"),"Yes","No")</f>
        <v>No</v>
      </c>
      <c r="U612" s="11" t="str">
        <f>IF(P612&gt;=100,"High","Low")</f>
        <v>Low</v>
      </c>
      <c r="V612" s="28">
        <f t="shared" si="18"/>
        <v>19.100000000000001</v>
      </c>
      <c r="W612" s="29">
        <f t="shared" si="19"/>
        <v>259.16666666666669</v>
      </c>
    </row>
    <row r="613" spans="1:23" x14ac:dyDescent="0.3">
      <c r="A613" s="1" t="s">
        <v>1835</v>
      </c>
      <c r="B613" s="1" t="s">
        <v>1836</v>
      </c>
      <c r="C613" s="1" t="s">
        <v>18</v>
      </c>
      <c r="D613" s="1" t="s">
        <v>19</v>
      </c>
      <c r="E613" s="1">
        <v>2005</v>
      </c>
      <c r="F613" s="1" t="s">
        <v>100</v>
      </c>
      <c r="G613" s="1" t="s">
        <v>1828</v>
      </c>
      <c r="H613" s="1">
        <v>158</v>
      </c>
      <c r="I613" s="1" t="s">
        <v>22</v>
      </c>
      <c r="J613" s="1">
        <v>8.1999999999999993</v>
      </c>
      <c r="K613" s="1">
        <v>211.2</v>
      </c>
      <c r="L613" s="1" t="s">
        <v>171</v>
      </c>
      <c r="M613" s="1" t="s">
        <v>111</v>
      </c>
      <c r="N613" s="1" t="s">
        <v>158</v>
      </c>
      <c r="O613" s="1"/>
      <c r="P613" s="1">
        <v>153</v>
      </c>
      <c r="Q613" s="1">
        <v>775.8</v>
      </c>
      <c r="R613" s="8" t="str">
        <f>_xlfn.IFS(J613&gt;=8,"Hit",J613&gt;=6,"Average",J613&lt;6,"Flop")</f>
        <v>Hit</v>
      </c>
      <c r="S613" s="9" t="str">
        <f>_xlfn.IFS(K613&gt;=400,"Blockbuster",K613&gt;=200,"Popular",K613&lt;200,"Normal")</f>
        <v>Popular</v>
      </c>
      <c r="T613" s="10" t="str">
        <f>IF(OR(I613="PG",I613="G"),"Yes","No")</f>
        <v>No</v>
      </c>
      <c r="U613" s="11" t="str">
        <f>IF(P613&gt;=100,"High","Low")</f>
        <v>High</v>
      </c>
      <c r="V613" s="28">
        <f t="shared" si="18"/>
        <v>622.79999999999995</v>
      </c>
      <c r="W613" s="29">
        <f t="shared" si="19"/>
        <v>507.05882352941171</v>
      </c>
    </row>
    <row r="614" spans="1:23" x14ac:dyDescent="0.3">
      <c r="A614" s="1" t="s">
        <v>1837</v>
      </c>
      <c r="B614" s="1" t="s">
        <v>1838</v>
      </c>
      <c r="C614" s="1" t="s">
        <v>46</v>
      </c>
      <c r="D614" s="1" t="s">
        <v>19</v>
      </c>
      <c r="E614" s="1">
        <v>2019</v>
      </c>
      <c r="F614" s="1" t="s">
        <v>83</v>
      </c>
      <c r="G614" s="1" t="s">
        <v>1839</v>
      </c>
      <c r="H614" s="1">
        <v>33</v>
      </c>
      <c r="I614" s="1" t="s">
        <v>110</v>
      </c>
      <c r="J614" s="1">
        <v>6.5</v>
      </c>
      <c r="K614" s="1">
        <v>332.1</v>
      </c>
      <c r="L614" s="1" t="s">
        <v>71</v>
      </c>
      <c r="M614" s="1" t="s">
        <v>111</v>
      </c>
      <c r="N614" s="1" t="s">
        <v>34</v>
      </c>
      <c r="O614" s="1">
        <v>7</v>
      </c>
      <c r="P614" s="1">
        <v>156</v>
      </c>
      <c r="Q614" s="1">
        <v>706.6</v>
      </c>
      <c r="R614" s="8" t="str">
        <f>_xlfn.IFS(J614&gt;=8,"Hit",J614&gt;=6,"Average",J614&lt;6,"Flop")</f>
        <v>Average</v>
      </c>
      <c r="S614" s="9" t="str">
        <f>_xlfn.IFS(K614&gt;=400,"Blockbuster",K614&gt;=200,"Popular",K614&lt;200,"Normal")</f>
        <v>Popular</v>
      </c>
      <c r="T614" s="10" t="str">
        <f>IF(OR(I614="PG",I614="G"),"Yes","No")</f>
        <v>No</v>
      </c>
      <c r="U614" s="11" t="str">
        <f>IF(P614&gt;=100,"High","Low")</f>
        <v>High</v>
      </c>
      <c r="V614" s="28">
        <f t="shared" si="18"/>
        <v>550.6</v>
      </c>
      <c r="W614" s="29">
        <f t="shared" si="19"/>
        <v>452.94871794871796</v>
      </c>
    </row>
    <row r="615" spans="1:23" x14ac:dyDescent="0.3">
      <c r="A615" s="1" t="s">
        <v>1840</v>
      </c>
      <c r="B615" s="1" t="s">
        <v>1841</v>
      </c>
      <c r="C615" s="1" t="s">
        <v>46</v>
      </c>
      <c r="D615" s="1" t="s">
        <v>117</v>
      </c>
      <c r="E615" s="1">
        <v>2000</v>
      </c>
      <c r="F615" s="1" t="s">
        <v>20</v>
      </c>
      <c r="G615" s="1" t="s">
        <v>1842</v>
      </c>
      <c r="H615" s="1">
        <v>43</v>
      </c>
      <c r="I615" s="1" t="s">
        <v>40</v>
      </c>
      <c r="J615" s="1">
        <v>6.8</v>
      </c>
      <c r="K615" s="1">
        <v>29.8</v>
      </c>
      <c r="L615" s="1" t="s">
        <v>71</v>
      </c>
      <c r="M615" s="1" t="s">
        <v>42</v>
      </c>
      <c r="N615" s="1" t="s">
        <v>102</v>
      </c>
      <c r="O615" s="1">
        <v>4</v>
      </c>
      <c r="P615" s="1">
        <v>175</v>
      </c>
      <c r="Q615" s="1">
        <v>745.7</v>
      </c>
      <c r="R615" s="8" t="str">
        <f>_xlfn.IFS(J615&gt;=8,"Hit",J615&gt;=6,"Average",J615&lt;6,"Flop")</f>
        <v>Average</v>
      </c>
      <c r="S615" s="9" t="str">
        <f>_xlfn.IFS(K615&gt;=400,"Blockbuster",K615&gt;=200,"Popular",K615&lt;200,"Normal")</f>
        <v>Normal</v>
      </c>
      <c r="T615" s="10" t="str">
        <f>IF(OR(I615="PG",I615="G"),"Yes","No")</f>
        <v>Yes</v>
      </c>
      <c r="U615" s="11" t="str">
        <f>IF(P615&gt;=100,"High","Low")</f>
        <v>High</v>
      </c>
      <c r="V615" s="28">
        <f t="shared" si="18"/>
        <v>570.70000000000005</v>
      </c>
      <c r="W615" s="29">
        <f t="shared" si="19"/>
        <v>426.11428571428576</v>
      </c>
    </row>
    <row r="616" spans="1:23" x14ac:dyDescent="0.3">
      <c r="A616" s="1" t="s">
        <v>1843</v>
      </c>
      <c r="B616" s="1" t="s">
        <v>1844</v>
      </c>
      <c r="C616" s="1" t="s">
        <v>46</v>
      </c>
      <c r="D616" s="1" t="s">
        <v>75</v>
      </c>
      <c r="E616" s="1">
        <v>2023</v>
      </c>
      <c r="F616" s="1" t="s">
        <v>29</v>
      </c>
      <c r="G616" s="1" t="s">
        <v>1845</v>
      </c>
      <c r="H616" s="1">
        <v>49</v>
      </c>
      <c r="I616" s="1" t="s">
        <v>31</v>
      </c>
      <c r="J616" s="1">
        <v>7.8</v>
      </c>
      <c r="K616" s="1">
        <v>168.7</v>
      </c>
      <c r="L616" s="1" t="s">
        <v>71</v>
      </c>
      <c r="M616" s="1" t="s">
        <v>132</v>
      </c>
      <c r="N616" s="1" t="s">
        <v>55</v>
      </c>
      <c r="O616" s="1">
        <v>5</v>
      </c>
      <c r="P616" s="1">
        <v>103</v>
      </c>
      <c r="Q616" s="1">
        <v>401.5</v>
      </c>
      <c r="R616" s="8" t="str">
        <f>_xlfn.IFS(J616&gt;=8,"Hit",J616&gt;=6,"Average",J616&lt;6,"Flop")</f>
        <v>Average</v>
      </c>
      <c r="S616" s="9" t="str">
        <f>_xlfn.IFS(K616&gt;=400,"Blockbuster",K616&gt;=200,"Popular",K616&lt;200,"Normal")</f>
        <v>Normal</v>
      </c>
      <c r="T616" s="10" t="str">
        <f>IF(OR(I616="PG",I616="G"),"Yes","No")</f>
        <v>No</v>
      </c>
      <c r="U616" s="11" t="str">
        <f>IF(P616&gt;=100,"High","Low")</f>
        <v>High</v>
      </c>
      <c r="V616" s="28">
        <f t="shared" si="18"/>
        <v>298.5</v>
      </c>
      <c r="W616" s="29">
        <f t="shared" si="19"/>
        <v>389.80582524271841</v>
      </c>
    </row>
    <row r="617" spans="1:23" x14ac:dyDescent="0.3">
      <c r="A617" s="1" t="s">
        <v>1846</v>
      </c>
      <c r="B617" s="1" t="s">
        <v>1847</v>
      </c>
      <c r="C617" s="1" t="s">
        <v>18</v>
      </c>
      <c r="D617" s="1" t="s">
        <v>28</v>
      </c>
      <c r="E617" s="1">
        <v>2003</v>
      </c>
      <c r="F617" s="1" t="s">
        <v>95</v>
      </c>
      <c r="G617" s="1" t="s">
        <v>1848</v>
      </c>
      <c r="H617" s="1">
        <v>105</v>
      </c>
      <c r="I617" s="1" t="s">
        <v>110</v>
      </c>
      <c r="J617" s="1">
        <v>6.6</v>
      </c>
      <c r="K617" s="1">
        <v>277.39999999999998</v>
      </c>
      <c r="L617" s="1" t="s">
        <v>171</v>
      </c>
      <c r="M617" s="1" t="s">
        <v>24</v>
      </c>
      <c r="N617" s="1" t="s">
        <v>102</v>
      </c>
      <c r="O617" s="1"/>
      <c r="P617" s="1">
        <v>180</v>
      </c>
      <c r="Q617" s="1">
        <v>683.2</v>
      </c>
      <c r="R617" s="8" t="str">
        <f>_xlfn.IFS(J617&gt;=8,"Hit",J617&gt;=6,"Average",J617&lt;6,"Flop")</f>
        <v>Average</v>
      </c>
      <c r="S617" s="9" t="str">
        <f>_xlfn.IFS(K617&gt;=400,"Blockbuster",K617&gt;=200,"Popular",K617&lt;200,"Normal")</f>
        <v>Popular</v>
      </c>
      <c r="T617" s="10" t="str">
        <f>IF(OR(I617="PG",I617="G"),"Yes","No")</f>
        <v>No</v>
      </c>
      <c r="U617" s="11" t="str">
        <f>IF(P617&gt;=100,"High","Low")</f>
        <v>High</v>
      </c>
      <c r="V617" s="28">
        <f t="shared" si="18"/>
        <v>503.20000000000005</v>
      </c>
      <c r="W617" s="29">
        <f t="shared" si="19"/>
        <v>379.5555555555556</v>
      </c>
    </row>
    <row r="618" spans="1:23" x14ac:dyDescent="0.3">
      <c r="A618" s="1" t="s">
        <v>1849</v>
      </c>
      <c r="B618" s="1" t="s">
        <v>1850</v>
      </c>
      <c r="C618" s="1" t="s">
        <v>18</v>
      </c>
      <c r="D618" s="1" t="s">
        <v>117</v>
      </c>
      <c r="E618" s="1">
        <v>2007</v>
      </c>
      <c r="F618" s="1" t="s">
        <v>83</v>
      </c>
      <c r="G618" s="1" t="s">
        <v>1851</v>
      </c>
      <c r="H618" s="1">
        <v>99</v>
      </c>
      <c r="I618" s="1" t="s">
        <v>31</v>
      </c>
      <c r="J618" s="1">
        <v>8.8000000000000007</v>
      </c>
      <c r="K618" s="1">
        <v>498.4</v>
      </c>
      <c r="L618" s="1" t="s">
        <v>71</v>
      </c>
      <c r="M618" s="1" t="s">
        <v>78</v>
      </c>
      <c r="N618" s="1" t="s">
        <v>67</v>
      </c>
      <c r="O618" s="1"/>
      <c r="P618" s="1">
        <v>80</v>
      </c>
      <c r="Q618" s="1">
        <v>124</v>
      </c>
      <c r="R618" s="8" t="str">
        <f>_xlfn.IFS(J618&gt;=8,"Hit",J618&gt;=6,"Average",J618&lt;6,"Flop")</f>
        <v>Hit</v>
      </c>
      <c r="S618" s="9" t="str">
        <f>_xlfn.IFS(K618&gt;=400,"Blockbuster",K618&gt;=200,"Popular",K618&lt;200,"Normal")</f>
        <v>Blockbuster</v>
      </c>
      <c r="T618" s="10" t="str">
        <f>IF(OR(I618="PG",I618="G"),"Yes","No")</f>
        <v>No</v>
      </c>
      <c r="U618" s="11" t="str">
        <f>IF(P618&gt;=100,"High","Low")</f>
        <v>Low</v>
      </c>
      <c r="V618" s="28">
        <f t="shared" si="18"/>
        <v>44</v>
      </c>
      <c r="W618" s="29">
        <f t="shared" si="19"/>
        <v>155</v>
      </c>
    </row>
    <row r="619" spans="1:23" x14ac:dyDescent="0.3">
      <c r="A619" s="1" t="s">
        <v>1852</v>
      </c>
      <c r="B619" s="1" t="s">
        <v>1853</v>
      </c>
      <c r="C619" s="1" t="s">
        <v>18</v>
      </c>
      <c r="D619" s="1" t="s">
        <v>75</v>
      </c>
      <c r="E619" s="1">
        <v>2023</v>
      </c>
      <c r="F619" s="1" t="s">
        <v>83</v>
      </c>
      <c r="G619" s="1" t="s">
        <v>1247</v>
      </c>
      <c r="H619" s="1">
        <v>157</v>
      </c>
      <c r="I619" s="1" t="s">
        <v>40</v>
      </c>
      <c r="J619" s="1">
        <v>6.8</v>
      </c>
      <c r="K619" s="1">
        <v>539.6</v>
      </c>
      <c r="L619" s="1" t="s">
        <v>71</v>
      </c>
      <c r="M619" s="1" t="s">
        <v>97</v>
      </c>
      <c r="N619" s="1" t="s">
        <v>153</v>
      </c>
      <c r="O619" s="1"/>
      <c r="P619" s="1">
        <v>174</v>
      </c>
      <c r="Q619" s="1">
        <v>482.2</v>
      </c>
      <c r="R619" s="8" t="str">
        <f>_xlfn.IFS(J619&gt;=8,"Hit",J619&gt;=6,"Average",J619&lt;6,"Flop")</f>
        <v>Average</v>
      </c>
      <c r="S619" s="9" t="str">
        <f>_xlfn.IFS(K619&gt;=400,"Blockbuster",K619&gt;=200,"Popular",K619&lt;200,"Normal")</f>
        <v>Blockbuster</v>
      </c>
      <c r="T619" s="10" t="str">
        <f>IF(OR(I619="PG",I619="G"),"Yes","No")</f>
        <v>Yes</v>
      </c>
      <c r="U619" s="11" t="str">
        <f>IF(P619&gt;=100,"High","Low")</f>
        <v>High</v>
      </c>
      <c r="V619" s="28">
        <f t="shared" si="18"/>
        <v>308.2</v>
      </c>
      <c r="W619" s="29">
        <f t="shared" si="19"/>
        <v>277.12643678160919</v>
      </c>
    </row>
    <row r="620" spans="1:23" x14ac:dyDescent="0.3">
      <c r="A620" s="1" t="s">
        <v>1854</v>
      </c>
      <c r="B620" s="1" t="s">
        <v>1855</v>
      </c>
      <c r="C620" s="1" t="s">
        <v>18</v>
      </c>
      <c r="D620" s="1" t="s">
        <v>94</v>
      </c>
      <c r="E620" s="1">
        <v>2015</v>
      </c>
      <c r="F620" s="1" t="s">
        <v>20</v>
      </c>
      <c r="G620" s="1" t="s">
        <v>1856</v>
      </c>
      <c r="H620" s="1">
        <v>87</v>
      </c>
      <c r="I620" s="1" t="s">
        <v>31</v>
      </c>
      <c r="J620" s="1">
        <v>6.9</v>
      </c>
      <c r="K620" s="1">
        <v>250.3</v>
      </c>
      <c r="L620" s="1" t="s">
        <v>32</v>
      </c>
      <c r="M620" s="1" t="s">
        <v>85</v>
      </c>
      <c r="N620" s="1" t="s">
        <v>119</v>
      </c>
      <c r="O620" s="1"/>
      <c r="P620" s="1">
        <v>125</v>
      </c>
      <c r="Q620" s="1">
        <v>716.9</v>
      </c>
      <c r="R620" s="8" t="str">
        <f>_xlfn.IFS(J620&gt;=8,"Hit",J620&gt;=6,"Average",J620&lt;6,"Flop")</f>
        <v>Average</v>
      </c>
      <c r="S620" s="9" t="str">
        <f>_xlfn.IFS(K620&gt;=400,"Blockbuster",K620&gt;=200,"Popular",K620&lt;200,"Normal")</f>
        <v>Popular</v>
      </c>
      <c r="T620" s="10" t="str">
        <f>IF(OR(I620="PG",I620="G"),"Yes","No")</f>
        <v>No</v>
      </c>
      <c r="U620" s="11" t="str">
        <f>IF(P620&gt;=100,"High","Low")</f>
        <v>High</v>
      </c>
      <c r="V620" s="28">
        <f t="shared" si="18"/>
        <v>591.9</v>
      </c>
      <c r="W620" s="29">
        <f t="shared" si="19"/>
        <v>573.52</v>
      </c>
    </row>
    <row r="621" spans="1:23" x14ac:dyDescent="0.3">
      <c r="A621" s="1" t="s">
        <v>1857</v>
      </c>
      <c r="B621" s="1" t="s">
        <v>1858</v>
      </c>
      <c r="C621" s="1" t="s">
        <v>18</v>
      </c>
      <c r="D621" s="1" t="s">
        <v>47</v>
      </c>
      <c r="E621" s="1">
        <v>2022</v>
      </c>
      <c r="F621" s="1" t="s">
        <v>181</v>
      </c>
      <c r="G621" s="1" t="s">
        <v>1859</v>
      </c>
      <c r="H621" s="1">
        <v>121</v>
      </c>
      <c r="I621" s="1" t="s">
        <v>50</v>
      </c>
      <c r="J621" s="1">
        <v>5.6</v>
      </c>
      <c r="K621" s="1">
        <v>577.5</v>
      </c>
      <c r="L621" s="1" t="s">
        <v>171</v>
      </c>
      <c r="M621" s="1" t="s">
        <v>85</v>
      </c>
      <c r="N621" s="1" t="s">
        <v>25</v>
      </c>
      <c r="O621" s="1"/>
      <c r="P621" s="1">
        <v>157</v>
      </c>
      <c r="Q621" s="1">
        <v>223.3</v>
      </c>
      <c r="R621" s="8" t="str">
        <f>_xlfn.IFS(J621&gt;=8,"Hit",J621&gt;=6,"Average",J621&lt;6,"Flop")</f>
        <v>Flop</v>
      </c>
      <c r="S621" s="9" t="str">
        <f>_xlfn.IFS(K621&gt;=400,"Blockbuster",K621&gt;=200,"Popular",K621&lt;200,"Normal")</f>
        <v>Blockbuster</v>
      </c>
      <c r="T621" s="10" t="str">
        <f>IF(OR(I621="PG",I621="G"),"Yes","No")</f>
        <v>Yes</v>
      </c>
      <c r="U621" s="11" t="str">
        <f>IF(P621&gt;=100,"High","Low")</f>
        <v>High</v>
      </c>
      <c r="V621" s="28">
        <f t="shared" si="18"/>
        <v>66.300000000000011</v>
      </c>
      <c r="W621" s="29">
        <f t="shared" si="19"/>
        <v>142.22929936305732</v>
      </c>
    </row>
    <row r="622" spans="1:23" x14ac:dyDescent="0.3">
      <c r="A622" s="1" t="s">
        <v>1860</v>
      </c>
      <c r="B622" s="1" t="s">
        <v>1861</v>
      </c>
      <c r="C622" s="1" t="s">
        <v>18</v>
      </c>
      <c r="D622" s="1" t="s">
        <v>47</v>
      </c>
      <c r="E622" s="1">
        <v>2017</v>
      </c>
      <c r="F622" s="1" t="s">
        <v>20</v>
      </c>
      <c r="G622" s="1" t="s">
        <v>1862</v>
      </c>
      <c r="H622" s="1">
        <v>102</v>
      </c>
      <c r="I622" s="1" t="s">
        <v>50</v>
      </c>
      <c r="J622" s="1">
        <v>9.3000000000000007</v>
      </c>
      <c r="K622" s="1">
        <v>238.9</v>
      </c>
      <c r="L622" s="1" t="s">
        <v>41</v>
      </c>
      <c r="M622" s="1" t="s">
        <v>24</v>
      </c>
      <c r="N622" s="1" t="s">
        <v>178</v>
      </c>
      <c r="O622" s="1"/>
      <c r="P622" s="1">
        <v>159</v>
      </c>
      <c r="Q622" s="1">
        <v>412</v>
      </c>
      <c r="R622" s="8" t="str">
        <f>_xlfn.IFS(J622&gt;=8,"Hit",J622&gt;=6,"Average",J622&lt;6,"Flop")</f>
        <v>Hit</v>
      </c>
      <c r="S622" s="9" t="str">
        <f>_xlfn.IFS(K622&gt;=400,"Blockbuster",K622&gt;=200,"Popular",K622&lt;200,"Normal")</f>
        <v>Popular</v>
      </c>
      <c r="T622" s="10" t="str">
        <f>IF(OR(I622="PG",I622="G"),"Yes","No")</f>
        <v>Yes</v>
      </c>
      <c r="U622" s="11" t="str">
        <f>IF(P622&gt;=100,"High","Low")</f>
        <v>High</v>
      </c>
      <c r="V622" s="28">
        <f t="shared" si="18"/>
        <v>253</v>
      </c>
      <c r="W622" s="29">
        <f t="shared" si="19"/>
        <v>259.11949685534591</v>
      </c>
    </row>
    <row r="623" spans="1:23" x14ac:dyDescent="0.3">
      <c r="A623" s="1" t="s">
        <v>1863</v>
      </c>
      <c r="B623" s="1" t="s">
        <v>1864</v>
      </c>
      <c r="C623" s="1" t="s">
        <v>18</v>
      </c>
      <c r="D623" s="1" t="s">
        <v>37</v>
      </c>
      <c r="E623" s="1">
        <v>2007</v>
      </c>
      <c r="F623" s="1" t="s">
        <v>100</v>
      </c>
      <c r="G623" s="1" t="s">
        <v>1865</v>
      </c>
      <c r="H623" s="1">
        <v>157</v>
      </c>
      <c r="I623" s="1" t="s">
        <v>31</v>
      </c>
      <c r="J623" s="1">
        <v>8.4</v>
      </c>
      <c r="K623" s="1">
        <v>87</v>
      </c>
      <c r="L623" s="1" t="s">
        <v>32</v>
      </c>
      <c r="M623" s="1" t="s">
        <v>85</v>
      </c>
      <c r="N623" s="1" t="s">
        <v>102</v>
      </c>
      <c r="O623" s="1"/>
      <c r="P623" s="1">
        <v>64</v>
      </c>
      <c r="Q623" s="1">
        <v>350.9</v>
      </c>
      <c r="R623" s="8" t="str">
        <f>_xlfn.IFS(J623&gt;=8,"Hit",J623&gt;=6,"Average",J623&lt;6,"Flop")</f>
        <v>Hit</v>
      </c>
      <c r="S623" s="9" t="str">
        <f>_xlfn.IFS(K623&gt;=400,"Blockbuster",K623&gt;=200,"Popular",K623&lt;200,"Normal")</f>
        <v>Normal</v>
      </c>
      <c r="T623" s="10" t="str">
        <f>IF(OR(I623="PG",I623="G"),"Yes","No")</f>
        <v>No</v>
      </c>
      <c r="U623" s="11" t="str">
        <f>IF(P623&gt;=100,"High","Low")</f>
        <v>Low</v>
      </c>
      <c r="V623" s="28">
        <f t="shared" si="18"/>
        <v>286.89999999999998</v>
      </c>
      <c r="W623" s="29">
        <f t="shared" si="19"/>
        <v>548.28125</v>
      </c>
    </row>
    <row r="624" spans="1:23" x14ac:dyDescent="0.3">
      <c r="A624" s="1" t="s">
        <v>1866</v>
      </c>
      <c r="B624" s="1" t="s">
        <v>1867</v>
      </c>
      <c r="C624" s="1" t="s">
        <v>46</v>
      </c>
      <c r="D624" s="1" t="s">
        <v>19</v>
      </c>
      <c r="E624" s="1">
        <v>2003</v>
      </c>
      <c r="F624" s="1" t="s">
        <v>95</v>
      </c>
      <c r="G624" s="1" t="s">
        <v>1868</v>
      </c>
      <c r="H624" s="1">
        <v>48</v>
      </c>
      <c r="I624" s="1" t="s">
        <v>31</v>
      </c>
      <c r="J624" s="1">
        <v>8.5</v>
      </c>
      <c r="K624" s="1">
        <v>275.39999999999998</v>
      </c>
      <c r="L624" s="1" t="s">
        <v>90</v>
      </c>
      <c r="M624" s="1" t="s">
        <v>66</v>
      </c>
      <c r="N624" s="1" t="s">
        <v>43</v>
      </c>
      <c r="O624" s="1">
        <v>7</v>
      </c>
      <c r="P624" s="1">
        <v>78</v>
      </c>
      <c r="Q624" s="1">
        <v>306.8</v>
      </c>
      <c r="R624" s="8" t="str">
        <f>_xlfn.IFS(J624&gt;=8,"Hit",J624&gt;=6,"Average",J624&lt;6,"Flop")</f>
        <v>Hit</v>
      </c>
      <c r="S624" s="9" t="str">
        <f>_xlfn.IFS(K624&gt;=400,"Blockbuster",K624&gt;=200,"Popular",K624&lt;200,"Normal")</f>
        <v>Popular</v>
      </c>
      <c r="T624" s="10" t="str">
        <f>IF(OR(I624="PG",I624="G"),"Yes","No")</f>
        <v>No</v>
      </c>
      <c r="U624" s="11" t="str">
        <f>IF(P624&gt;=100,"High","Low")</f>
        <v>Low</v>
      </c>
      <c r="V624" s="28">
        <f t="shared" si="18"/>
        <v>228.8</v>
      </c>
      <c r="W624" s="29">
        <f t="shared" si="19"/>
        <v>393.33333333333337</v>
      </c>
    </row>
    <row r="625" spans="1:23" x14ac:dyDescent="0.3">
      <c r="A625" s="1" t="s">
        <v>1869</v>
      </c>
      <c r="B625" s="1" t="s">
        <v>1870</v>
      </c>
      <c r="C625" s="1" t="s">
        <v>18</v>
      </c>
      <c r="D625" s="1" t="s">
        <v>141</v>
      </c>
      <c r="E625" s="1">
        <v>2013</v>
      </c>
      <c r="F625" s="1" t="s">
        <v>181</v>
      </c>
      <c r="G625" s="1" t="s">
        <v>689</v>
      </c>
      <c r="H625" s="1">
        <v>164</v>
      </c>
      <c r="I625" s="1" t="s">
        <v>50</v>
      </c>
      <c r="J625" s="1">
        <v>9.1999999999999993</v>
      </c>
      <c r="K625" s="1">
        <v>337.9</v>
      </c>
      <c r="L625" s="1" t="s">
        <v>32</v>
      </c>
      <c r="M625" s="1" t="s">
        <v>24</v>
      </c>
      <c r="N625" s="1" t="s">
        <v>102</v>
      </c>
      <c r="O625" s="1"/>
      <c r="P625" s="1">
        <v>155</v>
      </c>
      <c r="Q625" s="1">
        <v>478.6</v>
      </c>
      <c r="R625" s="8" t="str">
        <f>_xlfn.IFS(J625&gt;=8,"Hit",J625&gt;=6,"Average",J625&lt;6,"Flop")</f>
        <v>Hit</v>
      </c>
      <c r="S625" s="9" t="str">
        <f>_xlfn.IFS(K625&gt;=400,"Blockbuster",K625&gt;=200,"Popular",K625&lt;200,"Normal")</f>
        <v>Popular</v>
      </c>
      <c r="T625" s="10" t="str">
        <f>IF(OR(I625="PG",I625="G"),"Yes","No")</f>
        <v>Yes</v>
      </c>
      <c r="U625" s="11" t="str">
        <f>IF(P625&gt;=100,"High","Low")</f>
        <v>High</v>
      </c>
      <c r="V625" s="28">
        <f t="shared" si="18"/>
        <v>323.60000000000002</v>
      </c>
      <c r="W625" s="29">
        <f t="shared" si="19"/>
        <v>308.77419354838713</v>
      </c>
    </row>
    <row r="626" spans="1:23" x14ac:dyDescent="0.3">
      <c r="A626" s="1" t="s">
        <v>1871</v>
      </c>
      <c r="B626" s="1" t="s">
        <v>1872</v>
      </c>
      <c r="C626" s="1" t="s">
        <v>18</v>
      </c>
      <c r="D626" s="1" t="s">
        <v>28</v>
      </c>
      <c r="E626" s="1">
        <v>2006</v>
      </c>
      <c r="F626" s="1" t="s">
        <v>29</v>
      </c>
      <c r="G626" s="1" t="s">
        <v>1873</v>
      </c>
      <c r="H626" s="1">
        <v>82</v>
      </c>
      <c r="I626" s="1" t="s">
        <v>40</v>
      </c>
      <c r="J626" s="1">
        <v>8.3000000000000007</v>
      </c>
      <c r="K626" s="1">
        <v>325.7</v>
      </c>
      <c r="L626" s="1" t="s">
        <v>65</v>
      </c>
      <c r="M626" s="1" t="s">
        <v>146</v>
      </c>
      <c r="N626" s="1" t="s">
        <v>86</v>
      </c>
      <c r="O626" s="1"/>
      <c r="P626" s="1">
        <v>186</v>
      </c>
      <c r="Q626" s="1">
        <v>438.4</v>
      </c>
      <c r="R626" s="8" t="str">
        <f>_xlfn.IFS(J626&gt;=8,"Hit",J626&gt;=6,"Average",J626&lt;6,"Flop")</f>
        <v>Hit</v>
      </c>
      <c r="S626" s="9" t="str">
        <f>_xlfn.IFS(K626&gt;=400,"Blockbuster",K626&gt;=200,"Popular",K626&lt;200,"Normal")</f>
        <v>Popular</v>
      </c>
      <c r="T626" s="10" t="str">
        <f>IF(OR(I626="PG",I626="G"),"Yes","No")</f>
        <v>Yes</v>
      </c>
      <c r="U626" s="11" t="str">
        <f>IF(P626&gt;=100,"High","Low")</f>
        <v>High</v>
      </c>
      <c r="V626" s="28">
        <f t="shared" si="18"/>
        <v>252.39999999999998</v>
      </c>
      <c r="W626" s="29">
        <f t="shared" si="19"/>
        <v>235.69892473118279</v>
      </c>
    </row>
    <row r="627" spans="1:23" x14ac:dyDescent="0.3">
      <c r="A627" s="1" t="s">
        <v>1874</v>
      </c>
      <c r="B627" s="1" t="s">
        <v>1875</v>
      </c>
      <c r="C627" s="1" t="s">
        <v>18</v>
      </c>
      <c r="D627" s="1" t="s">
        <v>94</v>
      </c>
      <c r="E627" s="1">
        <v>2010</v>
      </c>
      <c r="F627" s="1" t="s">
        <v>29</v>
      </c>
      <c r="G627" s="1" t="s">
        <v>1876</v>
      </c>
      <c r="H627" s="1">
        <v>93</v>
      </c>
      <c r="I627" s="1" t="s">
        <v>40</v>
      </c>
      <c r="J627" s="1">
        <v>8.8000000000000007</v>
      </c>
      <c r="K627" s="1">
        <v>468</v>
      </c>
      <c r="L627" s="1" t="s">
        <v>32</v>
      </c>
      <c r="M627" s="1" t="s">
        <v>157</v>
      </c>
      <c r="N627" s="1" t="s">
        <v>102</v>
      </c>
      <c r="O627" s="1"/>
      <c r="P627" s="1">
        <v>142</v>
      </c>
      <c r="Q627" s="1">
        <v>448.8</v>
      </c>
      <c r="R627" s="8" t="str">
        <f>_xlfn.IFS(J627&gt;=8,"Hit",J627&gt;=6,"Average",J627&lt;6,"Flop")</f>
        <v>Hit</v>
      </c>
      <c r="S627" s="9" t="str">
        <f>_xlfn.IFS(K627&gt;=400,"Blockbuster",K627&gt;=200,"Popular",K627&lt;200,"Normal")</f>
        <v>Blockbuster</v>
      </c>
      <c r="T627" s="10" t="str">
        <f>IF(OR(I627="PG",I627="G"),"Yes","No")</f>
        <v>Yes</v>
      </c>
      <c r="U627" s="11" t="str">
        <f>IF(P627&gt;=100,"High","Low")</f>
        <v>High</v>
      </c>
      <c r="V627" s="28">
        <f t="shared" si="18"/>
        <v>306.8</v>
      </c>
      <c r="W627" s="29">
        <f t="shared" si="19"/>
        <v>316.05633802816902</v>
      </c>
    </row>
    <row r="628" spans="1:23" x14ac:dyDescent="0.3">
      <c r="A628" s="1" t="s">
        <v>1877</v>
      </c>
      <c r="B628" s="1" t="s">
        <v>1878</v>
      </c>
      <c r="C628" s="1" t="s">
        <v>18</v>
      </c>
      <c r="D628" s="1" t="s">
        <v>37</v>
      </c>
      <c r="E628" s="1">
        <v>2010</v>
      </c>
      <c r="F628" s="1" t="s">
        <v>38</v>
      </c>
      <c r="G628" s="1" t="s">
        <v>1879</v>
      </c>
      <c r="H628" s="1">
        <v>108</v>
      </c>
      <c r="I628" s="1" t="s">
        <v>110</v>
      </c>
      <c r="J628" s="1">
        <v>9.1</v>
      </c>
      <c r="K628" s="1">
        <v>425.5</v>
      </c>
      <c r="L628" s="1" t="s">
        <v>41</v>
      </c>
      <c r="M628" s="1" t="s">
        <v>111</v>
      </c>
      <c r="N628" s="1" t="s">
        <v>128</v>
      </c>
      <c r="O628" s="1"/>
      <c r="P628" s="1">
        <v>178</v>
      </c>
      <c r="Q628" s="1">
        <v>294.60000000000002</v>
      </c>
      <c r="R628" s="8" t="str">
        <f>_xlfn.IFS(J628&gt;=8,"Hit",J628&gt;=6,"Average",J628&lt;6,"Flop")</f>
        <v>Hit</v>
      </c>
      <c r="S628" s="9" t="str">
        <f>_xlfn.IFS(K628&gt;=400,"Blockbuster",K628&gt;=200,"Popular",K628&lt;200,"Normal")</f>
        <v>Blockbuster</v>
      </c>
      <c r="T628" s="10" t="str">
        <f>IF(OR(I628="PG",I628="G"),"Yes","No")</f>
        <v>No</v>
      </c>
      <c r="U628" s="11" t="str">
        <f>IF(P628&gt;=100,"High","Low")</f>
        <v>High</v>
      </c>
      <c r="V628" s="28">
        <f t="shared" si="18"/>
        <v>116.60000000000002</v>
      </c>
      <c r="W628" s="29">
        <f t="shared" si="19"/>
        <v>165.50561797752809</v>
      </c>
    </row>
    <row r="629" spans="1:23" x14ac:dyDescent="0.3">
      <c r="A629" s="1" t="s">
        <v>1880</v>
      </c>
      <c r="B629" s="1" t="s">
        <v>1881</v>
      </c>
      <c r="C629" s="1" t="s">
        <v>46</v>
      </c>
      <c r="D629" s="1" t="s">
        <v>37</v>
      </c>
      <c r="E629" s="1">
        <v>2006</v>
      </c>
      <c r="F629" s="1" t="s">
        <v>38</v>
      </c>
      <c r="G629" s="1" t="s">
        <v>1882</v>
      </c>
      <c r="H629" s="1">
        <v>37</v>
      </c>
      <c r="I629" s="1" t="s">
        <v>110</v>
      </c>
      <c r="J629" s="1">
        <v>5.5</v>
      </c>
      <c r="K629" s="1">
        <v>309.10000000000002</v>
      </c>
      <c r="L629" s="1" t="s">
        <v>32</v>
      </c>
      <c r="M629" s="1" t="s">
        <v>33</v>
      </c>
      <c r="N629" s="1" t="s">
        <v>25</v>
      </c>
      <c r="O629" s="1">
        <v>2</v>
      </c>
      <c r="P629" s="1">
        <v>164</v>
      </c>
      <c r="Q629" s="1">
        <v>362.5</v>
      </c>
      <c r="R629" s="8" t="str">
        <f>_xlfn.IFS(J629&gt;=8,"Hit",J629&gt;=6,"Average",J629&lt;6,"Flop")</f>
        <v>Flop</v>
      </c>
      <c r="S629" s="9" t="str">
        <f>_xlfn.IFS(K629&gt;=400,"Blockbuster",K629&gt;=200,"Popular",K629&lt;200,"Normal")</f>
        <v>Popular</v>
      </c>
      <c r="T629" s="10" t="str">
        <f>IF(OR(I629="PG",I629="G"),"Yes","No")</f>
        <v>No</v>
      </c>
      <c r="U629" s="11" t="str">
        <f>IF(P629&gt;=100,"High","Low")</f>
        <v>High</v>
      </c>
      <c r="V629" s="28">
        <f t="shared" si="18"/>
        <v>198.5</v>
      </c>
      <c r="W629" s="29">
        <f t="shared" si="19"/>
        <v>221.03658536585365</v>
      </c>
    </row>
    <row r="630" spans="1:23" x14ac:dyDescent="0.3">
      <c r="A630" s="1" t="s">
        <v>1883</v>
      </c>
      <c r="B630" s="1" t="s">
        <v>1884</v>
      </c>
      <c r="C630" s="1" t="s">
        <v>18</v>
      </c>
      <c r="D630" s="1" t="s">
        <v>58</v>
      </c>
      <c r="E630" s="1">
        <v>2011</v>
      </c>
      <c r="F630" s="1" t="s">
        <v>95</v>
      </c>
      <c r="G630" s="1" t="s">
        <v>1885</v>
      </c>
      <c r="H630" s="1">
        <v>94</v>
      </c>
      <c r="I630" s="1" t="s">
        <v>31</v>
      </c>
      <c r="J630" s="1">
        <v>6.2</v>
      </c>
      <c r="K630" s="1">
        <v>12.5</v>
      </c>
      <c r="L630" s="1" t="s">
        <v>23</v>
      </c>
      <c r="M630" s="1" t="s">
        <v>78</v>
      </c>
      <c r="N630" s="1" t="s">
        <v>102</v>
      </c>
      <c r="O630" s="1"/>
      <c r="P630" s="1">
        <v>27</v>
      </c>
      <c r="Q630" s="1">
        <v>131.6</v>
      </c>
      <c r="R630" s="8" t="str">
        <f>_xlfn.IFS(J630&gt;=8,"Hit",J630&gt;=6,"Average",J630&lt;6,"Flop")</f>
        <v>Average</v>
      </c>
      <c r="S630" s="9" t="str">
        <f>_xlfn.IFS(K630&gt;=400,"Blockbuster",K630&gt;=200,"Popular",K630&lt;200,"Normal")</f>
        <v>Normal</v>
      </c>
      <c r="T630" s="10" t="str">
        <f>IF(OR(I630="PG",I630="G"),"Yes","No")</f>
        <v>No</v>
      </c>
      <c r="U630" s="11" t="str">
        <f>IF(P630&gt;=100,"High","Low")</f>
        <v>Low</v>
      </c>
      <c r="V630" s="28">
        <f t="shared" si="18"/>
        <v>104.6</v>
      </c>
      <c r="W630" s="29">
        <f t="shared" si="19"/>
        <v>487.40740740740745</v>
      </c>
    </row>
    <row r="631" spans="1:23" x14ac:dyDescent="0.3">
      <c r="A631" s="1" t="s">
        <v>1886</v>
      </c>
      <c r="B631" s="1" t="s">
        <v>1887</v>
      </c>
      <c r="C631" s="1" t="s">
        <v>46</v>
      </c>
      <c r="D631" s="1" t="s">
        <v>117</v>
      </c>
      <c r="E631" s="1">
        <v>2021</v>
      </c>
      <c r="F631" s="1" t="s">
        <v>83</v>
      </c>
      <c r="G631" s="1" t="s">
        <v>227</v>
      </c>
      <c r="H631" s="1">
        <v>54</v>
      </c>
      <c r="I631" s="1" t="s">
        <v>50</v>
      </c>
      <c r="J631" s="1">
        <v>6.6</v>
      </c>
      <c r="K631" s="1">
        <v>467.4</v>
      </c>
      <c r="L631" s="1" t="s">
        <v>171</v>
      </c>
      <c r="M631" s="1" t="s">
        <v>106</v>
      </c>
      <c r="N631" s="1" t="s">
        <v>25</v>
      </c>
      <c r="O631" s="1">
        <v>8</v>
      </c>
      <c r="P631" s="1">
        <v>129</v>
      </c>
      <c r="Q631" s="1">
        <v>530.79999999999995</v>
      </c>
      <c r="R631" s="8" t="str">
        <f>_xlfn.IFS(J631&gt;=8,"Hit",J631&gt;=6,"Average",J631&lt;6,"Flop")</f>
        <v>Average</v>
      </c>
      <c r="S631" s="9" t="str">
        <f>_xlfn.IFS(K631&gt;=400,"Blockbuster",K631&gt;=200,"Popular",K631&lt;200,"Normal")</f>
        <v>Blockbuster</v>
      </c>
      <c r="T631" s="10" t="str">
        <f>IF(OR(I631="PG",I631="G"),"Yes","No")</f>
        <v>Yes</v>
      </c>
      <c r="U631" s="11" t="str">
        <f>IF(P631&gt;=100,"High","Low")</f>
        <v>High</v>
      </c>
      <c r="V631" s="28">
        <f t="shared" si="18"/>
        <v>401.79999999999995</v>
      </c>
      <c r="W631" s="29">
        <f t="shared" si="19"/>
        <v>411.47286821705427</v>
      </c>
    </row>
    <row r="632" spans="1:23" x14ac:dyDescent="0.3">
      <c r="A632" s="1" t="s">
        <v>1888</v>
      </c>
      <c r="B632" s="1" t="s">
        <v>1889</v>
      </c>
      <c r="C632" s="1" t="s">
        <v>18</v>
      </c>
      <c r="D632" s="1" t="s">
        <v>63</v>
      </c>
      <c r="E632" s="1">
        <v>2000</v>
      </c>
      <c r="F632" s="1" t="s">
        <v>122</v>
      </c>
      <c r="G632" s="1" t="s">
        <v>1890</v>
      </c>
      <c r="H632" s="1">
        <v>180</v>
      </c>
      <c r="I632" s="1" t="s">
        <v>110</v>
      </c>
      <c r="J632" s="1">
        <v>9</v>
      </c>
      <c r="K632" s="1">
        <v>299.2</v>
      </c>
      <c r="L632" s="1" t="s">
        <v>171</v>
      </c>
      <c r="M632" s="1" t="s">
        <v>111</v>
      </c>
      <c r="N632" s="1" t="s">
        <v>158</v>
      </c>
      <c r="O632" s="1"/>
      <c r="P632" s="1">
        <v>141</v>
      </c>
      <c r="Q632" s="1">
        <v>440.9</v>
      </c>
      <c r="R632" s="8" t="str">
        <f>_xlfn.IFS(J632&gt;=8,"Hit",J632&gt;=6,"Average",J632&lt;6,"Flop")</f>
        <v>Hit</v>
      </c>
      <c r="S632" s="9" t="str">
        <f>_xlfn.IFS(K632&gt;=400,"Blockbuster",K632&gt;=200,"Popular",K632&lt;200,"Normal")</f>
        <v>Popular</v>
      </c>
      <c r="T632" s="10" t="str">
        <f>IF(OR(I632="PG",I632="G"),"Yes","No")</f>
        <v>No</v>
      </c>
      <c r="U632" s="11" t="str">
        <f>IF(P632&gt;=100,"High","Low")</f>
        <v>High</v>
      </c>
      <c r="V632" s="28">
        <f t="shared" si="18"/>
        <v>299.89999999999998</v>
      </c>
      <c r="W632" s="29">
        <f t="shared" si="19"/>
        <v>312.69503546099287</v>
      </c>
    </row>
    <row r="633" spans="1:23" x14ac:dyDescent="0.3">
      <c r="A633" s="1" t="s">
        <v>1891</v>
      </c>
      <c r="B633" s="1" t="s">
        <v>1892</v>
      </c>
      <c r="C633" s="1" t="s">
        <v>18</v>
      </c>
      <c r="D633" s="1" t="s">
        <v>58</v>
      </c>
      <c r="E633" s="1">
        <v>2020</v>
      </c>
      <c r="F633" s="1" t="s">
        <v>29</v>
      </c>
      <c r="G633" s="1" t="s">
        <v>1893</v>
      </c>
      <c r="H633" s="1">
        <v>174</v>
      </c>
      <c r="I633" s="1" t="s">
        <v>31</v>
      </c>
      <c r="J633" s="1">
        <v>5</v>
      </c>
      <c r="K633" s="1">
        <v>401.9</v>
      </c>
      <c r="L633" s="1" t="s">
        <v>32</v>
      </c>
      <c r="M633" s="1" t="s">
        <v>146</v>
      </c>
      <c r="N633" s="1" t="s">
        <v>25</v>
      </c>
      <c r="O633" s="1"/>
      <c r="P633" s="1">
        <v>143</v>
      </c>
      <c r="Q633" s="1">
        <v>539.6</v>
      </c>
      <c r="R633" s="8" t="str">
        <f>_xlfn.IFS(J633&gt;=8,"Hit",J633&gt;=6,"Average",J633&lt;6,"Flop")</f>
        <v>Flop</v>
      </c>
      <c r="S633" s="9" t="str">
        <f>_xlfn.IFS(K633&gt;=400,"Blockbuster",K633&gt;=200,"Popular",K633&lt;200,"Normal")</f>
        <v>Blockbuster</v>
      </c>
      <c r="T633" s="10" t="str">
        <f>IF(OR(I633="PG",I633="G"),"Yes","No")</f>
        <v>No</v>
      </c>
      <c r="U633" s="11" t="str">
        <f>IF(P633&gt;=100,"High","Low")</f>
        <v>High</v>
      </c>
      <c r="V633" s="28">
        <f t="shared" si="18"/>
        <v>396.6</v>
      </c>
      <c r="W633" s="29">
        <f t="shared" si="19"/>
        <v>377.34265734265733</v>
      </c>
    </row>
    <row r="634" spans="1:23" x14ac:dyDescent="0.3">
      <c r="A634" s="1" t="s">
        <v>1894</v>
      </c>
      <c r="B634" s="1" t="s">
        <v>1895</v>
      </c>
      <c r="C634" s="1" t="s">
        <v>18</v>
      </c>
      <c r="D634" s="1" t="s">
        <v>19</v>
      </c>
      <c r="E634" s="1">
        <v>2000</v>
      </c>
      <c r="F634" s="1" t="s">
        <v>29</v>
      </c>
      <c r="G634" s="1" t="s">
        <v>1896</v>
      </c>
      <c r="H634" s="1">
        <v>149</v>
      </c>
      <c r="I634" s="1" t="s">
        <v>31</v>
      </c>
      <c r="J634" s="1">
        <v>9.3000000000000007</v>
      </c>
      <c r="K634" s="1">
        <v>9.6999999999999993</v>
      </c>
      <c r="L634" s="1" t="s">
        <v>71</v>
      </c>
      <c r="M634" s="1" t="s">
        <v>66</v>
      </c>
      <c r="N634" s="1" t="s">
        <v>25</v>
      </c>
      <c r="O634" s="1"/>
      <c r="P634" s="1">
        <v>11</v>
      </c>
      <c r="Q634" s="1">
        <v>18</v>
      </c>
      <c r="R634" s="8" t="str">
        <f>_xlfn.IFS(J634&gt;=8,"Hit",J634&gt;=6,"Average",J634&lt;6,"Flop")</f>
        <v>Hit</v>
      </c>
      <c r="S634" s="9" t="str">
        <f>_xlfn.IFS(K634&gt;=400,"Blockbuster",K634&gt;=200,"Popular",K634&lt;200,"Normal")</f>
        <v>Normal</v>
      </c>
      <c r="T634" s="10" t="str">
        <f>IF(OR(I634="PG",I634="G"),"Yes","No")</f>
        <v>No</v>
      </c>
      <c r="U634" s="11" t="str">
        <f>IF(P634&gt;=100,"High","Low")</f>
        <v>Low</v>
      </c>
      <c r="V634" s="28">
        <f t="shared" si="18"/>
        <v>7</v>
      </c>
      <c r="W634" s="29">
        <f t="shared" si="19"/>
        <v>163.63636363636365</v>
      </c>
    </row>
    <row r="635" spans="1:23" x14ac:dyDescent="0.3">
      <c r="A635" s="1" t="s">
        <v>1897</v>
      </c>
      <c r="B635" s="1" t="s">
        <v>1898</v>
      </c>
      <c r="C635" s="1" t="s">
        <v>18</v>
      </c>
      <c r="D635" s="1" t="s">
        <v>37</v>
      </c>
      <c r="E635" s="1">
        <v>2024</v>
      </c>
      <c r="F635" s="1" t="s">
        <v>100</v>
      </c>
      <c r="G635" s="1" t="s">
        <v>1899</v>
      </c>
      <c r="H635" s="1">
        <v>152</v>
      </c>
      <c r="I635" s="1" t="s">
        <v>110</v>
      </c>
      <c r="J635" s="1">
        <v>8.3000000000000007</v>
      </c>
      <c r="K635" s="1">
        <v>280.7</v>
      </c>
      <c r="L635" s="1" t="s">
        <v>65</v>
      </c>
      <c r="M635" s="1" t="s">
        <v>132</v>
      </c>
      <c r="N635" s="1" t="s">
        <v>79</v>
      </c>
      <c r="O635" s="1"/>
      <c r="P635" s="1">
        <v>91</v>
      </c>
      <c r="Q635" s="1">
        <v>415.4</v>
      </c>
      <c r="R635" s="8" t="str">
        <f>_xlfn.IFS(J635&gt;=8,"Hit",J635&gt;=6,"Average",J635&lt;6,"Flop")</f>
        <v>Hit</v>
      </c>
      <c r="S635" s="9" t="str">
        <f>_xlfn.IFS(K635&gt;=400,"Blockbuster",K635&gt;=200,"Popular",K635&lt;200,"Normal")</f>
        <v>Popular</v>
      </c>
      <c r="T635" s="10" t="str">
        <f>IF(OR(I635="PG",I635="G"),"Yes","No")</f>
        <v>No</v>
      </c>
      <c r="U635" s="11" t="str">
        <f>IF(P635&gt;=100,"High","Low")</f>
        <v>Low</v>
      </c>
      <c r="V635" s="28">
        <f t="shared" si="18"/>
        <v>324.39999999999998</v>
      </c>
      <c r="W635" s="29">
        <f t="shared" si="19"/>
        <v>456.48351648351644</v>
      </c>
    </row>
    <row r="636" spans="1:23" x14ac:dyDescent="0.3">
      <c r="A636" s="1" t="s">
        <v>1900</v>
      </c>
      <c r="B636" s="1" t="s">
        <v>1901</v>
      </c>
      <c r="C636" s="1" t="s">
        <v>46</v>
      </c>
      <c r="D636" s="1" t="s">
        <v>28</v>
      </c>
      <c r="E636" s="1">
        <v>2012</v>
      </c>
      <c r="F636" s="1" t="s">
        <v>95</v>
      </c>
      <c r="G636" s="1" t="s">
        <v>1902</v>
      </c>
      <c r="H636" s="1">
        <v>36</v>
      </c>
      <c r="I636" s="1" t="s">
        <v>40</v>
      </c>
      <c r="J636" s="1">
        <v>7.3</v>
      </c>
      <c r="K636" s="1">
        <v>315.2</v>
      </c>
      <c r="L636" s="1" t="s">
        <v>65</v>
      </c>
      <c r="M636" s="1" t="s">
        <v>111</v>
      </c>
      <c r="N636" s="1" t="s">
        <v>128</v>
      </c>
      <c r="O636" s="1">
        <v>3</v>
      </c>
      <c r="P636" s="1">
        <v>163</v>
      </c>
      <c r="Q636" s="1">
        <v>883.9</v>
      </c>
      <c r="R636" s="8" t="str">
        <f>_xlfn.IFS(J636&gt;=8,"Hit",J636&gt;=6,"Average",J636&lt;6,"Flop")</f>
        <v>Average</v>
      </c>
      <c r="S636" s="9" t="str">
        <f>_xlfn.IFS(K636&gt;=400,"Blockbuster",K636&gt;=200,"Popular",K636&lt;200,"Normal")</f>
        <v>Popular</v>
      </c>
      <c r="T636" s="10" t="str">
        <f>IF(OR(I636="PG",I636="G"),"Yes","No")</f>
        <v>Yes</v>
      </c>
      <c r="U636" s="11" t="str">
        <f>IF(P636&gt;=100,"High","Low")</f>
        <v>High</v>
      </c>
      <c r="V636" s="28">
        <f t="shared" si="18"/>
        <v>720.9</v>
      </c>
      <c r="W636" s="29">
        <f t="shared" si="19"/>
        <v>542.2699386503067</v>
      </c>
    </row>
    <row r="637" spans="1:23" x14ac:dyDescent="0.3">
      <c r="A637" s="1" t="s">
        <v>1903</v>
      </c>
      <c r="B637" s="1" t="s">
        <v>1904</v>
      </c>
      <c r="C637" s="1" t="s">
        <v>46</v>
      </c>
      <c r="D637" s="1" t="s">
        <v>37</v>
      </c>
      <c r="E637" s="1">
        <v>2008</v>
      </c>
      <c r="F637" s="1" t="s">
        <v>20</v>
      </c>
      <c r="G637" s="1" t="s">
        <v>1905</v>
      </c>
      <c r="H637" s="1">
        <v>39</v>
      </c>
      <c r="I637" s="1" t="s">
        <v>31</v>
      </c>
      <c r="J637" s="1">
        <v>8</v>
      </c>
      <c r="K637" s="1">
        <v>199.7</v>
      </c>
      <c r="L637" s="1" t="s">
        <v>90</v>
      </c>
      <c r="M637" s="1" t="s">
        <v>111</v>
      </c>
      <c r="N637" s="1" t="s">
        <v>55</v>
      </c>
      <c r="O637" s="1">
        <v>7</v>
      </c>
      <c r="P637" s="1">
        <v>190</v>
      </c>
      <c r="Q637" s="1">
        <v>253.6</v>
      </c>
      <c r="R637" s="8" t="str">
        <f>_xlfn.IFS(J637&gt;=8,"Hit",J637&gt;=6,"Average",J637&lt;6,"Flop")</f>
        <v>Hit</v>
      </c>
      <c r="S637" s="9" t="str">
        <f>_xlfn.IFS(K637&gt;=400,"Blockbuster",K637&gt;=200,"Popular",K637&lt;200,"Normal")</f>
        <v>Normal</v>
      </c>
      <c r="T637" s="10" t="str">
        <f>IF(OR(I637="PG",I637="G"),"Yes","No")</f>
        <v>No</v>
      </c>
      <c r="U637" s="11" t="str">
        <f>IF(P637&gt;=100,"High","Low")</f>
        <v>High</v>
      </c>
      <c r="V637" s="28">
        <f t="shared" si="18"/>
        <v>63.599999999999994</v>
      </c>
      <c r="W637" s="29">
        <f t="shared" si="19"/>
        <v>133.47368421052633</v>
      </c>
    </row>
    <row r="638" spans="1:23" x14ac:dyDescent="0.3">
      <c r="A638" s="1" t="s">
        <v>1906</v>
      </c>
      <c r="B638" s="1" t="s">
        <v>1907</v>
      </c>
      <c r="C638" s="1" t="s">
        <v>46</v>
      </c>
      <c r="D638" s="1" t="s">
        <v>94</v>
      </c>
      <c r="E638" s="1">
        <v>2015</v>
      </c>
      <c r="F638" s="1" t="s">
        <v>122</v>
      </c>
      <c r="G638" s="1" t="s">
        <v>1908</v>
      </c>
      <c r="H638" s="1">
        <v>49</v>
      </c>
      <c r="I638" s="1" t="s">
        <v>110</v>
      </c>
      <c r="J638" s="1">
        <v>5.8</v>
      </c>
      <c r="K638" s="1">
        <v>207.6</v>
      </c>
      <c r="L638" s="1" t="s">
        <v>23</v>
      </c>
      <c r="M638" s="1" t="s">
        <v>72</v>
      </c>
      <c r="N638" s="1" t="s">
        <v>25</v>
      </c>
      <c r="O638" s="1">
        <v>4</v>
      </c>
      <c r="P638" s="1">
        <v>44</v>
      </c>
      <c r="Q638" s="1">
        <v>259.5</v>
      </c>
      <c r="R638" s="8" t="str">
        <f>_xlfn.IFS(J638&gt;=8,"Hit",J638&gt;=6,"Average",J638&lt;6,"Flop")</f>
        <v>Flop</v>
      </c>
      <c r="S638" s="9" t="str">
        <f>_xlfn.IFS(K638&gt;=400,"Blockbuster",K638&gt;=200,"Popular",K638&lt;200,"Normal")</f>
        <v>Popular</v>
      </c>
      <c r="T638" s="10" t="str">
        <f>IF(OR(I638="PG",I638="G"),"Yes","No")</f>
        <v>No</v>
      </c>
      <c r="U638" s="11" t="str">
        <f>IF(P638&gt;=100,"High","Low")</f>
        <v>Low</v>
      </c>
      <c r="V638" s="28">
        <f t="shared" si="18"/>
        <v>215.5</v>
      </c>
      <c r="W638" s="29">
        <f t="shared" si="19"/>
        <v>589.77272727272725</v>
      </c>
    </row>
    <row r="639" spans="1:23" x14ac:dyDescent="0.3">
      <c r="A639" s="1" t="s">
        <v>1909</v>
      </c>
      <c r="B639" s="1" t="s">
        <v>1910</v>
      </c>
      <c r="C639" s="1" t="s">
        <v>18</v>
      </c>
      <c r="D639" s="1" t="s">
        <v>47</v>
      </c>
      <c r="E639" s="1">
        <v>2020</v>
      </c>
      <c r="F639" s="1" t="s">
        <v>38</v>
      </c>
      <c r="G639" s="1" t="s">
        <v>1911</v>
      </c>
      <c r="H639" s="1">
        <v>138</v>
      </c>
      <c r="I639" s="1" t="s">
        <v>31</v>
      </c>
      <c r="J639" s="1">
        <v>7.9</v>
      </c>
      <c r="K639" s="1">
        <v>263.8</v>
      </c>
      <c r="L639" s="1" t="s">
        <v>90</v>
      </c>
      <c r="M639" s="1" t="s">
        <v>24</v>
      </c>
      <c r="N639" s="1" t="s">
        <v>102</v>
      </c>
      <c r="O639" s="1"/>
      <c r="P639" s="1">
        <v>152</v>
      </c>
      <c r="Q639" s="1">
        <v>684.6</v>
      </c>
      <c r="R639" s="8" t="str">
        <f>_xlfn.IFS(J639&gt;=8,"Hit",J639&gt;=6,"Average",J639&lt;6,"Flop")</f>
        <v>Average</v>
      </c>
      <c r="S639" s="9" t="str">
        <f>_xlfn.IFS(K639&gt;=400,"Blockbuster",K639&gt;=200,"Popular",K639&lt;200,"Normal")</f>
        <v>Popular</v>
      </c>
      <c r="T639" s="10" t="str">
        <f>IF(OR(I639="PG",I639="G"),"Yes","No")</f>
        <v>No</v>
      </c>
      <c r="U639" s="11" t="str">
        <f>IF(P639&gt;=100,"High","Low")</f>
        <v>High</v>
      </c>
      <c r="V639" s="28">
        <f t="shared" si="18"/>
        <v>532.6</v>
      </c>
      <c r="W639" s="29">
        <f t="shared" si="19"/>
        <v>450.39473684210532</v>
      </c>
    </row>
    <row r="640" spans="1:23" x14ac:dyDescent="0.3">
      <c r="A640" s="1" t="s">
        <v>1912</v>
      </c>
      <c r="B640" s="1" t="s">
        <v>1913</v>
      </c>
      <c r="C640" s="1" t="s">
        <v>18</v>
      </c>
      <c r="D640" s="1" t="s">
        <v>94</v>
      </c>
      <c r="E640" s="1">
        <v>2013</v>
      </c>
      <c r="F640" s="1" t="s">
        <v>100</v>
      </c>
      <c r="G640" s="1" t="s">
        <v>1914</v>
      </c>
      <c r="H640" s="1">
        <v>84</v>
      </c>
      <c r="I640" s="1" t="s">
        <v>40</v>
      </c>
      <c r="J640" s="1">
        <v>9.1</v>
      </c>
      <c r="K640" s="1">
        <v>66.5</v>
      </c>
      <c r="L640" s="1" t="s">
        <v>65</v>
      </c>
      <c r="M640" s="1" t="s">
        <v>97</v>
      </c>
      <c r="N640" s="1" t="s">
        <v>25</v>
      </c>
      <c r="O640" s="1"/>
      <c r="P640" s="1">
        <v>193</v>
      </c>
      <c r="Q640" s="1">
        <v>587.1</v>
      </c>
      <c r="R640" s="8" t="str">
        <f>_xlfn.IFS(J640&gt;=8,"Hit",J640&gt;=6,"Average",J640&lt;6,"Flop")</f>
        <v>Hit</v>
      </c>
      <c r="S640" s="9" t="str">
        <f>_xlfn.IFS(K640&gt;=400,"Blockbuster",K640&gt;=200,"Popular",K640&lt;200,"Normal")</f>
        <v>Normal</v>
      </c>
      <c r="T640" s="10" t="str">
        <f>IF(OR(I640="PG",I640="G"),"Yes","No")</f>
        <v>Yes</v>
      </c>
      <c r="U640" s="11" t="str">
        <f>IF(P640&gt;=100,"High","Low")</f>
        <v>High</v>
      </c>
      <c r="V640" s="28">
        <f t="shared" si="18"/>
        <v>394.1</v>
      </c>
      <c r="W640" s="29">
        <f t="shared" si="19"/>
        <v>304.19689119170982</v>
      </c>
    </row>
    <row r="641" spans="1:23" x14ac:dyDescent="0.3">
      <c r="A641" s="1" t="s">
        <v>1915</v>
      </c>
      <c r="B641" s="1" t="s">
        <v>1916</v>
      </c>
      <c r="C641" s="1" t="s">
        <v>46</v>
      </c>
      <c r="D641" s="1" t="s">
        <v>37</v>
      </c>
      <c r="E641" s="1">
        <v>2007</v>
      </c>
      <c r="F641" s="1" t="s">
        <v>76</v>
      </c>
      <c r="G641" s="1" t="s">
        <v>1917</v>
      </c>
      <c r="H641" s="1">
        <v>33</v>
      </c>
      <c r="I641" s="1" t="s">
        <v>50</v>
      </c>
      <c r="J641" s="1">
        <v>6.8</v>
      </c>
      <c r="K641" s="1">
        <v>573.1</v>
      </c>
      <c r="L641" s="1" t="s">
        <v>32</v>
      </c>
      <c r="M641" s="1" t="s">
        <v>24</v>
      </c>
      <c r="N641" s="1" t="s">
        <v>178</v>
      </c>
      <c r="O641" s="1">
        <v>6</v>
      </c>
      <c r="P641" s="1">
        <v>70</v>
      </c>
      <c r="Q641" s="1">
        <v>238</v>
      </c>
      <c r="R641" s="8" t="str">
        <f>_xlfn.IFS(J641&gt;=8,"Hit",J641&gt;=6,"Average",J641&lt;6,"Flop")</f>
        <v>Average</v>
      </c>
      <c r="S641" s="9" t="str">
        <f>_xlfn.IFS(K641&gt;=400,"Blockbuster",K641&gt;=200,"Popular",K641&lt;200,"Normal")</f>
        <v>Blockbuster</v>
      </c>
      <c r="T641" s="10" t="str">
        <f>IF(OR(I641="PG",I641="G"),"Yes","No")</f>
        <v>Yes</v>
      </c>
      <c r="U641" s="11" t="str">
        <f>IF(P641&gt;=100,"High","Low")</f>
        <v>Low</v>
      </c>
      <c r="V641" s="28">
        <f t="shared" si="18"/>
        <v>168</v>
      </c>
      <c r="W641" s="29">
        <f t="shared" si="19"/>
        <v>340</v>
      </c>
    </row>
    <row r="642" spans="1:23" x14ac:dyDescent="0.3">
      <c r="A642" s="1" t="s">
        <v>1918</v>
      </c>
      <c r="B642" s="1" t="s">
        <v>1919</v>
      </c>
      <c r="C642" s="1" t="s">
        <v>46</v>
      </c>
      <c r="D642" s="1" t="s">
        <v>94</v>
      </c>
      <c r="E642" s="1">
        <v>2023</v>
      </c>
      <c r="F642" s="1" t="s">
        <v>76</v>
      </c>
      <c r="G642" s="1" t="s">
        <v>1920</v>
      </c>
      <c r="H642" s="1">
        <v>35</v>
      </c>
      <c r="I642" s="1" t="s">
        <v>22</v>
      </c>
      <c r="J642" s="1">
        <v>7.1</v>
      </c>
      <c r="K642" s="1">
        <v>181.2</v>
      </c>
      <c r="L642" s="1" t="s">
        <v>90</v>
      </c>
      <c r="M642" s="1" t="s">
        <v>106</v>
      </c>
      <c r="N642" s="1" t="s">
        <v>25</v>
      </c>
      <c r="O642" s="1">
        <v>8</v>
      </c>
      <c r="P642" s="1">
        <v>172</v>
      </c>
      <c r="Q642" s="1">
        <v>578.6</v>
      </c>
      <c r="R642" s="8" t="str">
        <f>_xlfn.IFS(J642&gt;=8,"Hit",J642&gt;=6,"Average",J642&lt;6,"Flop")</f>
        <v>Average</v>
      </c>
      <c r="S642" s="9" t="str">
        <f>_xlfn.IFS(K642&gt;=400,"Blockbuster",K642&gt;=200,"Popular",K642&lt;200,"Normal")</f>
        <v>Normal</v>
      </c>
      <c r="T642" s="10" t="str">
        <f>IF(OR(I642="PG",I642="G"),"Yes","No")</f>
        <v>No</v>
      </c>
      <c r="U642" s="11" t="str">
        <f>IF(P642&gt;=100,"High","Low")</f>
        <v>High</v>
      </c>
      <c r="V642" s="28">
        <f t="shared" si="18"/>
        <v>406.6</v>
      </c>
      <c r="W642" s="29">
        <f t="shared" si="19"/>
        <v>336.39534883720927</v>
      </c>
    </row>
    <row r="643" spans="1:23" x14ac:dyDescent="0.3">
      <c r="A643" s="1" t="s">
        <v>1921</v>
      </c>
      <c r="B643" s="1" t="s">
        <v>1922</v>
      </c>
      <c r="C643" s="1" t="s">
        <v>46</v>
      </c>
      <c r="D643" s="1" t="s">
        <v>37</v>
      </c>
      <c r="E643" s="1">
        <v>2015</v>
      </c>
      <c r="F643" s="1" t="s">
        <v>122</v>
      </c>
      <c r="G643" s="1" t="s">
        <v>1923</v>
      </c>
      <c r="H643" s="1">
        <v>30</v>
      </c>
      <c r="I643" s="1" t="s">
        <v>40</v>
      </c>
      <c r="J643" s="1">
        <v>7.2</v>
      </c>
      <c r="K643" s="1">
        <v>294.3</v>
      </c>
      <c r="L643" s="1" t="s">
        <v>71</v>
      </c>
      <c r="M643" s="1" t="s">
        <v>72</v>
      </c>
      <c r="N643" s="1" t="s">
        <v>34</v>
      </c>
      <c r="O643" s="1">
        <v>4</v>
      </c>
      <c r="P643" s="1">
        <v>138</v>
      </c>
      <c r="Q643" s="1">
        <v>374.1</v>
      </c>
      <c r="R643" s="8" t="str">
        <f>_xlfn.IFS(J643&gt;=8,"Hit",J643&gt;=6,"Average",J643&lt;6,"Flop")</f>
        <v>Average</v>
      </c>
      <c r="S643" s="9" t="str">
        <f>_xlfn.IFS(K643&gt;=400,"Blockbuster",K643&gt;=200,"Popular",K643&lt;200,"Normal")</f>
        <v>Popular</v>
      </c>
      <c r="T643" s="10" t="str">
        <f>IF(OR(I643="PG",I643="G"),"Yes","No")</f>
        <v>Yes</v>
      </c>
      <c r="U643" s="11" t="str">
        <f>IF(P643&gt;=100,"High","Low")</f>
        <v>High</v>
      </c>
      <c r="V643" s="28">
        <f t="shared" ref="V643:V706" si="20">Q643-P643</f>
        <v>236.10000000000002</v>
      </c>
      <c r="W643" s="29">
        <f t="shared" ref="W643:W706" si="21">(Q643/P643)*100</f>
        <v>271.08695652173913</v>
      </c>
    </row>
    <row r="644" spans="1:23" x14ac:dyDescent="0.3">
      <c r="A644" s="1" t="s">
        <v>1924</v>
      </c>
      <c r="B644" s="1" t="s">
        <v>1925</v>
      </c>
      <c r="C644" s="1" t="s">
        <v>46</v>
      </c>
      <c r="D644" s="1" t="s">
        <v>75</v>
      </c>
      <c r="E644" s="1">
        <v>2017</v>
      </c>
      <c r="F644" s="1" t="s">
        <v>181</v>
      </c>
      <c r="G644" s="1" t="s">
        <v>994</v>
      </c>
      <c r="H644" s="1">
        <v>45</v>
      </c>
      <c r="I644" s="1" t="s">
        <v>22</v>
      </c>
      <c r="J644" s="1">
        <v>5.8</v>
      </c>
      <c r="K644" s="1">
        <v>310.39999999999998</v>
      </c>
      <c r="L644" s="1" t="s">
        <v>32</v>
      </c>
      <c r="M644" s="1" t="s">
        <v>85</v>
      </c>
      <c r="N644" s="1" t="s">
        <v>91</v>
      </c>
      <c r="O644" s="1">
        <v>7</v>
      </c>
      <c r="P644" s="1">
        <v>188</v>
      </c>
      <c r="Q644" s="1">
        <v>350.7</v>
      </c>
      <c r="R644" s="8" t="str">
        <f>_xlfn.IFS(J644&gt;=8,"Hit",J644&gt;=6,"Average",J644&lt;6,"Flop")</f>
        <v>Flop</v>
      </c>
      <c r="S644" s="9" t="str">
        <f>_xlfn.IFS(K644&gt;=400,"Blockbuster",K644&gt;=200,"Popular",K644&lt;200,"Normal")</f>
        <v>Popular</v>
      </c>
      <c r="T644" s="10" t="str">
        <f>IF(OR(I644="PG",I644="G"),"Yes","No")</f>
        <v>No</v>
      </c>
      <c r="U644" s="11" t="str">
        <f>IF(P644&gt;=100,"High","Low")</f>
        <v>High</v>
      </c>
      <c r="V644" s="28">
        <f t="shared" si="20"/>
        <v>162.69999999999999</v>
      </c>
      <c r="W644" s="29">
        <f t="shared" si="21"/>
        <v>186.54255319148936</v>
      </c>
    </row>
    <row r="645" spans="1:23" x14ac:dyDescent="0.3">
      <c r="A645" s="1" t="s">
        <v>1926</v>
      </c>
      <c r="B645" s="1" t="s">
        <v>1927</v>
      </c>
      <c r="C645" s="1" t="s">
        <v>46</v>
      </c>
      <c r="D645" s="1" t="s">
        <v>63</v>
      </c>
      <c r="E645" s="1">
        <v>2017</v>
      </c>
      <c r="F645" s="1" t="s">
        <v>100</v>
      </c>
      <c r="G645" s="1" t="s">
        <v>1110</v>
      </c>
      <c r="H645" s="1">
        <v>32</v>
      </c>
      <c r="I645" s="1" t="s">
        <v>31</v>
      </c>
      <c r="J645" s="1">
        <v>6</v>
      </c>
      <c r="K645" s="1">
        <v>543</v>
      </c>
      <c r="L645" s="1" t="s">
        <v>41</v>
      </c>
      <c r="M645" s="1" t="s">
        <v>106</v>
      </c>
      <c r="N645" s="1" t="s">
        <v>128</v>
      </c>
      <c r="O645" s="1">
        <v>6</v>
      </c>
      <c r="P645" s="1">
        <v>153</v>
      </c>
      <c r="Q645" s="1">
        <v>860.6</v>
      </c>
      <c r="R645" s="8" t="str">
        <f>_xlfn.IFS(J645&gt;=8,"Hit",J645&gt;=6,"Average",J645&lt;6,"Flop")</f>
        <v>Average</v>
      </c>
      <c r="S645" s="9" t="str">
        <f>_xlfn.IFS(K645&gt;=400,"Blockbuster",K645&gt;=200,"Popular",K645&lt;200,"Normal")</f>
        <v>Blockbuster</v>
      </c>
      <c r="T645" s="10" t="str">
        <f>IF(OR(I645="PG",I645="G"),"Yes","No")</f>
        <v>No</v>
      </c>
      <c r="U645" s="11" t="str">
        <f>IF(P645&gt;=100,"High","Low")</f>
        <v>High</v>
      </c>
      <c r="V645" s="28">
        <f t="shared" si="20"/>
        <v>707.6</v>
      </c>
      <c r="W645" s="29">
        <f t="shared" si="21"/>
        <v>562.48366013071904</v>
      </c>
    </row>
    <row r="646" spans="1:23" x14ac:dyDescent="0.3">
      <c r="A646" s="1" t="s">
        <v>1928</v>
      </c>
      <c r="B646" s="1" t="s">
        <v>1929</v>
      </c>
      <c r="C646" s="1" t="s">
        <v>18</v>
      </c>
      <c r="D646" s="1" t="s">
        <v>141</v>
      </c>
      <c r="E646" s="1">
        <v>2002</v>
      </c>
      <c r="F646" s="1" t="s">
        <v>122</v>
      </c>
      <c r="G646" s="1" t="s">
        <v>1930</v>
      </c>
      <c r="H646" s="1">
        <v>163</v>
      </c>
      <c r="I646" s="1" t="s">
        <v>22</v>
      </c>
      <c r="J646" s="1">
        <v>9.4</v>
      </c>
      <c r="K646" s="1">
        <v>247.9</v>
      </c>
      <c r="L646" s="1" t="s">
        <v>171</v>
      </c>
      <c r="M646" s="1" t="s">
        <v>124</v>
      </c>
      <c r="N646" s="1" t="s">
        <v>43</v>
      </c>
      <c r="O646" s="1"/>
      <c r="P646" s="1">
        <v>114</v>
      </c>
      <c r="Q646" s="1">
        <v>305</v>
      </c>
      <c r="R646" s="8" t="str">
        <f>_xlfn.IFS(J646&gt;=8,"Hit",J646&gt;=6,"Average",J646&lt;6,"Flop")</f>
        <v>Hit</v>
      </c>
      <c r="S646" s="9" t="str">
        <f>_xlfn.IFS(K646&gt;=400,"Blockbuster",K646&gt;=200,"Popular",K646&lt;200,"Normal")</f>
        <v>Popular</v>
      </c>
      <c r="T646" s="10" t="str">
        <f>IF(OR(I646="PG",I646="G"),"Yes","No")</f>
        <v>No</v>
      </c>
      <c r="U646" s="11" t="str">
        <f>IF(P646&gt;=100,"High","Low")</f>
        <v>High</v>
      </c>
      <c r="V646" s="28">
        <f t="shared" si="20"/>
        <v>191</v>
      </c>
      <c r="W646" s="29">
        <f t="shared" si="21"/>
        <v>267.54385964912279</v>
      </c>
    </row>
    <row r="647" spans="1:23" x14ac:dyDescent="0.3">
      <c r="A647" s="1" t="s">
        <v>1931</v>
      </c>
      <c r="B647" s="1" t="s">
        <v>1932</v>
      </c>
      <c r="C647" s="1" t="s">
        <v>18</v>
      </c>
      <c r="D647" s="1" t="s">
        <v>37</v>
      </c>
      <c r="E647" s="1">
        <v>2018</v>
      </c>
      <c r="F647" s="1" t="s">
        <v>29</v>
      </c>
      <c r="G647" s="1" t="s">
        <v>1933</v>
      </c>
      <c r="H647" s="1">
        <v>99</v>
      </c>
      <c r="I647" s="1" t="s">
        <v>22</v>
      </c>
      <c r="J647" s="1">
        <v>6.5</v>
      </c>
      <c r="K647" s="1">
        <v>500.5</v>
      </c>
      <c r="L647" s="1" t="s">
        <v>41</v>
      </c>
      <c r="M647" s="1" t="s">
        <v>146</v>
      </c>
      <c r="N647" s="1" t="s">
        <v>43</v>
      </c>
      <c r="O647" s="1"/>
      <c r="P647" s="1">
        <v>178</v>
      </c>
      <c r="Q647" s="1">
        <v>1118.5</v>
      </c>
      <c r="R647" s="8" t="str">
        <f>_xlfn.IFS(J647&gt;=8,"Hit",J647&gt;=6,"Average",J647&lt;6,"Flop")</f>
        <v>Average</v>
      </c>
      <c r="S647" s="9" t="str">
        <f>_xlfn.IFS(K647&gt;=400,"Blockbuster",K647&gt;=200,"Popular",K647&lt;200,"Normal")</f>
        <v>Blockbuster</v>
      </c>
      <c r="T647" s="10" t="str">
        <f>IF(OR(I647="PG",I647="G"),"Yes","No")</f>
        <v>No</v>
      </c>
      <c r="U647" s="11" t="str">
        <f>IF(P647&gt;=100,"High","Low")</f>
        <v>High</v>
      </c>
      <c r="V647" s="28">
        <f t="shared" si="20"/>
        <v>940.5</v>
      </c>
      <c r="W647" s="29">
        <f t="shared" si="21"/>
        <v>628.37078651685397</v>
      </c>
    </row>
    <row r="648" spans="1:23" x14ac:dyDescent="0.3">
      <c r="A648" s="1" t="s">
        <v>1934</v>
      </c>
      <c r="B648" s="1" t="s">
        <v>1935</v>
      </c>
      <c r="C648" s="1" t="s">
        <v>46</v>
      </c>
      <c r="D648" s="1" t="s">
        <v>94</v>
      </c>
      <c r="E648" s="1">
        <v>2021</v>
      </c>
      <c r="F648" s="1" t="s">
        <v>76</v>
      </c>
      <c r="G648" s="1" t="s">
        <v>855</v>
      </c>
      <c r="H648" s="1">
        <v>31</v>
      </c>
      <c r="I648" s="1" t="s">
        <v>22</v>
      </c>
      <c r="J648" s="1">
        <v>6.3</v>
      </c>
      <c r="K648" s="1">
        <v>437.5</v>
      </c>
      <c r="L648" s="1" t="s">
        <v>23</v>
      </c>
      <c r="M648" s="1" t="s">
        <v>78</v>
      </c>
      <c r="N648" s="1" t="s">
        <v>102</v>
      </c>
      <c r="O648" s="1">
        <v>3</v>
      </c>
      <c r="P648" s="1">
        <v>125</v>
      </c>
      <c r="Q648" s="1">
        <v>492.4</v>
      </c>
      <c r="R648" s="8" t="str">
        <f>_xlfn.IFS(J648&gt;=8,"Hit",J648&gt;=6,"Average",J648&lt;6,"Flop")</f>
        <v>Average</v>
      </c>
      <c r="S648" s="9" t="str">
        <f>_xlfn.IFS(K648&gt;=400,"Blockbuster",K648&gt;=200,"Popular",K648&lt;200,"Normal")</f>
        <v>Blockbuster</v>
      </c>
      <c r="T648" s="10" t="str">
        <f>IF(OR(I648="PG",I648="G"),"Yes","No")</f>
        <v>No</v>
      </c>
      <c r="U648" s="11" t="str">
        <f>IF(P648&gt;=100,"High","Low")</f>
        <v>High</v>
      </c>
      <c r="V648" s="28">
        <f t="shared" si="20"/>
        <v>367.4</v>
      </c>
      <c r="W648" s="29">
        <f t="shared" si="21"/>
        <v>393.92</v>
      </c>
    </row>
    <row r="649" spans="1:23" x14ac:dyDescent="0.3">
      <c r="A649" s="1" t="s">
        <v>1936</v>
      </c>
      <c r="B649" s="1" t="s">
        <v>1937</v>
      </c>
      <c r="C649" s="1" t="s">
        <v>46</v>
      </c>
      <c r="D649" s="1" t="s">
        <v>75</v>
      </c>
      <c r="E649" s="1">
        <v>2011</v>
      </c>
      <c r="F649" s="1" t="s">
        <v>48</v>
      </c>
      <c r="G649" s="1" t="s">
        <v>1938</v>
      </c>
      <c r="H649" s="1">
        <v>41</v>
      </c>
      <c r="I649" s="1" t="s">
        <v>50</v>
      </c>
      <c r="J649" s="1">
        <v>8.3000000000000007</v>
      </c>
      <c r="K649" s="1">
        <v>340.7</v>
      </c>
      <c r="L649" s="1" t="s">
        <v>32</v>
      </c>
      <c r="M649" s="1" t="s">
        <v>106</v>
      </c>
      <c r="N649" s="1" t="s">
        <v>25</v>
      </c>
      <c r="O649" s="1">
        <v>3</v>
      </c>
      <c r="P649" s="1">
        <v>188</v>
      </c>
      <c r="Q649" s="1">
        <v>1060.5</v>
      </c>
      <c r="R649" s="8" t="str">
        <f>_xlfn.IFS(J649&gt;=8,"Hit",J649&gt;=6,"Average",J649&lt;6,"Flop")</f>
        <v>Hit</v>
      </c>
      <c r="S649" s="9" t="str">
        <f>_xlfn.IFS(K649&gt;=400,"Blockbuster",K649&gt;=200,"Popular",K649&lt;200,"Normal")</f>
        <v>Popular</v>
      </c>
      <c r="T649" s="10" t="str">
        <f>IF(OR(I649="PG",I649="G"),"Yes","No")</f>
        <v>Yes</v>
      </c>
      <c r="U649" s="11" t="str">
        <f>IF(P649&gt;=100,"High","Low")</f>
        <v>High</v>
      </c>
      <c r="V649" s="28">
        <f t="shared" si="20"/>
        <v>872.5</v>
      </c>
      <c r="W649" s="29">
        <f t="shared" si="21"/>
        <v>564.095744680851</v>
      </c>
    </row>
    <row r="650" spans="1:23" x14ac:dyDescent="0.3">
      <c r="A650" s="1" t="s">
        <v>1939</v>
      </c>
      <c r="B650" s="1" t="s">
        <v>1940</v>
      </c>
      <c r="C650" s="1" t="s">
        <v>18</v>
      </c>
      <c r="D650" s="1" t="s">
        <v>94</v>
      </c>
      <c r="E650" s="1">
        <v>2009</v>
      </c>
      <c r="F650" s="1" t="s">
        <v>29</v>
      </c>
      <c r="G650" s="1" t="s">
        <v>1941</v>
      </c>
      <c r="H650" s="1">
        <v>171</v>
      </c>
      <c r="I650" s="1" t="s">
        <v>50</v>
      </c>
      <c r="J650" s="1">
        <v>6.3</v>
      </c>
      <c r="K650" s="1">
        <v>407.9</v>
      </c>
      <c r="L650" s="1" t="s">
        <v>23</v>
      </c>
      <c r="M650" s="1" t="s">
        <v>124</v>
      </c>
      <c r="N650" s="1" t="s">
        <v>55</v>
      </c>
      <c r="O650" s="1"/>
      <c r="P650" s="1">
        <v>192</v>
      </c>
      <c r="Q650" s="1">
        <v>572.70000000000005</v>
      </c>
      <c r="R650" s="8" t="str">
        <f>_xlfn.IFS(J650&gt;=8,"Hit",J650&gt;=6,"Average",J650&lt;6,"Flop")</f>
        <v>Average</v>
      </c>
      <c r="S650" s="9" t="str">
        <f>_xlfn.IFS(K650&gt;=400,"Blockbuster",K650&gt;=200,"Popular",K650&lt;200,"Normal")</f>
        <v>Blockbuster</v>
      </c>
      <c r="T650" s="10" t="str">
        <f>IF(OR(I650="PG",I650="G"),"Yes","No")</f>
        <v>Yes</v>
      </c>
      <c r="U650" s="11" t="str">
        <f>IF(P650&gt;=100,"High","Low")</f>
        <v>High</v>
      </c>
      <c r="V650" s="28">
        <f t="shared" si="20"/>
        <v>380.70000000000005</v>
      </c>
      <c r="W650" s="29">
        <f t="shared" si="21"/>
        <v>298.28125</v>
      </c>
    </row>
    <row r="651" spans="1:23" x14ac:dyDescent="0.3">
      <c r="A651" s="1" t="s">
        <v>1942</v>
      </c>
      <c r="B651" s="1" t="s">
        <v>1943</v>
      </c>
      <c r="C651" s="1" t="s">
        <v>46</v>
      </c>
      <c r="D651" s="1" t="s">
        <v>63</v>
      </c>
      <c r="E651" s="1">
        <v>2003</v>
      </c>
      <c r="F651" s="1" t="s">
        <v>48</v>
      </c>
      <c r="G651" s="1" t="s">
        <v>396</v>
      </c>
      <c r="H651" s="1">
        <v>47</v>
      </c>
      <c r="I651" s="1" t="s">
        <v>50</v>
      </c>
      <c r="J651" s="1">
        <v>4.5999999999999996</v>
      </c>
      <c r="K651" s="1">
        <v>45.4</v>
      </c>
      <c r="L651" s="1" t="s">
        <v>71</v>
      </c>
      <c r="M651" s="1" t="s">
        <v>54</v>
      </c>
      <c r="N651" s="1" t="s">
        <v>153</v>
      </c>
      <c r="O651" s="1">
        <v>8</v>
      </c>
      <c r="P651" s="1">
        <v>29</v>
      </c>
      <c r="Q651" s="1">
        <v>117.8</v>
      </c>
      <c r="R651" s="8" t="str">
        <f>_xlfn.IFS(J651&gt;=8,"Hit",J651&gt;=6,"Average",J651&lt;6,"Flop")</f>
        <v>Flop</v>
      </c>
      <c r="S651" s="9" t="str">
        <f>_xlfn.IFS(K651&gt;=400,"Blockbuster",K651&gt;=200,"Popular",K651&lt;200,"Normal")</f>
        <v>Normal</v>
      </c>
      <c r="T651" s="10" t="str">
        <f>IF(OR(I651="PG",I651="G"),"Yes","No")</f>
        <v>Yes</v>
      </c>
      <c r="U651" s="11" t="str">
        <f>IF(P651&gt;=100,"High","Low")</f>
        <v>Low</v>
      </c>
      <c r="V651" s="28">
        <f t="shared" si="20"/>
        <v>88.8</v>
      </c>
      <c r="W651" s="29">
        <f t="shared" si="21"/>
        <v>406.20689655172413</v>
      </c>
    </row>
    <row r="652" spans="1:23" x14ac:dyDescent="0.3">
      <c r="A652" s="1" t="s">
        <v>1944</v>
      </c>
      <c r="B652" s="1" t="s">
        <v>1945</v>
      </c>
      <c r="C652" s="1" t="s">
        <v>18</v>
      </c>
      <c r="D652" s="1" t="s">
        <v>141</v>
      </c>
      <c r="E652" s="1">
        <v>2009</v>
      </c>
      <c r="F652" s="1" t="s">
        <v>100</v>
      </c>
      <c r="G652" s="1" t="s">
        <v>1946</v>
      </c>
      <c r="H652" s="1">
        <v>167</v>
      </c>
      <c r="I652" s="1" t="s">
        <v>110</v>
      </c>
      <c r="J652" s="1">
        <v>7.9</v>
      </c>
      <c r="K652" s="1">
        <v>421.6</v>
      </c>
      <c r="L652" s="1" t="s">
        <v>32</v>
      </c>
      <c r="M652" s="1" t="s">
        <v>24</v>
      </c>
      <c r="N652" s="1" t="s">
        <v>25</v>
      </c>
      <c r="O652" s="1"/>
      <c r="P652" s="1">
        <v>136</v>
      </c>
      <c r="Q652" s="1">
        <v>271.89999999999998</v>
      </c>
      <c r="R652" s="8" t="str">
        <f>_xlfn.IFS(J652&gt;=8,"Hit",J652&gt;=6,"Average",J652&lt;6,"Flop")</f>
        <v>Average</v>
      </c>
      <c r="S652" s="9" t="str">
        <f>_xlfn.IFS(K652&gt;=400,"Blockbuster",K652&gt;=200,"Popular",K652&lt;200,"Normal")</f>
        <v>Blockbuster</v>
      </c>
      <c r="T652" s="10" t="str">
        <f>IF(OR(I652="PG",I652="G"),"Yes","No")</f>
        <v>No</v>
      </c>
      <c r="U652" s="11" t="str">
        <f>IF(P652&gt;=100,"High","Low")</f>
        <v>High</v>
      </c>
      <c r="V652" s="28">
        <f t="shared" si="20"/>
        <v>135.89999999999998</v>
      </c>
      <c r="W652" s="29">
        <f t="shared" si="21"/>
        <v>199.92647058823528</v>
      </c>
    </row>
    <row r="653" spans="1:23" x14ac:dyDescent="0.3">
      <c r="A653" s="1" t="s">
        <v>1947</v>
      </c>
      <c r="B653" s="1" t="s">
        <v>1948</v>
      </c>
      <c r="C653" s="1" t="s">
        <v>18</v>
      </c>
      <c r="D653" s="1" t="s">
        <v>28</v>
      </c>
      <c r="E653" s="1">
        <v>2023</v>
      </c>
      <c r="F653" s="1" t="s">
        <v>20</v>
      </c>
      <c r="G653" s="1" t="s">
        <v>1949</v>
      </c>
      <c r="H653" s="1">
        <v>115</v>
      </c>
      <c r="I653" s="1" t="s">
        <v>50</v>
      </c>
      <c r="J653" s="1">
        <v>6.4</v>
      </c>
      <c r="K653" s="1">
        <v>440.3</v>
      </c>
      <c r="L653" s="1" t="s">
        <v>90</v>
      </c>
      <c r="M653" s="1" t="s">
        <v>111</v>
      </c>
      <c r="N653" s="1" t="s">
        <v>128</v>
      </c>
      <c r="O653" s="1"/>
      <c r="P653" s="1">
        <v>131</v>
      </c>
      <c r="Q653" s="1">
        <v>818</v>
      </c>
      <c r="R653" s="8" t="str">
        <f>_xlfn.IFS(J653&gt;=8,"Hit",J653&gt;=6,"Average",J653&lt;6,"Flop")</f>
        <v>Average</v>
      </c>
      <c r="S653" s="9" t="str">
        <f>_xlfn.IFS(K653&gt;=400,"Blockbuster",K653&gt;=200,"Popular",K653&lt;200,"Normal")</f>
        <v>Blockbuster</v>
      </c>
      <c r="T653" s="10" t="str">
        <f>IF(OR(I653="PG",I653="G"),"Yes","No")</f>
        <v>Yes</v>
      </c>
      <c r="U653" s="11" t="str">
        <f>IF(P653&gt;=100,"High","Low")</f>
        <v>High</v>
      </c>
      <c r="V653" s="28">
        <f t="shared" si="20"/>
        <v>687</v>
      </c>
      <c r="W653" s="29">
        <f t="shared" si="21"/>
        <v>624.42748091603062</v>
      </c>
    </row>
    <row r="654" spans="1:23" x14ac:dyDescent="0.3">
      <c r="A654" s="1" t="s">
        <v>1950</v>
      </c>
      <c r="B654" s="1" t="s">
        <v>1951</v>
      </c>
      <c r="C654" s="1" t="s">
        <v>46</v>
      </c>
      <c r="D654" s="1" t="s">
        <v>141</v>
      </c>
      <c r="E654" s="1">
        <v>2012</v>
      </c>
      <c r="F654" s="1" t="s">
        <v>181</v>
      </c>
      <c r="G654" s="1" t="s">
        <v>1952</v>
      </c>
      <c r="H654" s="1">
        <v>60</v>
      </c>
      <c r="I654" s="1" t="s">
        <v>31</v>
      </c>
      <c r="J654" s="1">
        <v>7.2</v>
      </c>
      <c r="K654" s="1">
        <v>101.3</v>
      </c>
      <c r="L654" s="1" t="s">
        <v>32</v>
      </c>
      <c r="M654" s="1" t="s">
        <v>157</v>
      </c>
      <c r="N654" s="1" t="s">
        <v>55</v>
      </c>
      <c r="O654" s="1">
        <v>6</v>
      </c>
      <c r="P654" s="1">
        <v>164</v>
      </c>
      <c r="Q654" s="1">
        <v>1029</v>
      </c>
      <c r="R654" s="8" t="str">
        <f>_xlfn.IFS(J654&gt;=8,"Hit",J654&gt;=6,"Average",J654&lt;6,"Flop")</f>
        <v>Average</v>
      </c>
      <c r="S654" s="9" t="str">
        <f>_xlfn.IFS(K654&gt;=400,"Blockbuster",K654&gt;=200,"Popular",K654&lt;200,"Normal")</f>
        <v>Normal</v>
      </c>
      <c r="T654" s="10" t="str">
        <f>IF(OR(I654="PG",I654="G"),"Yes","No")</f>
        <v>No</v>
      </c>
      <c r="U654" s="11" t="str">
        <f>IF(P654&gt;=100,"High","Low")</f>
        <v>High</v>
      </c>
      <c r="V654" s="28">
        <f t="shared" si="20"/>
        <v>865</v>
      </c>
      <c r="W654" s="29">
        <f t="shared" si="21"/>
        <v>627.43902439024396</v>
      </c>
    </row>
    <row r="655" spans="1:23" x14ac:dyDescent="0.3">
      <c r="A655" s="1" t="s">
        <v>1953</v>
      </c>
      <c r="B655" s="1" t="s">
        <v>1954</v>
      </c>
      <c r="C655" s="1" t="s">
        <v>18</v>
      </c>
      <c r="D655" s="1" t="s">
        <v>94</v>
      </c>
      <c r="E655" s="1">
        <v>2022</v>
      </c>
      <c r="F655" s="1" t="s">
        <v>38</v>
      </c>
      <c r="G655" s="1" t="s">
        <v>1955</v>
      </c>
      <c r="H655" s="1">
        <v>164</v>
      </c>
      <c r="I655" s="1" t="s">
        <v>22</v>
      </c>
      <c r="J655" s="1">
        <v>7.6</v>
      </c>
      <c r="K655" s="1">
        <v>74.5</v>
      </c>
      <c r="L655" s="1" t="s">
        <v>23</v>
      </c>
      <c r="M655" s="1" t="s">
        <v>33</v>
      </c>
      <c r="N655" s="1" t="s">
        <v>178</v>
      </c>
      <c r="O655" s="1"/>
      <c r="P655" s="1">
        <v>186</v>
      </c>
      <c r="Q655" s="1">
        <v>706.4</v>
      </c>
      <c r="R655" s="8" t="str">
        <f>_xlfn.IFS(J655&gt;=8,"Hit",J655&gt;=6,"Average",J655&lt;6,"Flop")</f>
        <v>Average</v>
      </c>
      <c r="S655" s="9" t="str">
        <f>_xlfn.IFS(K655&gt;=400,"Blockbuster",K655&gt;=200,"Popular",K655&lt;200,"Normal")</f>
        <v>Normal</v>
      </c>
      <c r="T655" s="10" t="str">
        <f>IF(OR(I655="PG",I655="G"),"Yes","No")</f>
        <v>No</v>
      </c>
      <c r="U655" s="11" t="str">
        <f>IF(P655&gt;=100,"High","Low")</f>
        <v>High</v>
      </c>
      <c r="V655" s="28">
        <f t="shared" si="20"/>
        <v>520.4</v>
      </c>
      <c r="W655" s="29">
        <f t="shared" si="21"/>
        <v>379.78494623655916</v>
      </c>
    </row>
    <row r="656" spans="1:23" x14ac:dyDescent="0.3">
      <c r="A656" s="1" t="s">
        <v>1956</v>
      </c>
      <c r="B656" s="1" t="s">
        <v>1957</v>
      </c>
      <c r="C656" s="1" t="s">
        <v>46</v>
      </c>
      <c r="D656" s="1" t="s">
        <v>75</v>
      </c>
      <c r="E656" s="1">
        <v>2020</v>
      </c>
      <c r="F656" s="1" t="s">
        <v>76</v>
      </c>
      <c r="G656" s="1" t="s">
        <v>1958</v>
      </c>
      <c r="H656" s="1">
        <v>55</v>
      </c>
      <c r="I656" s="1" t="s">
        <v>50</v>
      </c>
      <c r="J656" s="1">
        <v>8</v>
      </c>
      <c r="K656" s="1">
        <v>191.7</v>
      </c>
      <c r="L656" s="1" t="s">
        <v>41</v>
      </c>
      <c r="M656" s="1" t="s">
        <v>72</v>
      </c>
      <c r="N656" s="1" t="s">
        <v>119</v>
      </c>
      <c r="O656" s="1">
        <v>4</v>
      </c>
      <c r="P656" s="1">
        <v>10</v>
      </c>
      <c r="Q656" s="1">
        <v>45.3</v>
      </c>
      <c r="R656" s="8" t="str">
        <f>_xlfn.IFS(J656&gt;=8,"Hit",J656&gt;=6,"Average",J656&lt;6,"Flop")</f>
        <v>Hit</v>
      </c>
      <c r="S656" s="9" t="str">
        <f>_xlfn.IFS(K656&gt;=400,"Blockbuster",K656&gt;=200,"Popular",K656&lt;200,"Normal")</f>
        <v>Normal</v>
      </c>
      <c r="T656" s="10" t="str">
        <f>IF(OR(I656="PG",I656="G"),"Yes","No")</f>
        <v>Yes</v>
      </c>
      <c r="U656" s="11" t="str">
        <f>IF(P656&gt;=100,"High","Low")</f>
        <v>Low</v>
      </c>
      <c r="V656" s="28">
        <f t="shared" si="20"/>
        <v>35.299999999999997</v>
      </c>
      <c r="W656" s="29">
        <f t="shared" si="21"/>
        <v>452.99999999999994</v>
      </c>
    </row>
    <row r="657" spans="1:23" x14ac:dyDescent="0.3">
      <c r="A657" s="1" t="s">
        <v>1959</v>
      </c>
      <c r="B657" s="1" t="s">
        <v>1960</v>
      </c>
      <c r="C657" s="1" t="s">
        <v>18</v>
      </c>
      <c r="D657" s="1" t="s">
        <v>37</v>
      </c>
      <c r="E657" s="1">
        <v>2009</v>
      </c>
      <c r="F657" s="1" t="s">
        <v>76</v>
      </c>
      <c r="G657" s="1" t="s">
        <v>1961</v>
      </c>
      <c r="H657" s="1">
        <v>143</v>
      </c>
      <c r="I657" s="1" t="s">
        <v>40</v>
      </c>
      <c r="J657" s="1">
        <v>8.4</v>
      </c>
      <c r="K657" s="1">
        <v>147.9</v>
      </c>
      <c r="L657" s="1" t="s">
        <v>65</v>
      </c>
      <c r="M657" s="1" t="s">
        <v>132</v>
      </c>
      <c r="N657" s="1" t="s">
        <v>119</v>
      </c>
      <c r="O657" s="1"/>
      <c r="P657" s="1">
        <v>86</v>
      </c>
      <c r="Q657" s="1">
        <v>232.3</v>
      </c>
      <c r="R657" s="8" t="str">
        <f>_xlfn.IFS(J657&gt;=8,"Hit",J657&gt;=6,"Average",J657&lt;6,"Flop")</f>
        <v>Hit</v>
      </c>
      <c r="S657" s="9" t="str">
        <f>_xlfn.IFS(K657&gt;=400,"Blockbuster",K657&gt;=200,"Popular",K657&lt;200,"Normal")</f>
        <v>Normal</v>
      </c>
      <c r="T657" s="10" t="str">
        <f>IF(OR(I657="PG",I657="G"),"Yes","No")</f>
        <v>Yes</v>
      </c>
      <c r="U657" s="11" t="str">
        <f>IF(P657&gt;=100,"High","Low")</f>
        <v>Low</v>
      </c>
      <c r="V657" s="28">
        <f t="shared" si="20"/>
        <v>146.30000000000001</v>
      </c>
      <c r="W657" s="29">
        <f t="shared" si="21"/>
        <v>270.11627906976747</v>
      </c>
    </row>
    <row r="658" spans="1:23" x14ac:dyDescent="0.3">
      <c r="A658" s="1" t="s">
        <v>1962</v>
      </c>
      <c r="B658" s="1" t="s">
        <v>1963</v>
      </c>
      <c r="C658" s="1" t="s">
        <v>18</v>
      </c>
      <c r="D658" s="1" t="s">
        <v>58</v>
      </c>
      <c r="E658" s="1">
        <v>2008</v>
      </c>
      <c r="F658" s="1" t="s">
        <v>83</v>
      </c>
      <c r="G658" s="1" t="s">
        <v>1964</v>
      </c>
      <c r="H658" s="1">
        <v>109</v>
      </c>
      <c r="I658" s="1" t="s">
        <v>22</v>
      </c>
      <c r="J658" s="1">
        <v>5.4</v>
      </c>
      <c r="K658" s="1">
        <v>460.3</v>
      </c>
      <c r="L658" s="1" t="s">
        <v>71</v>
      </c>
      <c r="M658" s="1" t="s">
        <v>66</v>
      </c>
      <c r="N658" s="1" t="s">
        <v>91</v>
      </c>
      <c r="O658" s="1"/>
      <c r="P658" s="1">
        <v>116</v>
      </c>
      <c r="Q658" s="1">
        <v>225.7</v>
      </c>
      <c r="R658" s="8" t="str">
        <f>_xlfn.IFS(J658&gt;=8,"Hit",J658&gt;=6,"Average",J658&lt;6,"Flop")</f>
        <v>Flop</v>
      </c>
      <c r="S658" s="9" t="str">
        <f>_xlfn.IFS(K658&gt;=400,"Blockbuster",K658&gt;=200,"Popular",K658&lt;200,"Normal")</f>
        <v>Blockbuster</v>
      </c>
      <c r="T658" s="10" t="str">
        <f>IF(OR(I658="PG",I658="G"),"Yes","No")</f>
        <v>No</v>
      </c>
      <c r="U658" s="11" t="str">
        <f>IF(P658&gt;=100,"High","Low")</f>
        <v>High</v>
      </c>
      <c r="V658" s="28">
        <f t="shared" si="20"/>
        <v>109.69999999999999</v>
      </c>
      <c r="W658" s="29">
        <f t="shared" si="21"/>
        <v>194.56896551724137</v>
      </c>
    </row>
    <row r="659" spans="1:23" x14ac:dyDescent="0.3">
      <c r="A659" s="1" t="s">
        <v>1965</v>
      </c>
      <c r="B659" s="1" t="s">
        <v>1966</v>
      </c>
      <c r="C659" s="1" t="s">
        <v>46</v>
      </c>
      <c r="D659" s="1" t="s">
        <v>75</v>
      </c>
      <c r="E659" s="1">
        <v>2006</v>
      </c>
      <c r="F659" s="1" t="s">
        <v>95</v>
      </c>
      <c r="G659" s="1" t="s">
        <v>1144</v>
      </c>
      <c r="H659" s="1">
        <v>33</v>
      </c>
      <c r="I659" s="1" t="s">
        <v>31</v>
      </c>
      <c r="J659" s="1">
        <v>5.7</v>
      </c>
      <c r="K659" s="1">
        <v>442.6</v>
      </c>
      <c r="L659" s="1" t="s">
        <v>171</v>
      </c>
      <c r="M659" s="1" t="s">
        <v>72</v>
      </c>
      <c r="N659" s="1" t="s">
        <v>102</v>
      </c>
      <c r="O659" s="1">
        <v>5</v>
      </c>
      <c r="P659" s="1">
        <v>143</v>
      </c>
      <c r="Q659" s="1">
        <v>425.9</v>
      </c>
      <c r="R659" s="8" t="str">
        <f>_xlfn.IFS(J659&gt;=8,"Hit",J659&gt;=6,"Average",J659&lt;6,"Flop")</f>
        <v>Flop</v>
      </c>
      <c r="S659" s="9" t="str">
        <f>_xlfn.IFS(K659&gt;=400,"Blockbuster",K659&gt;=200,"Popular",K659&lt;200,"Normal")</f>
        <v>Blockbuster</v>
      </c>
      <c r="T659" s="10" t="str">
        <f>IF(OR(I659="PG",I659="G"),"Yes","No")</f>
        <v>No</v>
      </c>
      <c r="U659" s="11" t="str">
        <f>IF(P659&gt;=100,"High","Low")</f>
        <v>High</v>
      </c>
      <c r="V659" s="28">
        <f t="shared" si="20"/>
        <v>282.89999999999998</v>
      </c>
      <c r="W659" s="29">
        <f t="shared" si="21"/>
        <v>297.83216783216784</v>
      </c>
    </row>
    <row r="660" spans="1:23" x14ac:dyDescent="0.3">
      <c r="A660" s="1" t="s">
        <v>1967</v>
      </c>
      <c r="B660" s="1" t="s">
        <v>1968</v>
      </c>
      <c r="C660" s="1" t="s">
        <v>18</v>
      </c>
      <c r="D660" s="1" t="s">
        <v>47</v>
      </c>
      <c r="E660" s="1">
        <v>2016</v>
      </c>
      <c r="F660" s="1" t="s">
        <v>20</v>
      </c>
      <c r="G660" s="1" t="s">
        <v>1969</v>
      </c>
      <c r="H660" s="1">
        <v>135</v>
      </c>
      <c r="I660" s="1" t="s">
        <v>50</v>
      </c>
      <c r="J660" s="1">
        <v>7.4</v>
      </c>
      <c r="K660" s="1">
        <v>164.4</v>
      </c>
      <c r="L660" s="1" t="s">
        <v>71</v>
      </c>
      <c r="M660" s="1" t="s">
        <v>111</v>
      </c>
      <c r="N660" s="1" t="s">
        <v>153</v>
      </c>
      <c r="O660" s="1"/>
      <c r="P660" s="1">
        <v>183</v>
      </c>
      <c r="Q660" s="1">
        <v>1099.8</v>
      </c>
      <c r="R660" s="8" t="str">
        <f>_xlfn.IFS(J660&gt;=8,"Hit",J660&gt;=6,"Average",J660&lt;6,"Flop")</f>
        <v>Average</v>
      </c>
      <c r="S660" s="9" t="str">
        <f>_xlfn.IFS(K660&gt;=400,"Blockbuster",K660&gt;=200,"Popular",K660&lt;200,"Normal")</f>
        <v>Normal</v>
      </c>
      <c r="T660" s="10" t="str">
        <f>IF(OR(I660="PG",I660="G"),"Yes","No")</f>
        <v>Yes</v>
      </c>
      <c r="U660" s="11" t="str">
        <f>IF(P660&gt;=100,"High","Low")</f>
        <v>High</v>
      </c>
      <c r="V660" s="28">
        <f t="shared" si="20"/>
        <v>916.8</v>
      </c>
      <c r="W660" s="29">
        <f t="shared" si="21"/>
        <v>600.98360655737702</v>
      </c>
    </row>
    <row r="661" spans="1:23" x14ac:dyDescent="0.3">
      <c r="A661" s="1" t="s">
        <v>1970</v>
      </c>
      <c r="B661" s="1" t="s">
        <v>1971</v>
      </c>
      <c r="C661" s="1" t="s">
        <v>18</v>
      </c>
      <c r="D661" s="1" t="s">
        <v>19</v>
      </c>
      <c r="E661" s="1">
        <v>2016</v>
      </c>
      <c r="F661" s="1" t="s">
        <v>29</v>
      </c>
      <c r="G661" s="1" t="s">
        <v>1512</v>
      </c>
      <c r="H661" s="1">
        <v>96</v>
      </c>
      <c r="I661" s="1" t="s">
        <v>50</v>
      </c>
      <c r="J661" s="1">
        <v>5.6</v>
      </c>
      <c r="K661" s="1">
        <v>33.799999999999997</v>
      </c>
      <c r="L661" s="1" t="s">
        <v>71</v>
      </c>
      <c r="M661" s="1" t="s">
        <v>42</v>
      </c>
      <c r="N661" s="1" t="s">
        <v>86</v>
      </c>
      <c r="O661" s="1"/>
      <c r="P661" s="1">
        <v>12</v>
      </c>
      <c r="Q661" s="1">
        <v>67</v>
      </c>
      <c r="R661" s="8" t="str">
        <f>_xlfn.IFS(J661&gt;=8,"Hit",J661&gt;=6,"Average",J661&lt;6,"Flop")</f>
        <v>Flop</v>
      </c>
      <c r="S661" s="9" t="str">
        <f>_xlfn.IFS(K661&gt;=400,"Blockbuster",K661&gt;=200,"Popular",K661&lt;200,"Normal")</f>
        <v>Normal</v>
      </c>
      <c r="T661" s="10" t="str">
        <f>IF(OR(I661="PG",I661="G"),"Yes","No")</f>
        <v>Yes</v>
      </c>
      <c r="U661" s="11" t="str">
        <f>IF(P661&gt;=100,"High","Low")</f>
        <v>Low</v>
      </c>
      <c r="V661" s="28">
        <f t="shared" si="20"/>
        <v>55</v>
      </c>
      <c r="W661" s="29">
        <f t="shared" si="21"/>
        <v>558.33333333333326</v>
      </c>
    </row>
    <row r="662" spans="1:23" x14ac:dyDescent="0.3">
      <c r="A662" s="1" t="s">
        <v>1972</v>
      </c>
      <c r="B662" s="1" t="s">
        <v>1973</v>
      </c>
      <c r="C662" s="1" t="s">
        <v>18</v>
      </c>
      <c r="D662" s="1" t="s">
        <v>37</v>
      </c>
      <c r="E662" s="1">
        <v>2017</v>
      </c>
      <c r="F662" s="1" t="s">
        <v>38</v>
      </c>
      <c r="G662" s="1" t="s">
        <v>1974</v>
      </c>
      <c r="H662" s="1">
        <v>148</v>
      </c>
      <c r="I662" s="1" t="s">
        <v>50</v>
      </c>
      <c r="J662" s="1">
        <v>4.9000000000000004</v>
      </c>
      <c r="K662" s="1">
        <v>341.5</v>
      </c>
      <c r="L662" s="1" t="s">
        <v>41</v>
      </c>
      <c r="M662" s="1" t="s">
        <v>124</v>
      </c>
      <c r="N662" s="1" t="s">
        <v>91</v>
      </c>
      <c r="O662" s="1"/>
      <c r="P662" s="1">
        <v>171</v>
      </c>
      <c r="Q662" s="1">
        <v>725.3</v>
      </c>
      <c r="R662" s="8" t="str">
        <f>_xlfn.IFS(J662&gt;=8,"Hit",J662&gt;=6,"Average",J662&lt;6,"Flop")</f>
        <v>Flop</v>
      </c>
      <c r="S662" s="9" t="str">
        <f>_xlfn.IFS(K662&gt;=400,"Blockbuster",K662&gt;=200,"Popular",K662&lt;200,"Normal")</f>
        <v>Popular</v>
      </c>
      <c r="T662" s="10" t="str">
        <f>IF(OR(I662="PG",I662="G"),"Yes","No")</f>
        <v>Yes</v>
      </c>
      <c r="U662" s="11" t="str">
        <f>IF(P662&gt;=100,"High","Low")</f>
        <v>High</v>
      </c>
      <c r="V662" s="28">
        <f t="shared" si="20"/>
        <v>554.29999999999995</v>
      </c>
      <c r="W662" s="29">
        <f t="shared" si="21"/>
        <v>424.15204678362574</v>
      </c>
    </row>
    <row r="663" spans="1:23" x14ac:dyDescent="0.3">
      <c r="A663" s="1" t="s">
        <v>1975</v>
      </c>
      <c r="B663" s="1" t="s">
        <v>1976</v>
      </c>
      <c r="C663" s="1" t="s">
        <v>18</v>
      </c>
      <c r="D663" s="1" t="s">
        <v>94</v>
      </c>
      <c r="E663" s="1">
        <v>2018</v>
      </c>
      <c r="F663" s="1" t="s">
        <v>29</v>
      </c>
      <c r="G663" s="1" t="s">
        <v>1637</v>
      </c>
      <c r="H663" s="1">
        <v>143</v>
      </c>
      <c r="I663" s="1" t="s">
        <v>40</v>
      </c>
      <c r="J663" s="1">
        <v>6.2</v>
      </c>
      <c r="K663" s="1">
        <v>363.2</v>
      </c>
      <c r="L663" s="1" t="s">
        <v>171</v>
      </c>
      <c r="M663" s="1" t="s">
        <v>132</v>
      </c>
      <c r="N663" s="1" t="s">
        <v>91</v>
      </c>
      <c r="O663" s="1"/>
      <c r="P663" s="1">
        <v>114</v>
      </c>
      <c r="Q663" s="1">
        <v>617.4</v>
      </c>
      <c r="R663" s="8" t="str">
        <f>_xlfn.IFS(J663&gt;=8,"Hit",J663&gt;=6,"Average",J663&lt;6,"Flop")</f>
        <v>Average</v>
      </c>
      <c r="S663" s="9" t="str">
        <f>_xlfn.IFS(K663&gt;=400,"Blockbuster",K663&gt;=200,"Popular",K663&lt;200,"Normal")</f>
        <v>Popular</v>
      </c>
      <c r="T663" s="10" t="str">
        <f>IF(OR(I663="PG",I663="G"),"Yes","No")</f>
        <v>Yes</v>
      </c>
      <c r="U663" s="11" t="str">
        <f>IF(P663&gt;=100,"High","Low")</f>
        <v>High</v>
      </c>
      <c r="V663" s="28">
        <f t="shared" si="20"/>
        <v>503.4</v>
      </c>
      <c r="W663" s="29">
        <f t="shared" si="21"/>
        <v>541.57894736842104</v>
      </c>
    </row>
    <row r="664" spans="1:23" x14ac:dyDescent="0.3">
      <c r="A664" s="1" t="s">
        <v>1977</v>
      </c>
      <c r="B664" s="1" t="s">
        <v>1978</v>
      </c>
      <c r="C664" s="1" t="s">
        <v>18</v>
      </c>
      <c r="D664" s="1" t="s">
        <v>47</v>
      </c>
      <c r="E664" s="1">
        <v>2013</v>
      </c>
      <c r="F664" s="1" t="s">
        <v>83</v>
      </c>
      <c r="G664" s="1" t="s">
        <v>533</v>
      </c>
      <c r="H664" s="1">
        <v>177</v>
      </c>
      <c r="I664" s="1" t="s">
        <v>50</v>
      </c>
      <c r="J664" s="1">
        <v>5.7</v>
      </c>
      <c r="K664" s="1">
        <v>307.10000000000002</v>
      </c>
      <c r="L664" s="1" t="s">
        <v>23</v>
      </c>
      <c r="M664" s="1" t="s">
        <v>111</v>
      </c>
      <c r="N664" s="1" t="s">
        <v>43</v>
      </c>
      <c r="O664" s="1"/>
      <c r="P664" s="1">
        <v>135</v>
      </c>
      <c r="Q664" s="1">
        <v>311.7</v>
      </c>
      <c r="R664" s="8" t="str">
        <f>_xlfn.IFS(J664&gt;=8,"Hit",J664&gt;=6,"Average",J664&lt;6,"Flop")</f>
        <v>Flop</v>
      </c>
      <c r="S664" s="9" t="str">
        <f>_xlfn.IFS(K664&gt;=400,"Blockbuster",K664&gt;=200,"Popular",K664&lt;200,"Normal")</f>
        <v>Popular</v>
      </c>
      <c r="T664" s="10" t="str">
        <f>IF(OR(I664="PG",I664="G"),"Yes","No")</f>
        <v>Yes</v>
      </c>
      <c r="U664" s="11" t="str">
        <f>IF(P664&gt;=100,"High","Low")</f>
        <v>High</v>
      </c>
      <c r="V664" s="28">
        <f t="shared" si="20"/>
        <v>176.7</v>
      </c>
      <c r="W664" s="29">
        <f t="shared" si="21"/>
        <v>230.88888888888889</v>
      </c>
    </row>
    <row r="665" spans="1:23" x14ac:dyDescent="0.3">
      <c r="A665" s="1" t="s">
        <v>1979</v>
      </c>
      <c r="B665" s="1" t="s">
        <v>1980</v>
      </c>
      <c r="C665" s="1" t="s">
        <v>46</v>
      </c>
      <c r="D665" s="1" t="s">
        <v>47</v>
      </c>
      <c r="E665" s="1">
        <v>2020</v>
      </c>
      <c r="F665" s="1" t="s">
        <v>76</v>
      </c>
      <c r="G665" s="1" t="s">
        <v>1981</v>
      </c>
      <c r="H665" s="1">
        <v>59</v>
      </c>
      <c r="I665" s="1" t="s">
        <v>50</v>
      </c>
      <c r="J665" s="1">
        <v>5</v>
      </c>
      <c r="K665" s="1">
        <v>346.6</v>
      </c>
      <c r="L665" s="1" t="s">
        <v>171</v>
      </c>
      <c r="M665" s="1" t="s">
        <v>146</v>
      </c>
      <c r="N665" s="1" t="s">
        <v>79</v>
      </c>
      <c r="O665" s="1">
        <v>2</v>
      </c>
      <c r="P665" s="1">
        <v>169</v>
      </c>
      <c r="Q665" s="1">
        <v>906.1</v>
      </c>
      <c r="R665" s="8" t="str">
        <f>_xlfn.IFS(J665&gt;=8,"Hit",J665&gt;=6,"Average",J665&lt;6,"Flop")</f>
        <v>Flop</v>
      </c>
      <c r="S665" s="9" t="str">
        <f>_xlfn.IFS(K665&gt;=400,"Blockbuster",K665&gt;=200,"Popular",K665&lt;200,"Normal")</f>
        <v>Popular</v>
      </c>
      <c r="T665" s="10" t="str">
        <f>IF(OR(I665="PG",I665="G"),"Yes","No")</f>
        <v>Yes</v>
      </c>
      <c r="U665" s="11" t="str">
        <f>IF(P665&gt;=100,"High","Low")</f>
        <v>High</v>
      </c>
      <c r="V665" s="28">
        <f t="shared" si="20"/>
        <v>737.1</v>
      </c>
      <c r="W665" s="29">
        <f t="shared" si="21"/>
        <v>536.15384615384619</v>
      </c>
    </row>
    <row r="666" spans="1:23" x14ac:dyDescent="0.3">
      <c r="A666" s="1" t="s">
        <v>1982</v>
      </c>
      <c r="B666" s="1" t="s">
        <v>1983</v>
      </c>
      <c r="C666" s="1" t="s">
        <v>46</v>
      </c>
      <c r="D666" s="1" t="s">
        <v>47</v>
      </c>
      <c r="E666" s="1">
        <v>2009</v>
      </c>
      <c r="F666" s="1" t="s">
        <v>20</v>
      </c>
      <c r="G666" s="1" t="s">
        <v>1984</v>
      </c>
      <c r="H666" s="1">
        <v>44</v>
      </c>
      <c r="I666" s="1" t="s">
        <v>50</v>
      </c>
      <c r="J666" s="1">
        <v>8.4</v>
      </c>
      <c r="K666" s="1">
        <v>567.6</v>
      </c>
      <c r="L666" s="1" t="s">
        <v>65</v>
      </c>
      <c r="M666" s="1" t="s">
        <v>157</v>
      </c>
      <c r="N666" s="1" t="s">
        <v>178</v>
      </c>
      <c r="O666" s="1">
        <v>3</v>
      </c>
      <c r="P666" s="1">
        <v>166</v>
      </c>
      <c r="Q666" s="1">
        <v>481.6</v>
      </c>
      <c r="R666" s="8" t="str">
        <f>_xlfn.IFS(J666&gt;=8,"Hit",J666&gt;=6,"Average",J666&lt;6,"Flop")</f>
        <v>Hit</v>
      </c>
      <c r="S666" s="9" t="str">
        <f>_xlfn.IFS(K666&gt;=400,"Blockbuster",K666&gt;=200,"Popular",K666&lt;200,"Normal")</f>
        <v>Blockbuster</v>
      </c>
      <c r="T666" s="10" t="str">
        <f>IF(OR(I666="PG",I666="G"),"Yes","No")</f>
        <v>Yes</v>
      </c>
      <c r="U666" s="11" t="str">
        <f>IF(P666&gt;=100,"High","Low")</f>
        <v>High</v>
      </c>
      <c r="V666" s="28">
        <f t="shared" si="20"/>
        <v>315.60000000000002</v>
      </c>
      <c r="W666" s="29">
        <f t="shared" si="21"/>
        <v>290.1204819277109</v>
      </c>
    </row>
    <row r="667" spans="1:23" x14ac:dyDescent="0.3">
      <c r="A667" s="1" t="s">
        <v>1985</v>
      </c>
      <c r="B667" s="1" t="s">
        <v>1986</v>
      </c>
      <c r="C667" s="1" t="s">
        <v>46</v>
      </c>
      <c r="D667" s="1" t="s">
        <v>75</v>
      </c>
      <c r="E667" s="1">
        <v>2002</v>
      </c>
      <c r="F667" s="1" t="s">
        <v>76</v>
      </c>
      <c r="G667" s="1" t="s">
        <v>1987</v>
      </c>
      <c r="H667" s="1">
        <v>44</v>
      </c>
      <c r="I667" s="1" t="s">
        <v>40</v>
      </c>
      <c r="J667" s="1">
        <v>5.6</v>
      </c>
      <c r="K667" s="1">
        <v>513.70000000000005</v>
      </c>
      <c r="L667" s="1" t="s">
        <v>32</v>
      </c>
      <c r="M667" s="1" t="s">
        <v>24</v>
      </c>
      <c r="N667" s="1" t="s">
        <v>43</v>
      </c>
      <c r="O667" s="1">
        <v>2</v>
      </c>
      <c r="P667" s="1">
        <v>184</v>
      </c>
      <c r="Q667" s="1">
        <v>646</v>
      </c>
      <c r="R667" s="8" t="str">
        <f>_xlfn.IFS(J667&gt;=8,"Hit",J667&gt;=6,"Average",J667&lt;6,"Flop")</f>
        <v>Flop</v>
      </c>
      <c r="S667" s="9" t="str">
        <f>_xlfn.IFS(K667&gt;=400,"Blockbuster",K667&gt;=200,"Popular",K667&lt;200,"Normal")</f>
        <v>Blockbuster</v>
      </c>
      <c r="T667" s="10" t="str">
        <f>IF(OR(I667="PG",I667="G"),"Yes","No")</f>
        <v>Yes</v>
      </c>
      <c r="U667" s="11" t="str">
        <f>IF(P667&gt;=100,"High","Low")</f>
        <v>High</v>
      </c>
      <c r="V667" s="28">
        <f t="shared" si="20"/>
        <v>462</v>
      </c>
      <c r="W667" s="29">
        <f t="shared" si="21"/>
        <v>351.08695652173913</v>
      </c>
    </row>
    <row r="668" spans="1:23" x14ac:dyDescent="0.3">
      <c r="A668" s="1" t="s">
        <v>1988</v>
      </c>
      <c r="B668" s="1" t="s">
        <v>1989</v>
      </c>
      <c r="C668" s="1" t="s">
        <v>18</v>
      </c>
      <c r="D668" s="1" t="s">
        <v>63</v>
      </c>
      <c r="E668" s="1">
        <v>2011</v>
      </c>
      <c r="F668" s="1" t="s">
        <v>83</v>
      </c>
      <c r="G668" s="1" t="s">
        <v>301</v>
      </c>
      <c r="H668" s="1">
        <v>139</v>
      </c>
      <c r="I668" s="1" t="s">
        <v>22</v>
      </c>
      <c r="J668" s="1">
        <v>5.9</v>
      </c>
      <c r="K668" s="1">
        <v>232.1</v>
      </c>
      <c r="L668" s="1" t="s">
        <v>71</v>
      </c>
      <c r="M668" s="1" t="s">
        <v>157</v>
      </c>
      <c r="N668" s="1" t="s">
        <v>79</v>
      </c>
      <c r="O668" s="1"/>
      <c r="P668" s="1">
        <v>100</v>
      </c>
      <c r="Q668" s="1">
        <v>160.5</v>
      </c>
      <c r="R668" s="8" t="str">
        <f>_xlfn.IFS(J668&gt;=8,"Hit",J668&gt;=6,"Average",J668&lt;6,"Flop")</f>
        <v>Flop</v>
      </c>
      <c r="S668" s="9" t="str">
        <f>_xlfn.IFS(K668&gt;=400,"Blockbuster",K668&gt;=200,"Popular",K668&lt;200,"Normal")</f>
        <v>Popular</v>
      </c>
      <c r="T668" s="10" t="str">
        <f>IF(OR(I668="PG",I668="G"),"Yes","No")</f>
        <v>No</v>
      </c>
      <c r="U668" s="11" t="str">
        <f>IF(P668&gt;=100,"High","Low")</f>
        <v>High</v>
      </c>
      <c r="V668" s="28">
        <f t="shared" si="20"/>
        <v>60.5</v>
      </c>
      <c r="W668" s="29">
        <f t="shared" si="21"/>
        <v>160.5</v>
      </c>
    </row>
    <row r="669" spans="1:23" x14ac:dyDescent="0.3">
      <c r="A669" s="1" t="s">
        <v>1990</v>
      </c>
      <c r="B669" s="1" t="s">
        <v>1991</v>
      </c>
      <c r="C669" s="1" t="s">
        <v>46</v>
      </c>
      <c r="D669" s="1" t="s">
        <v>117</v>
      </c>
      <c r="E669" s="1">
        <v>2005</v>
      </c>
      <c r="F669" s="1" t="s">
        <v>20</v>
      </c>
      <c r="G669" s="1" t="s">
        <v>1992</v>
      </c>
      <c r="H669" s="1">
        <v>40</v>
      </c>
      <c r="I669" s="1" t="s">
        <v>40</v>
      </c>
      <c r="J669" s="1">
        <v>8.1</v>
      </c>
      <c r="K669" s="1">
        <v>438.1</v>
      </c>
      <c r="L669" s="1" t="s">
        <v>90</v>
      </c>
      <c r="M669" s="1" t="s">
        <v>33</v>
      </c>
      <c r="N669" s="1" t="s">
        <v>25</v>
      </c>
      <c r="O669" s="1">
        <v>8</v>
      </c>
      <c r="P669" s="1">
        <v>73</v>
      </c>
      <c r="Q669" s="1">
        <v>405.8</v>
      </c>
      <c r="R669" s="8" t="str">
        <f>_xlfn.IFS(J669&gt;=8,"Hit",J669&gt;=6,"Average",J669&lt;6,"Flop")</f>
        <v>Hit</v>
      </c>
      <c r="S669" s="9" t="str">
        <f>_xlfn.IFS(K669&gt;=400,"Blockbuster",K669&gt;=200,"Popular",K669&lt;200,"Normal")</f>
        <v>Blockbuster</v>
      </c>
      <c r="T669" s="10" t="str">
        <f>IF(OR(I669="PG",I669="G"),"Yes","No")</f>
        <v>Yes</v>
      </c>
      <c r="U669" s="11" t="str">
        <f>IF(P669&gt;=100,"High","Low")</f>
        <v>Low</v>
      </c>
      <c r="V669" s="28">
        <f t="shared" si="20"/>
        <v>332.8</v>
      </c>
      <c r="W669" s="29">
        <f t="shared" si="21"/>
        <v>555.89041095890411</v>
      </c>
    </row>
    <row r="670" spans="1:23" x14ac:dyDescent="0.3">
      <c r="A670" s="1" t="s">
        <v>1993</v>
      </c>
      <c r="B670" s="1" t="s">
        <v>1994</v>
      </c>
      <c r="C670" s="1" t="s">
        <v>46</v>
      </c>
      <c r="D670" s="1" t="s">
        <v>28</v>
      </c>
      <c r="E670" s="1">
        <v>2009</v>
      </c>
      <c r="F670" s="1" t="s">
        <v>20</v>
      </c>
      <c r="G670" s="1" t="s">
        <v>1995</v>
      </c>
      <c r="H670" s="1">
        <v>47</v>
      </c>
      <c r="I670" s="1" t="s">
        <v>40</v>
      </c>
      <c r="J670" s="1">
        <v>8.4</v>
      </c>
      <c r="K670" s="1">
        <v>451</v>
      </c>
      <c r="L670" s="1" t="s">
        <v>41</v>
      </c>
      <c r="M670" s="1" t="s">
        <v>132</v>
      </c>
      <c r="N670" s="1" t="s">
        <v>43</v>
      </c>
      <c r="O670" s="1">
        <v>7</v>
      </c>
      <c r="P670" s="1">
        <v>149</v>
      </c>
      <c r="Q670" s="1">
        <v>319.10000000000002</v>
      </c>
      <c r="R670" s="8" t="str">
        <f>_xlfn.IFS(J670&gt;=8,"Hit",J670&gt;=6,"Average",J670&lt;6,"Flop")</f>
        <v>Hit</v>
      </c>
      <c r="S670" s="9" t="str">
        <f>_xlfn.IFS(K670&gt;=400,"Blockbuster",K670&gt;=200,"Popular",K670&lt;200,"Normal")</f>
        <v>Blockbuster</v>
      </c>
      <c r="T670" s="10" t="str">
        <f>IF(OR(I670="PG",I670="G"),"Yes","No")</f>
        <v>Yes</v>
      </c>
      <c r="U670" s="11" t="str">
        <f>IF(P670&gt;=100,"High","Low")</f>
        <v>High</v>
      </c>
      <c r="V670" s="28">
        <f t="shared" si="20"/>
        <v>170.10000000000002</v>
      </c>
      <c r="W670" s="29">
        <f t="shared" si="21"/>
        <v>214.16107382550337</v>
      </c>
    </row>
    <row r="671" spans="1:23" x14ac:dyDescent="0.3">
      <c r="A671" s="1" t="s">
        <v>1996</v>
      </c>
      <c r="B671" s="1" t="s">
        <v>1997</v>
      </c>
      <c r="C671" s="1" t="s">
        <v>18</v>
      </c>
      <c r="D671" s="1" t="s">
        <v>75</v>
      </c>
      <c r="E671" s="1">
        <v>2023</v>
      </c>
      <c r="F671" s="1" t="s">
        <v>20</v>
      </c>
      <c r="G671" s="1" t="s">
        <v>1687</v>
      </c>
      <c r="H671" s="1">
        <v>121</v>
      </c>
      <c r="I671" s="1" t="s">
        <v>110</v>
      </c>
      <c r="J671" s="1">
        <v>5.4</v>
      </c>
      <c r="K671" s="1">
        <v>387.6</v>
      </c>
      <c r="L671" s="1" t="s">
        <v>71</v>
      </c>
      <c r="M671" s="1" t="s">
        <v>111</v>
      </c>
      <c r="N671" s="1" t="s">
        <v>128</v>
      </c>
      <c r="O671" s="1"/>
      <c r="P671" s="1">
        <v>95</v>
      </c>
      <c r="Q671" s="1">
        <v>344.2</v>
      </c>
      <c r="R671" s="8" t="str">
        <f>_xlfn.IFS(J671&gt;=8,"Hit",J671&gt;=6,"Average",J671&lt;6,"Flop")</f>
        <v>Flop</v>
      </c>
      <c r="S671" s="9" t="str">
        <f>_xlfn.IFS(K671&gt;=400,"Blockbuster",K671&gt;=200,"Popular",K671&lt;200,"Normal")</f>
        <v>Popular</v>
      </c>
      <c r="T671" s="10" t="str">
        <f>IF(OR(I671="PG",I671="G"),"Yes","No")</f>
        <v>No</v>
      </c>
      <c r="U671" s="11" t="str">
        <f>IF(P671&gt;=100,"High","Low")</f>
        <v>Low</v>
      </c>
      <c r="V671" s="28">
        <f t="shared" si="20"/>
        <v>249.2</v>
      </c>
      <c r="W671" s="29">
        <f t="shared" si="21"/>
        <v>362.31578947368416</v>
      </c>
    </row>
    <row r="672" spans="1:23" x14ac:dyDescent="0.3">
      <c r="A672" s="1" t="s">
        <v>1998</v>
      </c>
      <c r="B672" s="1" t="s">
        <v>1999</v>
      </c>
      <c r="C672" s="1" t="s">
        <v>46</v>
      </c>
      <c r="D672" s="1" t="s">
        <v>94</v>
      </c>
      <c r="E672" s="1">
        <v>2015</v>
      </c>
      <c r="F672" s="1" t="s">
        <v>83</v>
      </c>
      <c r="G672" s="1" t="s">
        <v>2000</v>
      </c>
      <c r="H672" s="1">
        <v>47</v>
      </c>
      <c r="I672" s="1" t="s">
        <v>22</v>
      </c>
      <c r="J672" s="1">
        <v>6</v>
      </c>
      <c r="K672" s="1">
        <v>204.6</v>
      </c>
      <c r="L672" s="1" t="s">
        <v>23</v>
      </c>
      <c r="M672" s="1" t="s">
        <v>146</v>
      </c>
      <c r="N672" s="1" t="s">
        <v>86</v>
      </c>
      <c r="O672" s="1">
        <v>4</v>
      </c>
      <c r="P672" s="1">
        <v>45</v>
      </c>
      <c r="Q672" s="1">
        <v>71.099999999999994</v>
      </c>
      <c r="R672" s="8" t="str">
        <f>_xlfn.IFS(J672&gt;=8,"Hit",J672&gt;=6,"Average",J672&lt;6,"Flop")</f>
        <v>Average</v>
      </c>
      <c r="S672" s="9" t="str">
        <f>_xlfn.IFS(K672&gt;=400,"Blockbuster",K672&gt;=200,"Popular",K672&lt;200,"Normal")</f>
        <v>Popular</v>
      </c>
      <c r="T672" s="10" t="str">
        <f>IF(OR(I672="PG",I672="G"),"Yes","No")</f>
        <v>No</v>
      </c>
      <c r="U672" s="11" t="str">
        <f>IF(P672&gt;=100,"High","Low")</f>
        <v>Low</v>
      </c>
      <c r="V672" s="28">
        <f t="shared" si="20"/>
        <v>26.099999999999994</v>
      </c>
      <c r="W672" s="29">
        <f t="shared" si="21"/>
        <v>157.99999999999997</v>
      </c>
    </row>
    <row r="673" spans="1:23" x14ac:dyDescent="0.3">
      <c r="A673" s="1" t="s">
        <v>2001</v>
      </c>
      <c r="B673" s="1" t="s">
        <v>2002</v>
      </c>
      <c r="C673" s="1" t="s">
        <v>46</v>
      </c>
      <c r="D673" s="1" t="s">
        <v>82</v>
      </c>
      <c r="E673" s="1">
        <v>2016</v>
      </c>
      <c r="F673" s="1" t="s">
        <v>76</v>
      </c>
      <c r="G673" s="1" t="s">
        <v>2003</v>
      </c>
      <c r="H673" s="1">
        <v>49</v>
      </c>
      <c r="I673" s="1" t="s">
        <v>110</v>
      </c>
      <c r="J673" s="1">
        <v>6.5</v>
      </c>
      <c r="K673" s="1">
        <v>443.9</v>
      </c>
      <c r="L673" s="1" t="s">
        <v>65</v>
      </c>
      <c r="M673" s="1" t="s">
        <v>111</v>
      </c>
      <c r="N673" s="1" t="s">
        <v>67</v>
      </c>
      <c r="O673" s="1">
        <v>3</v>
      </c>
      <c r="P673" s="1">
        <v>147</v>
      </c>
      <c r="Q673" s="1">
        <v>278.89999999999998</v>
      </c>
      <c r="R673" s="8" t="str">
        <f>_xlfn.IFS(J673&gt;=8,"Hit",J673&gt;=6,"Average",J673&lt;6,"Flop")</f>
        <v>Average</v>
      </c>
      <c r="S673" s="9" t="str">
        <f>_xlfn.IFS(K673&gt;=400,"Blockbuster",K673&gt;=200,"Popular",K673&lt;200,"Normal")</f>
        <v>Blockbuster</v>
      </c>
      <c r="T673" s="10" t="str">
        <f>IF(OR(I673="PG",I673="G"),"Yes","No")</f>
        <v>No</v>
      </c>
      <c r="U673" s="11" t="str">
        <f>IF(P673&gt;=100,"High","Low")</f>
        <v>High</v>
      </c>
      <c r="V673" s="28">
        <f t="shared" si="20"/>
        <v>131.89999999999998</v>
      </c>
      <c r="W673" s="29">
        <f t="shared" si="21"/>
        <v>189.72789115646259</v>
      </c>
    </row>
    <row r="674" spans="1:23" x14ac:dyDescent="0.3">
      <c r="A674" s="1" t="s">
        <v>2004</v>
      </c>
      <c r="B674" s="1" t="s">
        <v>2005</v>
      </c>
      <c r="C674" s="1" t="s">
        <v>46</v>
      </c>
      <c r="D674" s="1" t="s">
        <v>117</v>
      </c>
      <c r="E674" s="1">
        <v>2007</v>
      </c>
      <c r="F674" s="1" t="s">
        <v>122</v>
      </c>
      <c r="G674" s="1" t="s">
        <v>2006</v>
      </c>
      <c r="H674" s="1">
        <v>45</v>
      </c>
      <c r="I674" s="1" t="s">
        <v>31</v>
      </c>
      <c r="J674" s="1">
        <v>6.8</v>
      </c>
      <c r="K674" s="1">
        <v>266.60000000000002</v>
      </c>
      <c r="L674" s="1" t="s">
        <v>171</v>
      </c>
      <c r="M674" s="1" t="s">
        <v>78</v>
      </c>
      <c r="N674" s="1" t="s">
        <v>34</v>
      </c>
      <c r="O674" s="1">
        <v>1</v>
      </c>
      <c r="P674" s="1">
        <v>162</v>
      </c>
      <c r="Q674" s="1">
        <v>609.79999999999995</v>
      </c>
      <c r="R674" s="8" t="str">
        <f>_xlfn.IFS(J674&gt;=8,"Hit",J674&gt;=6,"Average",J674&lt;6,"Flop")</f>
        <v>Average</v>
      </c>
      <c r="S674" s="9" t="str">
        <f>_xlfn.IFS(K674&gt;=400,"Blockbuster",K674&gt;=200,"Popular",K674&lt;200,"Normal")</f>
        <v>Popular</v>
      </c>
      <c r="T674" s="10" t="str">
        <f>IF(OR(I674="PG",I674="G"),"Yes","No")</f>
        <v>No</v>
      </c>
      <c r="U674" s="11" t="str">
        <f>IF(P674&gt;=100,"High","Low")</f>
        <v>High</v>
      </c>
      <c r="V674" s="28">
        <f t="shared" si="20"/>
        <v>447.79999999999995</v>
      </c>
      <c r="W674" s="29">
        <f t="shared" si="21"/>
        <v>376.41975308641975</v>
      </c>
    </row>
    <row r="675" spans="1:23" x14ac:dyDescent="0.3">
      <c r="A675" s="1" t="s">
        <v>2007</v>
      </c>
      <c r="B675" s="1" t="s">
        <v>2008</v>
      </c>
      <c r="C675" s="1" t="s">
        <v>18</v>
      </c>
      <c r="D675" s="1" t="s">
        <v>47</v>
      </c>
      <c r="E675" s="1">
        <v>2020</v>
      </c>
      <c r="F675" s="1" t="s">
        <v>95</v>
      </c>
      <c r="G675" s="1" t="s">
        <v>2009</v>
      </c>
      <c r="H675" s="1">
        <v>165</v>
      </c>
      <c r="I675" s="1" t="s">
        <v>50</v>
      </c>
      <c r="J675" s="1">
        <v>8.1999999999999993</v>
      </c>
      <c r="K675" s="1">
        <v>36.799999999999997</v>
      </c>
      <c r="L675" s="1" t="s">
        <v>171</v>
      </c>
      <c r="M675" s="1" t="s">
        <v>124</v>
      </c>
      <c r="N675" s="1" t="s">
        <v>119</v>
      </c>
      <c r="O675" s="1"/>
      <c r="P675" s="1">
        <v>20</v>
      </c>
      <c r="Q675" s="1">
        <v>78.099999999999994</v>
      </c>
      <c r="R675" s="8" t="str">
        <f>_xlfn.IFS(J675&gt;=8,"Hit",J675&gt;=6,"Average",J675&lt;6,"Flop")</f>
        <v>Hit</v>
      </c>
      <c r="S675" s="9" t="str">
        <f>_xlfn.IFS(K675&gt;=400,"Blockbuster",K675&gt;=200,"Popular",K675&lt;200,"Normal")</f>
        <v>Normal</v>
      </c>
      <c r="T675" s="10" t="str">
        <f>IF(OR(I675="PG",I675="G"),"Yes","No")</f>
        <v>Yes</v>
      </c>
      <c r="U675" s="11" t="str">
        <f>IF(P675&gt;=100,"High","Low")</f>
        <v>Low</v>
      </c>
      <c r="V675" s="28">
        <f t="shared" si="20"/>
        <v>58.099999999999994</v>
      </c>
      <c r="W675" s="29">
        <f t="shared" si="21"/>
        <v>390.5</v>
      </c>
    </row>
    <row r="676" spans="1:23" x14ac:dyDescent="0.3">
      <c r="A676" s="1" t="s">
        <v>2010</v>
      </c>
      <c r="B676" s="1" t="s">
        <v>2011</v>
      </c>
      <c r="C676" s="1" t="s">
        <v>46</v>
      </c>
      <c r="D676" s="1" t="s">
        <v>117</v>
      </c>
      <c r="E676" s="1">
        <v>2020</v>
      </c>
      <c r="F676" s="1" t="s">
        <v>83</v>
      </c>
      <c r="G676" s="1" t="s">
        <v>642</v>
      </c>
      <c r="H676" s="1">
        <v>46</v>
      </c>
      <c r="I676" s="1" t="s">
        <v>110</v>
      </c>
      <c r="J676" s="1">
        <v>8.6999999999999993</v>
      </c>
      <c r="K676" s="1">
        <v>65.900000000000006</v>
      </c>
      <c r="L676" s="1" t="s">
        <v>32</v>
      </c>
      <c r="M676" s="1" t="s">
        <v>24</v>
      </c>
      <c r="N676" s="1" t="s">
        <v>34</v>
      </c>
      <c r="O676" s="1">
        <v>3</v>
      </c>
      <c r="P676" s="1">
        <v>104</v>
      </c>
      <c r="Q676" s="1">
        <v>319.2</v>
      </c>
      <c r="R676" s="8" t="str">
        <f>_xlfn.IFS(J676&gt;=8,"Hit",J676&gt;=6,"Average",J676&lt;6,"Flop")</f>
        <v>Hit</v>
      </c>
      <c r="S676" s="9" t="str">
        <f>_xlfn.IFS(K676&gt;=400,"Blockbuster",K676&gt;=200,"Popular",K676&lt;200,"Normal")</f>
        <v>Normal</v>
      </c>
      <c r="T676" s="10" t="str">
        <f>IF(OR(I676="PG",I676="G"),"Yes","No")</f>
        <v>No</v>
      </c>
      <c r="U676" s="11" t="str">
        <f>IF(P676&gt;=100,"High","Low")</f>
        <v>High</v>
      </c>
      <c r="V676" s="28">
        <f t="shared" si="20"/>
        <v>215.2</v>
      </c>
      <c r="W676" s="29">
        <f t="shared" si="21"/>
        <v>306.92307692307691</v>
      </c>
    </row>
    <row r="677" spans="1:23" x14ac:dyDescent="0.3">
      <c r="A677" s="1" t="s">
        <v>2012</v>
      </c>
      <c r="B677" s="1" t="s">
        <v>2013</v>
      </c>
      <c r="C677" s="1" t="s">
        <v>18</v>
      </c>
      <c r="D677" s="1" t="s">
        <v>58</v>
      </c>
      <c r="E677" s="1">
        <v>2011</v>
      </c>
      <c r="F677" s="1" t="s">
        <v>95</v>
      </c>
      <c r="G677" s="1" t="s">
        <v>2014</v>
      </c>
      <c r="H677" s="1">
        <v>98</v>
      </c>
      <c r="I677" s="1" t="s">
        <v>31</v>
      </c>
      <c r="J677" s="1">
        <v>7.4</v>
      </c>
      <c r="K677" s="1">
        <v>181.2</v>
      </c>
      <c r="L677" s="1" t="s">
        <v>41</v>
      </c>
      <c r="M677" s="1" t="s">
        <v>42</v>
      </c>
      <c r="N677" s="1" t="s">
        <v>67</v>
      </c>
      <c r="O677" s="1"/>
      <c r="P677" s="1">
        <v>14</v>
      </c>
      <c r="Q677" s="1">
        <v>79</v>
      </c>
      <c r="R677" s="8" t="str">
        <f>_xlfn.IFS(J677&gt;=8,"Hit",J677&gt;=6,"Average",J677&lt;6,"Flop")</f>
        <v>Average</v>
      </c>
      <c r="S677" s="9" t="str">
        <f>_xlfn.IFS(K677&gt;=400,"Blockbuster",K677&gt;=200,"Popular",K677&lt;200,"Normal")</f>
        <v>Normal</v>
      </c>
      <c r="T677" s="10" t="str">
        <f>IF(OR(I677="PG",I677="G"),"Yes","No")</f>
        <v>No</v>
      </c>
      <c r="U677" s="11" t="str">
        <f>IF(P677&gt;=100,"High","Low")</f>
        <v>Low</v>
      </c>
      <c r="V677" s="28">
        <f t="shared" si="20"/>
        <v>65</v>
      </c>
      <c r="W677" s="29">
        <f t="shared" si="21"/>
        <v>564.28571428571433</v>
      </c>
    </row>
    <row r="678" spans="1:23" x14ac:dyDescent="0.3">
      <c r="A678" s="1" t="s">
        <v>2015</v>
      </c>
      <c r="B678" s="1" t="s">
        <v>2016</v>
      </c>
      <c r="C678" s="1" t="s">
        <v>18</v>
      </c>
      <c r="D678" s="1" t="s">
        <v>37</v>
      </c>
      <c r="E678" s="1">
        <v>2025</v>
      </c>
      <c r="F678" s="1" t="s">
        <v>38</v>
      </c>
      <c r="G678" s="1" t="s">
        <v>2017</v>
      </c>
      <c r="H678" s="1">
        <v>93</v>
      </c>
      <c r="I678" s="1" t="s">
        <v>50</v>
      </c>
      <c r="J678" s="1">
        <v>8</v>
      </c>
      <c r="K678" s="1">
        <v>344.4</v>
      </c>
      <c r="L678" s="1" t="s">
        <v>71</v>
      </c>
      <c r="M678" s="1" t="s">
        <v>146</v>
      </c>
      <c r="N678" s="1" t="s">
        <v>67</v>
      </c>
      <c r="O678" s="1"/>
      <c r="P678" s="1">
        <v>189</v>
      </c>
      <c r="Q678" s="1">
        <v>865.1</v>
      </c>
      <c r="R678" s="8" t="str">
        <f>_xlfn.IFS(J678&gt;=8,"Hit",J678&gt;=6,"Average",J678&lt;6,"Flop")</f>
        <v>Hit</v>
      </c>
      <c r="S678" s="9" t="str">
        <f>_xlfn.IFS(K678&gt;=400,"Blockbuster",K678&gt;=200,"Popular",K678&lt;200,"Normal")</f>
        <v>Popular</v>
      </c>
      <c r="T678" s="10" t="str">
        <f>IF(OR(I678="PG",I678="G"),"Yes","No")</f>
        <v>Yes</v>
      </c>
      <c r="U678" s="11" t="str">
        <f>IF(P678&gt;=100,"High","Low")</f>
        <v>High</v>
      </c>
      <c r="V678" s="28">
        <f t="shared" si="20"/>
        <v>676.1</v>
      </c>
      <c r="W678" s="29">
        <f t="shared" si="21"/>
        <v>457.72486772486775</v>
      </c>
    </row>
    <row r="679" spans="1:23" x14ac:dyDescent="0.3">
      <c r="A679" s="1" t="s">
        <v>2018</v>
      </c>
      <c r="B679" s="1" t="s">
        <v>2019</v>
      </c>
      <c r="C679" s="1" t="s">
        <v>18</v>
      </c>
      <c r="D679" s="1" t="s">
        <v>63</v>
      </c>
      <c r="E679" s="1">
        <v>2008</v>
      </c>
      <c r="F679" s="1" t="s">
        <v>76</v>
      </c>
      <c r="G679" s="1" t="s">
        <v>2020</v>
      </c>
      <c r="H679" s="1">
        <v>124</v>
      </c>
      <c r="I679" s="1" t="s">
        <v>31</v>
      </c>
      <c r="J679" s="1">
        <v>5</v>
      </c>
      <c r="K679" s="1">
        <v>111.1</v>
      </c>
      <c r="L679" s="1" t="s">
        <v>90</v>
      </c>
      <c r="M679" s="1" t="s">
        <v>97</v>
      </c>
      <c r="N679" s="1" t="s">
        <v>60</v>
      </c>
      <c r="O679" s="1"/>
      <c r="P679" s="1">
        <v>26</v>
      </c>
      <c r="Q679" s="1">
        <v>168.3</v>
      </c>
      <c r="R679" s="8" t="str">
        <f>_xlfn.IFS(J679&gt;=8,"Hit",J679&gt;=6,"Average",J679&lt;6,"Flop")</f>
        <v>Flop</v>
      </c>
      <c r="S679" s="9" t="str">
        <f>_xlfn.IFS(K679&gt;=400,"Blockbuster",K679&gt;=200,"Popular",K679&lt;200,"Normal")</f>
        <v>Normal</v>
      </c>
      <c r="T679" s="10" t="str">
        <f>IF(OR(I679="PG",I679="G"),"Yes","No")</f>
        <v>No</v>
      </c>
      <c r="U679" s="11" t="str">
        <f>IF(P679&gt;=100,"High","Low")</f>
        <v>Low</v>
      </c>
      <c r="V679" s="28">
        <f t="shared" si="20"/>
        <v>142.30000000000001</v>
      </c>
      <c r="W679" s="29">
        <f t="shared" si="21"/>
        <v>647.30769230769226</v>
      </c>
    </row>
    <row r="680" spans="1:23" x14ac:dyDescent="0.3">
      <c r="A680" s="1" t="s">
        <v>2021</v>
      </c>
      <c r="B680" s="1" t="s">
        <v>2022</v>
      </c>
      <c r="C680" s="1" t="s">
        <v>18</v>
      </c>
      <c r="D680" s="1" t="s">
        <v>58</v>
      </c>
      <c r="E680" s="1">
        <v>2003</v>
      </c>
      <c r="F680" s="1" t="s">
        <v>83</v>
      </c>
      <c r="G680" s="1" t="s">
        <v>434</v>
      </c>
      <c r="H680" s="1">
        <v>89</v>
      </c>
      <c r="I680" s="1" t="s">
        <v>22</v>
      </c>
      <c r="J680" s="1">
        <v>5.6</v>
      </c>
      <c r="K680" s="1">
        <v>563.70000000000005</v>
      </c>
      <c r="L680" s="1" t="s">
        <v>171</v>
      </c>
      <c r="M680" s="1" t="s">
        <v>24</v>
      </c>
      <c r="N680" s="1" t="s">
        <v>43</v>
      </c>
      <c r="O680" s="1"/>
      <c r="P680" s="1">
        <v>41</v>
      </c>
      <c r="Q680" s="1">
        <v>155.9</v>
      </c>
      <c r="R680" s="8" t="str">
        <f>_xlfn.IFS(J680&gt;=8,"Hit",J680&gt;=6,"Average",J680&lt;6,"Flop")</f>
        <v>Flop</v>
      </c>
      <c r="S680" s="9" t="str">
        <f>_xlfn.IFS(K680&gt;=400,"Blockbuster",K680&gt;=200,"Popular",K680&lt;200,"Normal")</f>
        <v>Blockbuster</v>
      </c>
      <c r="T680" s="10" t="str">
        <f>IF(OR(I680="PG",I680="G"),"Yes","No")</f>
        <v>No</v>
      </c>
      <c r="U680" s="11" t="str">
        <f>IF(P680&gt;=100,"High","Low")</f>
        <v>Low</v>
      </c>
      <c r="V680" s="28">
        <f t="shared" si="20"/>
        <v>114.9</v>
      </c>
      <c r="W680" s="29">
        <f t="shared" si="21"/>
        <v>380.2439024390244</v>
      </c>
    </row>
    <row r="681" spans="1:23" x14ac:dyDescent="0.3">
      <c r="A681" s="1" t="s">
        <v>2023</v>
      </c>
      <c r="B681" s="1" t="s">
        <v>2024</v>
      </c>
      <c r="C681" s="1" t="s">
        <v>46</v>
      </c>
      <c r="D681" s="1" t="s">
        <v>19</v>
      </c>
      <c r="E681" s="1">
        <v>2016</v>
      </c>
      <c r="F681" s="1" t="s">
        <v>181</v>
      </c>
      <c r="G681" s="1" t="s">
        <v>594</v>
      </c>
      <c r="H681" s="1">
        <v>49</v>
      </c>
      <c r="I681" s="1" t="s">
        <v>110</v>
      </c>
      <c r="J681" s="1">
        <v>7.2</v>
      </c>
      <c r="K681" s="1">
        <v>148.80000000000001</v>
      </c>
      <c r="L681" s="1" t="s">
        <v>171</v>
      </c>
      <c r="M681" s="1" t="s">
        <v>97</v>
      </c>
      <c r="N681" s="1" t="s">
        <v>91</v>
      </c>
      <c r="O681" s="1">
        <v>1</v>
      </c>
      <c r="P681" s="1">
        <v>18</v>
      </c>
      <c r="Q681" s="1">
        <v>46.7</v>
      </c>
      <c r="R681" s="8" t="str">
        <f>_xlfn.IFS(J681&gt;=8,"Hit",J681&gt;=6,"Average",J681&lt;6,"Flop")</f>
        <v>Average</v>
      </c>
      <c r="S681" s="9" t="str">
        <f>_xlfn.IFS(K681&gt;=400,"Blockbuster",K681&gt;=200,"Popular",K681&lt;200,"Normal")</f>
        <v>Normal</v>
      </c>
      <c r="T681" s="10" t="str">
        <f>IF(OR(I681="PG",I681="G"),"Yes","No")</f>
        <v>No</v>
      </c>
      <c r="U681" s="11" t="str">
        <f>IF(P681&gt;=100,"High","Low")</f>
        <v>Low</v>
      </c>
      <c r="V681" s="28">
        <f t="shared" si="20"/>
        <v>28.700000000000003</v>
      </c>
      <c r="W681" s="29">
        <f t="shared" si="21"/>
        <v>259.44444444444446</v>
      </c>
    </row>
    <row r="682" spans="1:23" x14ac:dyDescent="0.3">
      <c r="A682" s="1" t="s">
        <v>2025</v>
      </c>
      <c r="B682" s="1" t="s">
        <v>2026</v>
      </c>
      <c r="C682" s="1" t="s">
        <v>18</v>
      </c>
      <c r="D682" s="1" t="s">
        <v>75</v>
      </c>
      <c r="E682" s="1">
        <v>2003</v>
      </c>
      <c r="F682" s="1" t="s">
        <v>48</v>
      </c>
      <c r="G682" s="1" t="s">
        <v>2027</v>
      </c>
      <c r="H682" s="1">
        <v>180</v>
      </c>
      <c r="I682" s="1" t="s">
        <v>22</v>
      </c>
      <c r="J682" s="1">
        <v>8.4</v>
      </c>
      <c r="K682" s="1">
        <v>419.2</v>
      </c>
      <c r="L682" s="1" t="s">
        <v>90</v>
      </c>
      <c r="M682" s="1" t="s">
        <v>78</v>
      </c>
      <c r="N682" s="1" t="s">
        <v>119</v>
      </c>
      <c r="O682" s="1"/>
      <c r="P682" s="1">
        <v>37</v>
      </c>
      <c r="Q682" s="1">
        <v>117.5</v>
      </c>
      <c r="R682" s="8" t="str">
        <f>_xlfn.IFS(J682&gt;=8,"Hit",J682&gt;=6,"Average",J682&lt;6,"Flop")</f>
        <v>Hit</v>
      </c>
      <c r="S682" s="9" t="str">
        <f>_xlfn.IFS(K682&gt;=400,"Blockbuster",K682&gt;=200,"Popular",K682&lt;200,"Normal")</f>
        <v>Blockbuster</v>
      </c>
      <c r="T682" s="10" t="str">
        <f>IF(OR(I682="PG",I682="G"),"Yes","No")</f>
        <v>No</v>
      </c>
      <c r="U682" s="11" t="str">
        <f>IF(P682&gt;=100,"High","Low")</f>
        <v>Low</v>
      </c>
      <c r="V682" s="28">
        <f t="shared" si="20"/>
        <v>80.5</v>
      </c>
      <c r="W682" s="29">
        <f t="shared" si="21"/>
        <v>317.56756756756761</v>
      </c>
    </row>
    <row r="683" spans="1:23" x14ac:dyDescent="0.3">
      <c r="A683" s="1" t="s">
        <v>2028</v>
      </c>
      <c r="B683" s="1" t="s">
        <v>2029</v>
      </c>
      <c r="C683" s="1" t="s">
        <v>18</v>
      </c>
      <c r="D683" s="1" t="s">
        <v>141</v>
      </c>
      <c r="E683" s="1">
        <v>2018</v>
      </c>
      <c r="F683" s="1" t="s">
        <v>122</v>
      </c>
      <c r="G683" s="1" t="s">
        <v>2030</v>
      </c>
      <c r="H683" s="1">
        <v>127</v>
      </c>
      <c r="I683" s="1" t="s">
        <v>40</v>
      </c>
      <c r="J683" s="1">
        <v>4.5999999999999996</v>
      </c>
      <c r="K683" s="1">
        <v>546.29999999999995</v>
      </c>
      <c r="L683" s="1" t="s">
        <v>32</v>
      </c>
      <c r="M683" s="1" t="s">
        <v>42</v>
      </c>
      <c r="N683" s="1" t="s">
        <v>178</v>
      </c>
      <c r="O683" s="1"/>
      <c r="P683" s="1">
        <v>82</v>
      </c>
      <c r="Q683" s="1">
        <v>264.60000000000002</v>
      </c>
      <c r="R683" s="8" t="str">
        <f>_xlfn.IFS(J683&gt;=8,"Hit",J683&gt;=6,"Average",J683&lt;6,"Flop")</f>
        <v>Flop</v>
      </c>
      <c r="S683" s="9" t="str">
        <f>_xlfn.IFS(K683&gt;=400,"Blockbuster",K683&gt;=200,"Popular",K683&lt;200,"Normal")</f>
        <v>Blockbuster</v>
      </c>
      <c r="T683" s="10" t="str">
        <f>IF(OR(I683="PG",I683="G"),"Yes","No")</f>
        <v>Yes</v>
      </c>
      <c r="U683" s="11" t="str">
        <f>IF(P683&gt;=100,"High","Low")</f>
        <v>Low</v>
      </c>
      <c r="V683" s="28">
        <f t="shared" si="20"/>
        <v>182.60000000000002</v>
      </c>
      <c r="W683" s="29">
        <f t="shared" si="21"/>
        <v>322.6829268292683</v>
      </c>
    </row>
    <row r="684" spans="1:23" x14ac:dyDescent="0.3">
      <c r="A684" s="1" t="s">
        <v>2031</v>
      </c>
      <c r="B684" s="1" t="s">
        <v>2032</v>
      </c>
      <c r="C684" s="1" t="s">
        <v>18</v>
      </c>
      <c r="D684" s="1" t="s">
        <v>28</v>
      </c>
      <c r="E684" s="1">
        <v>2007</v>
      </c>
      <c r="F684" s="1" t="s">
        <v>48</v>
      </c>
      <c r="G684" s="1" t="s">
        <v>790</v>
      </c>
      <c r="H684" s="1">
        <v>172</v>
      </c>
      <c r="I684" s="1" t="s">
        <v>31</v>
      </c>
      <c r="J684" s="1">
        <v>8.1999999999999993</v>
      </c>
      <c r="K684" s="1">
        <v>430</v>
      </c>
      <c r="L684" s="1" t="s">
        <v>90</v>
      </c>
      <c r="M684" s="1" t="s">
        <v>54</v>
      </c>
      <c r="N684" s="1" t="s">
        <v>119</v>
      </c>
      <c r="O684" s="1"/>
      <c r="P684" s="1">
        <v>160</v>
      </c>
      <c r="Q684" s="1">
        <v>559.79999999999995</v>
      </c>
      <c r="R684" s="8" t="str">
        <f>_xlfn.IFS(J684&gt;=8,"Hit",J684&gt;=6,"Average",J684&lt;6,"Flop")</f>
        <v>Hit</v>
      </c>
      <c r="S684" s="9" t="str">
        <f>_xlfn.IFS(K684&gt;=400,"Blockbuster",K684&gt;=200,"Popular",K684&lt;200,"Normal")</f>
        <v>Blockbuster</v>
      </c>
      <c r="T684" s="10" t="str">
        <f>IF(OR(I684="PG",I684="G"),"Yes","No")</f>
        <v>No</v>
      </c>
      <c r="U684" s="11" t="str">
        <f>IF(P684&gt;=100,"High","Low")</f>
        <v>High</v>
      </c>
      <c r="V684" s="28">
        <f t="shared" si="20"/>
        <v>399.79999999999995</v>
      </c>
      <c r="W684" s="29">
        <f t="shared" si="21"/>
        <v>349.875</v>
      </c>
    </row>
    <row r="685" spans="1:23" x14ac:dyDescent="0.3">
      <c r="A685" s="1" t="s">
        <v>2033</v>
      </c>
      <c r="B685" s="1" t="s">
        <v>2034</v>
      </c>
      <c r="C685" s="1" t="s">
        <v>46</v>
      </c>
      <c r="D685" s="1" t="s">
        <v>19</v>
      </c>
      <c r="E685" s="1">
        <v>2024</v>
      </c>
      <c r="F685" s="1" t="s">
        <v>20</v>
      </c>
      <c r="G685" s="1" t="s">
        <v>2035</v>
      </c>
      <c r="H685" s="1">
        <v>45</v>
      </c>
      <c r="I685" s="1" t="s">
        <v>50</v>
      </c>
      <c r="J685" s="1">
        <v>4.7</v>
      </c>
      <c r="K685" s="1">
        <v>411.2</v>
      </c>
      <c r="L685" s="1" t="s">
        <v>32</v>
      </c>
      <c r="M685" s="1" t="s">
        <v>157</v>
      </c>
      <c r="N685" s="1" t="s">
        <v>86</v>
      </c>
      <c r="O685" s="1">
        <v>5</v>
      </c>
      <c r="P685" s="1">
        <v>86</v>
      </c>
      <c r="Q685" s="1">
        <v>387.3</v>
      </c>
      <c r="R685" s="8" t="str">
        <f>_xlfn.IFS(J685&gt;=8,"Hit",J685&gt;=6,"Average",J685&lt;6,"Flop")</f>
        <v>Flop</v>
      </c>
      <c r="S685" s="9" t="str">
        <f>_xlfn.IFS(K685&gt;=400,"Blockbuster",K685&gt;=200,"Popular",K685&lt;200,"Normal")</f>
        <v>Blockbuster</v>
      </c>
      <c r="T685" s="10" t="str">
        <f>IF(OR(I685="PG",I685="G"),"Yes","No")</f>
        <v>Yes</v>
      </c>
      <c r="U685" s="11" t="str">
        <f>IF(P685&gt;=100,"High","Low")</f>
        <v>Low</v>
      </c>
      <c r="V685" s="28">
        <f t="shared" si="20"/>
        <v>301.3</v>
      </c>
      <c r="W685" s="29">
        <f t="shared" si="21"/>
        <v>450.3488372093023</v>
      </c>
    </row>
    <row r="686" spans="1:23" x14ac:dyDescent="0.3">
      <c r="A686" s="1" t="s">
        <v>2036</v>
      </c>
      <c r="B686" s="1" t="s">
        <v>2037</v>
      </c>
      <c r="C686" s="1" t="s">
        <v>18</v>
      </c>
      <c r="D686" s="1" t="s">
        <v>63</v>
      </c>
      <c r="E686" s="1">
        <v>2011</v>
      </c>
      <c r="F686" s="1" t="s">
        <v>29</v>
      </c>
      <c r="G686" s="1" t="s">
        <v>2038</v>
      </c>
      <c r="H686" s="1">
        <v>99</v>
      </c>
      <c r="I686" s="1" t="s">
        <v>31</v>
      </c>
      <c r="J686" s="1">
        <v>5.6</v>
      </c>
      <c r="K686" s="1">
        <v>512</v>
      </c>
      <c r="L686" s="1" t="s">
        <v>171</v>
      </c>
      <c r="M686" s="1" t="s">
        <v>132</v>
      </c>
      <c r="N686" s="1" t="s">
        <v>25</v>
      </c>
      <c r="O686" s="1"/>
      <c r="P686" s="1">
        <v>148</v>
      </c>
      <c r="Q686" s="1">
        <v>310.8</v>
      </c>
      <c r="R686" s="8" t="str">
        <f>_xlfn.IFS(J686&gt;=8,"Hit",J686&gt;=6,"Average",J686&lt;6,"Flop")</f>
        <v>Flop</v>
      </c>
      <c r="S686" s="9" t="str">
        <f>_xlfn.IFS(K686&gt;=400,"Blockbuster",K686&gt;=200,"Popular",K686&lt;200,"Normal")</f>
        <v>Blockbuster</v>
      </c>
      <c r="T686" s="10" t="str">
        <f>IF(OR(I686="PG",I686="G"),"Yes","No")</f>
        <v>No</v>
      </c>
      <c r="U686" s="11" t="str">
        <f>IF(P686&gt;=100,"High","Low")</f>
        <v>High</v>
      </c>
      <c r="V686" s="28">
        <f t="shared" si="20"/>
        <v>162.80000000000001</v>
      </c>
      <c r="W686" s="29">
        <f t="shared" si="21"/>
        <v>210</v>
      </c>
    </row>
    <row r="687" spans="1:23" x14ac:dyDescent="0.3">
      <c r="A687" s="1" t="s">
        <v>2039</v>
      </c>
      <c r="B687" s="1" t="s">
        <v>2040</v>
      </c>
      <c r="C687" s="1" t="s">
        <v>18</v>
      </c>
      <c r="D687" s="1" t="s">
        <v>47</v>
      </c>
      <c r="E687" s="1">
        <v>2004</v>
      </c>
      <c r="F687" s="1" t="s">
        <v>100</v>
      </c>
      <c r="G687" s="1" t="s">
        <v>1186</v>
      </c>
      <c r="H687" s="1">
        <v>142</v>
      </c>
      <c r="I687" s="1" t="s">
        <v>40</v>
      </c>
      <c r="J687" s="1">
        <v>8.1</v>
      </c>
      <c r="K687" s="1">
        <v>546.5</v>
      </c>
      <c r="L687" s="1" t="s">
        <v>171</v>
      </c>
      <c r="M687" s="1" t="s">
        <v>97</v>
      </c>
      <c r="N687" s="1" t="s">
        <v>67</v>
      </c>
      <c r="O687" s="1"/>
      <c r="P687" s="1">
        <v>7</v>
      </c>
      <c r="Q687" s="1">
        <v>42</v>
      </c>
      <c r="R687" s="8" t="str">
        <f>_xlfn.IFS(J687&gt;=8,"Hit",J687&gt;=6,"Average",J687&lt;6,"Flop")</f>
        <v>Hit</v>
      </c>
      <c r="S687" s="9" t="str">
        <f>_xlfn.IFS(K687&gt;=400,"Blockbuster",K687&gt;=200,"Popular",K687&lt;200,"Normal")</f>
        <v>Blockbuster</v>
      </c>
      <c r="T687" s="10" t="str">
        <f>IF(OR(I687="PG",I687="G"),"Yes","No")</f>
        <v>Yes</v>
      </c>
      <c r="U687" s="11" t="str">
        <f>IF(P687&gt;=100,"High","Low")</f>
        <v>Low</v>
      </c>
      <c r="V687" s="28">
        <f t="shared" si="20"/>
        <v>35</v>
      </c>
      <c r="W687" s="29">
        <f t="shared" si="21"/>
        <v>600</v>
      </c>
    </row>
    <row r="688" spans="1:23" x14ac:dyDescent="0.3">
      <c r="A688" s="1" t="s">
        <v>2041</v>
      </c>
      <c r="B688" s="1" t="s">
        <v>2042</v>
      </c>
      <c r="C688" s="1" t="s">
        <v>18</v>
      </c>
      <c r="D688" s="1" t="s">
        <v>63</v>
      </c>
      <c r="E688" s="1">
        <v>2007</v>
      </c>
      <c r="F688" s="1" t="s">
        <v>20</v>
      </c>
      <c r="G688" s="1" t="s">
        <v>245</v>
      </c>
      <c r="H688" s="1">
        <v>100</v>
      </c>
      <c r="I688" s="1" t="s">
        <v>31</v>
      </c>
      <c r="J688" s="1">
        <v>8.9</v>
      </c>
      <c r="K688" s="1">
        <v>8.6</v>
      </c>
      <c r="L688" s="1" t="s">
        <v>23</v>
      </c>
      <c r="M688" s="1" t="s">
        <v>111</v>
      </c>
      <c r="N688" s="1" t="s">
        <v>34</v>
      </c>
      <c r="O688" s="1"/>
      <c r="P688" s="1">
        <v>183</v>
      </c>
      <c r="Q688" s="1">
        <v>722.6</v>
      </c>
      <c r="R688" s="8" t="str">
        <f>_xlfn.IFS(J688&gt;=8,"Hit",J688&gt;=6,"Average",J688&lt;6,"Flop")</f>
        <v>Hit</v>
      </c>
      <c r="S688" s="9" t="str">
        <f>_xlfn.IFS(K688&gt;=400,"Blockbuster",K688&gt;=200,"Popular",K688&lt;200,"Normal")</f>
        <v>Normal</v>
      </c>
      <c r="T688" s="10" t="str">
        <f>IF(OR(I688="PG",I688="G"),"Yes","No")</f>
        <v>No</v>
      </c>
      <c r="U688" s="11" t="str">
        <f>IF(P688&gt;=100,"High","Low")</f>
        <v>High</v>
      </c>
      <c r="V688" s="28">
        <f t="shared" si="20"/>
        <v>539.6</v>
      </c>
      <c r="W688" s="29">
        <f t="shared" si="21"/>
        <v>394.8633879781421</v>
      </c>
    </row>
    <row r="689" spans="1:23" x14ac:dyDescent="0.3">
      <c r="A689" s="1" t="s">
        <v>2043</v>
      </c>
      <c r="B689" s="1" t="s">
        <v>2044</v>
      </c>
      <c r="C689" s="1" t="s">
        <v>18</v>
      </c>
      <c r="D689" s="1" t="s">
        <v>47</v>
      </c>
      <c r="E689" s="1">
        <v>2018</v>
      </c>
      <c r="F689" s="1" t="s">
        <v>83</v>
      </c>
      <c r="G689" s="1" t="s">
        <v>2045</v>
      </c>
      <c r="H689" s="1">
        <v>82</v>
      </c>
      <c r="I689" s="1" t="s">
        <v>22</v>
      </c>
      <c r="J689" s="1">
        <v>5.2</v>
      </c>
      <c r="K689" s="1">
        <v>206.4</v>
      </c>
      <c r="L689" s="1" t="s">
        <v>41</v>
      </c>
      <c r="M689" s="1" t="s">
        <v>54</v>
      </c>
      <c r="N689" s="1" t="s">
        <v>55</v>
      </c>
      <c r="O689" s="1"/>
      <c r="P689" s="1">
        <v>22</v>
      </c>
      <c r="Q689" s="1">
        <v>55.7</v>
      </c>
      <c r="R689" s="8" t="str">
        <f>_xlfn.IFS(J689&gt;=8,"Hit",J689&gt;=6,"Average",J689&lt;6,"Flop")</f>
        <v>Flop</v>
      </c>
      <c r="S689" s="9" t="str">
        <f>_xlfn.IFS(K689&gt;=400,"Blockbuster",K689&gt;=200,"Popular",K689&lt;200,"Normal")</f>
        <v>Popular</v>
      </c>
      <c r="T689" s="10" t="str">
        <f>IF(OR(I689="PG",I689="G"),"Yes","No")</f>
        <v>No</v>
      </c>
      <c r="U689" s="11" t="str">
        <f>IF(P689&gt;=100,"High","Low")</f>
        <v>Low</v>
      </c>
      <c r="V689" s="28">
        <f t="shared" si="20"/>
        <v>33.700000000000003</v>
      </c>
      <c r="W689" s="29">
        <f t="shared" si="21"/>
        <v>253.18181818181819</v>
      </c>
    </row>
    <row r="690" spans="1:23" x14ac:dyDescent="0.3">
      <c r="A690" s="1" t="s">
        <v>2046</v>
      </c>
      <c r="B690" s="1" t="s">
        <v>2047</v>
      </c>
      <c r="C690" s="1" t="s">
        <v>46</v>
      </c>
      <c r="D690" s="1" t="s">
        <v>28</v>
      </c>
      <c r="E690" s="1">
        <v>2004</v>
      </c>
      <c r="F690" s="1" t="s">
        <v>83</v>
      </c>
      <c r="G690" s="1" t="s">
        <v>1070</v>
      </c>
      <c r="H690" s="1">
        <v>36</v>
      </c>
      <c r="I690" s="1" t="s">
        <v>31</v>
      </c>
      <c r="J690" s="1">
        <v>6.1</v>
      </c>
      <c r="K690" s="1">
        <v>242.1</v>
      </c>
      <c r="L690" s="1" t="s">
        <v>41</v>
      </c>
      <c r="M690" s="1" t="s">
        <v>24</v>
      </c>
      <c r="N690" s="1" t="s">
        <v>158</v>
      </c>
      <c r="O690" s="1">
        <v>7</v>
      </c>
      <c r="P690" s="1">
        <v>168</v>
      </c>
      <c r="Q690" s="1">
        <v>223</v>
      </c>
      <c r="R690" s="8" t="str">
        <f>_xlfn.IFS(J690&gt;=8,"Hit",J690&gt;=6,"Average",J690&lt;6,"Flop")</f>
        <v>Average</v>
      </c>
      <c r="S690" s="9" t="str">
        <f>_xlfn.IFS(K690&gt;=400,"Blockbuster",K690&gt;=200,"Popular",K690&lt;200,"Normal")</f>
        <v>Popular</v>
      </c>
      <c r="T690" s="10" t="str">
        <f>IF(OR(I690="PG",I690="G"),"Yes","No")</f>
        <v>No</v>
      </c>
      <c r="U690" s="11" t="str">
        <f>IF(P690&gt;=100,"High","Low")</f>
        <v>High</v>
      </c>
      <c r="V690" s="28">
        <f t="shared" si="20"/>
        <v>55</v>
      </c>
      <c r="W690" s="29">
        <f t="shared" si="21"/>
        <v>132.73809523809524</v>
      </c>
    </row>
    <row r="691" spans="1:23" x14ac:dyDescent="0.3">
      <c r="A691" s="1" t="s">
        <v>2048</v>
      </c>
      <c r="B691" s="1" t="s">
        <v>2049</v>
      </c>
      <c r="C691" s="1" t="s">
        <v>18</v>
      </c>
      <c r="D691" s="1" t="s">
        <v>141</v>
      </c>
      <c r="E691" s="1">
        <v>2024</v>
      </c>
      <c r="F691" s="1" t="s">
        <v>95</v>
      </c>
      <c r="G691" s="1" t="s">
        <v>2050</v>
      </c>
      <c r="H691" s="1">
        <v>114</v>
      </c>
      <c r="I691" s="1" t="s">
        <v>110</v>
      </c>
      <c r="J691" s="1">
        <v>6.4</v>
      </c>
      <c r="K691" s="1">
        <v>445.1</v>
      </c>
      <c r="L691" s="1" t="s">
        <v>65</v>
      </c>
      <c r="M691" s="1" t="s">
        <v>157</v>
      </c>
      <c r="N691" s="1" t="s">
        <v>153</v>
      </c>
      <c r="O691" s="1"/>
      <c r="P691" s="1">
        <v>8</v>
      </c>
      <c r="Q691" s="1">
        <v>35.1</v>
      </c>
      <c r="R691" s="8" t="str">
        <f>_xlfn.IFS(J691&gt;=8,"Hit",J691&gt;=6,"Average",J691&lt;6,"Flop")</f>
        <v>Average</v>
      </c>
      <c r="S691" s="9" t="str">
        <f>_xlfn.IFS(K691&gt;=400,"Blockbuster",K691&gt;=200,"Popular",K691&lt;200,"Normal")</f>
        <v>Blockbuster</v>
      </c>
      <c r="T691" s="10" t="str">
        <f>IF(OR(I691="PG",I691="G"),"Yes","No")</f>
        <v>No</v>
      </c>
      <c r="U691" s="11" t="str">
        <f>IF(P691&gt;=100,"High","Low")</f>
        <v>Low</v>
      </c>
      <c r="V691" s="28">
        <f t="shared" si="20"/>
        <v>27.1</v>
      </c>
      <c r="W691" s="29">
        <f t="shared" si="21"/>
        <v>438.75</v>
      </c>
    </row>
    <row r="692" spans="1:23" x14ac:dyDescent="0.3">
      <c r="A692" s="1" t="s">
        <v>2051</v>
      </c>
      <c r="B692" s="1" t="s">
        <v>2052</v>
      </c>
      <c r="C692" s="1" t="s">
        <v>18</v>
      </c>
      <c r="D692" s="1" t="s">
        <v>47</v>
      </c>
      <c r="E692" s="1">
        <v>2010</v>
      </c>
      <c r="F692" s="1" t="s">
        <v>100</v>
      </c>
      <c r="G692" s="1" t="s">
        <v>2053</v>
      </c>
      <c r="H692" s="1">
        <v>121</v>
      </c>
      <c r="I692" s="1" t="s">
        <v>40</v>
      </c>
      <c r="J692" s="1">
        <v>7.8</v>
      </c>
      <c r="K692" s="1">
        <v>267.60000000000002</v>
      </c>
      <c r="L692" s="1" t="s">
        <v>171</v>
      </c>
      <c r="M692" s="1" t="s">
        <v>111</v>
      </c>
      <c r="N692" s="1" t="s">
        <v>79</v>
      </c>
      <c r="O692" s="1"/>
      <c r="P692" s="1">
        <v>140</v>
      </c>
      <c r="Q692" s="1">
        <v>319.7</v>
      </c>
      <c r="R692" s="8" t="str">
        <f>_xlfn.IFS(J692&gt;=8,"Hit",J692&gt;=6,"Average",J692&lt;6,"Flop")</f>
        <v>Average</v>
      </c>
      <c r="S692" s="9" t="str">
        <f>_xlfn.IFS(K692&gt;=400,"Blockbuster",K692&gt;=200,"Popular",K692&lt;200,"Normal")</f>
        <v>Popular</v>
      </c>
      <c r="T692" s="10" t="str">
        <f>IF(OR(I692="PG",I692="G"),"Yes","No")</f>
        <v>Yes</v>
      </c>
      <c r="U692" s="11" t="str">
        <f>IF(P692&gt;=100,"High","Low")</f>
        <v>High</v>
      </c>
      <c r="V692" s="28">
        <f t="shared" si="20"/>
        <v>179.7</v>
      </c>
      <c r="W692" s="29">
        <f t="shared" si="21"/>
        <v>228.35714285714283</v>
      </c>
    </row>
    <row r="693" spans="1:23" x14ac:dyDescent="0.3">
      <c r="A693" s="1" t="s">
        <v>2054</v>
      </c>
      <c r="B693" s="1" t="s">
        <v>2055</v>
      </c>
      <c r="C693" s="1" t="s">
        <v>18</v>
      </c>
      <c r="D693" s="1" t="s">
        <v>63</v>
      </c>
      <c r="E693" s="1">
        <v>2018</v>
      </c>
      <c r="F693" s="1" t="s">
        <v>38</v>
      </c>
      <c r="G693" s="1" t="s">
        <v>1600</v>
      </c>
      <c r="H693" s="1">
        <v>157</v>
      </c>
      <c r="I693" s="1" t="s">
        <v>31</v>
      </c>
      <c r="J693" s="1">
        <v>9.3000000000000007</v>
      </c>
      <c r="K693" s="1">
        <v>371.6</v>
      </c>
      <c r="L693" s="1" t="s">
        <v>90</v>
      </c>
      <c r="M693" s="1" t="s">
        <v>24</v>
      </c>
      <c r="N693" s="1" t="s">
        <v>67</v>
      </c>
      <c r="O693" s="1"/>
      <c r="P693" s="1">
        <v>105</v>
      </c>
      <c r="Q693" s="1">
        <v>442.2</v>
      </c>
      <c r="R693" s="8" t="str">
        <f>_xlfn.IFS(J693&gt;=8,"Hit",J693&gt;=6,"Average",J693&lt;6,"Flop")</f>
        <v>Hit</v>
      </c>
      <c r="S693" s="9" t="str">
        <f>_xlfn.IFS(K693&gt;=400,"Blockbuster",K693&gt;=200,"Popular",K693&lt;200,"Normal")</f>
        <v>Popular</v>
      </c>
      <c r="T693" s="10" t="str">
        <f>IF(OR(I693="PG",I693="G"),"Yes","No")</f>
        <v>No</v>
      </c>
      <c r="U693" s="11" t="str">
        <f>IF(P693&gt;=100,"High","Low")</f>
        <v>High</v>
      </c>
      <c r="V693" s="28">
        <f t="shared" si="20"/>
        <v>337.2</v>
      </c>
      <c r="W693" s="29">
        <f t="shared" si="21"/>
        <v>421.14285714285717</v>
      </c>
    </row>
    <row r="694" spans="1:23" x14ac:dyDescent="0.3">
      <c r="A694" s="1" t="s">
        <v>2056</v>
      </c>
      <c r="B694" s="1" t="s">
        <v>2057</v>
      </c>
      <c r="C694" s="1" t="s">
        <v>18</v>
      </c>
      <c r="D694" s="1" t="s">
        <v>82</v>
      </c>
      <c r="E694" s="1">
        <v>2014</v>
      </c>
      <c r="F694" s="1" t="s">
        <v>100</v>
      </c>
      <c r="G694" s="1" t="s">
        <v>2058</v>
      </c>
      <c r="H694" s="1">
        <v>111</v>
      </c>
      <c r="I694" s="1" t="s">
        <v>110</v>
      </c>
      <c r="J694" s="1">
        <v>8.1999999999999993</v>
      </c>
      <c r="K694" s="1">
        <v>504.9</v>
      </c>
      <c r="L694" s="1" t="s">
        <v>23</v>
      </c>
      <c r="M694" s="1" t="s">
        <v>24</v>
      </c>
      <c r="N694" s="1" t="s">
        <v>158</v>
      </c>
      <c r="O694" s="1"/>
      <c r="P694" s="1">
        <v>130</v>
      </c>
      <c r="Q694" s="1">
        <v>493.1</v>
      </c>
      <c r="R694" s="8" t="str">
        <f>_xlfn.IFS(J694&gt;=8,"Hit",J694&gt;=6,"Average",J694&lt;6,"Flop")</f>
        <v>Hit</v>
      </c>
      <c r="S694" s="9" t="str">
        <f>_xlfn.IFS(K694&gt;=400,"Blockbuster",K694&gt;=200,"Popular",K694&lt;200,"Normal")</f>
        <v>Blockbuster</v>
      </c>
      <c r="T694" s="10" t="str">
        <f>IF(OR(I694="PG",I694="G"),"Yes","No")</f>
        <v>No</v>
      </c>
      <c r="U694" s="11" t="str">
        <f>IF(P694&gt;=100,"High","Low")</f>
        <v>High</v>
      </c>
      <c r="V694" s="28">
        <f t="shared" si="20"/>
        <v>363.1</v>
      </c>
      <c r="W694" s="29">
        <f t="shared" si="21"/>
        <v>379.30769230769232</v>
      </c>
    </row>
    <row r="695" spans="1:23" x14ac:dyDescent="0.3">
      <c r="A695" s="1" t="s">
        <v>2059</v>
      </c>
      <c r="B695" s="1" t="s">
        <v>2060</v>
      </c>
      <c r="C695" s="1" t="s">
        <v>18</v>
      </c>
      <c r="D695" s="1" t="s">
        <v>37</v>
      </c>
      <c r="E695" s="1">
        <v>2004</v>
      </c>
      <c r="F695" s="1" t="s">
        <v>83</v>
      </c>
      <c r="G695" s="1" t="s">
        <v>2061</v>
      </c>
      <c r="H695" s="1">
        <v>147</v>
      </c>
      <c r="I695" s="1" t="s">
        <v>40</v>
      </c>
      <c r="J695" s="1">
        <v>7.8</v>
      </c>
      <c r="K695" s="1">
        <v>178.2</v>
      </c>
      <c r="L695" s="1" t="s">
        <v>71</v>
      </c>
      <c r="M695" s="1" t="s">
        <v>85</v>
      </c>
      <c r="N695" s="1" t="s">
        <v>79</v>
      </c>
      <c r="O695" s="1"/>
      <c r="P695" s="1">
        <v>188</v>
      </c>
      <c r="Q695" s="1">
        <v>536</v>
      </c>
      <c r="R695" s="8" t="str">
        <f>_xlfn.IFS(J695&gt;=8,"Hit",J695&gt;=6,"Average",J695&lt;6,"Flop")</f>
        <v>Average</v>
      </c>
      <c r="S695" s="9" t="str">
        <f>_xlfn.IFS(K695&gt;=400,"Blockbuster",K695&gt;=200,"Popular",K695&lt;200,"Normal")</f>
        <v>Normal</v>
      </c>
      <c r="T695" s="10" t="str">
        <f>IF(OR(I695="PG",I695="G"),"Yes","No")</f>
        <v>Yes</v>
      </c>
      <c r="U695" s="11" t="str">
        <f>IF(P695&gt;=100,"High","Low")</f>
        <v>High</v>
      </c>
      <c r="V695" s="28">
        <f t="shared" si="20"/>
        <v>348</v>
      </c>
      <c r="W695" s="29">
        <f t="shared" si="21"/>
        <v>285.10638297872339</v>
      </c>
    </row>
    <row r="696" spans="1:23" x14ac:dyDescent="0.3">
      <c r="A696" s="1" t="s">
        <v>2062</v>
      </c>
      <c r="B696" s="1" t="s">
        <v>2063</v>
      </c>
      <c r="C696" s="1" t="s">
        <v>46</v>
      </c>
      <c r="D696" s="1" t="s">
        <v>28</v>
      </c>
      <c r="E696" s="1">
        <v>2002</v>
      </c>
      <c r="F696" s="1" t="s">
        <v>76</v>
      </c>
      <c r="G696" s="1" t="s">
        <v>2064</v>
      </c>
      <c r="H696" s="1">
        <v>33</v>
      </c>
      <c r="I696" s="1" t="s">
        <v>22</v>
      </c>
      <c r="J696" s="1">
        <v>8.9</v>
      </c>
      <c r="K696" s="1">
        <v>131.6</v>
      </c>
      <c r="L696" s="1" t="s">
        <v>41</v>
      </c>
      <c r="M696" s="1" t="s">
        <v>106</v>
      </c>
      <c r="N696" s="1" t="s">
        <v>67</v>
      </c>
      <c r="O696" s="1">
        <v>3</v>
      </c>
      <c r="P696" s="1">
        <v>75</v>
      </c>
      <c r="Q696" s="1">
        <v>192.6</v>
      </c>
      <c r="R696" s="8" t="str">
        <f>_xlfn.IFS(J696&gt;=8,"Hit",J696&gt;=6,"Average",J696&lt;6,"Flop")</f>
        <v>Hit</v>
      </c>
      <c r="S696" s="9" t="str">
        <f>_xlfn.IFS(K696&gt;=400,"Blockbuster",K696&gt;=200,"Popular",K696&lt;200,"Normal")</f>
        <v>Normal</v>
      </c>
      <c r="T696" s="10" t="str">
        <f>IF(OR(I696="PG",I696="G"),"Yes","No")</f>
        <v>No</v>
      </c>
      <c r="U696" s="11" t="str">
        <f>IF(P696&gt;=100,"High","Low")</f>
        <v>Low</v>
      </c>
      <c r="V696" s="28">
        <f t="shared" si="20"/>
        <v>117.6</v>
      </c>
      <c r="W696" s="29">
        <f t="shared" si="21"/>
        <v>256.8</v>
      </c>
    </row>
    <row r="697" spans="1:23" x14ac:dyDescent="0.3">
      <c r="A697" s="1" t="s">
        <v>2065</v>
      </c>
      <c r="B697" s="1" t="s">
        <v>2066</v>
      </c>
      <c r="C697" s="1" t="s">
        <v>46</v>
      </c>
      <c r="D697" s="1" t="s">
        <v>58</v>
      </c>
      <c r="E697" s="1">
        <v>2005</v>
      </c>
      <c r="F697" s="1" t="s">
        <v>181</v>
      </c>
      <c r="G697" s="1" t="s">
        <v>2067</v>
      </c>
      <c r="H697" s="1">
        <v>30</v>
      </c>
      <c r="I697" s="1" t="s">
        <v>40</v>
      </c>
      <c r="J697" s="1">
        <v>5.0999999999999996</v>
      </c>
      <c r="K697" s="1">
        <v>289.39999999999998</v>
      </c>
      <c r="L697" s="1" t="s">
        <v>32</v>
      </c>
      <c r="M697" s="1" t="s">
        <v>85</v>
      </c>
      <c r="N697" s="1" t="s">
        <v>128</v>
      </c>
      <c r="O697" s="1">
        <v>6</v>
      </c>
      <c r="P697" s="1">
        <v>67</v>
      </c>
      <c r="Q697" s="1">
        <v>374.5</v>
      </c>
      <c r="R697" s="8" t="str">
        <f>_xlfn.IFS(J697&gt;=8,"Hit",J697&gt;=6,"Average",J697&lt;6,"Flop")</f>
        <v>Flop</v>
      </c>
      <c r="S697" s="9" t="str">
        <f>_xlfn.IFS(K697&gt;=400,"Blockbuster",K697&gt;=200,"Popular",K697&lt;200,"Normal")</f>
        <v>Popular</v>
      </c>
      <c r="T697" s="10" t="str">
        <f>IF(OR(I697="PG",I697="G"),"Yes","No")</f>
        <v>Yes</v>
      </c>
      <c r="U697" s="11" t="str">
        <f>IF(P697&gt;=100,"High","Low")</f>
        <v>Low</v>
      </c>
      <c r="V697" s="28">
        <f t="shared" si="20"/>
        <v>307.5</v>
      </c>
      <c r="W697" s="29">
        <f t="shared" si="21"/>
        <v>558.95522388059703</v>
      </c>
    </row>
    <row r="698" spans="1:23" x14ac:dyDescent="0.3">
      <c r="A698" s="1" t="s">
        <v>2068</v>
      </c>
      <c r="B698" s="1" t="s">
        <v>2069</v>
      </c>
      <c r="C698" s="1" t="s">
        <v>46</v>
      </c>
      <c r="D698" s="1" t="s">
        <v>94</v>
      </c>
      <c r="E698" s="1">
        <v>2024</v>
      </c>
      <c r="F698" s="1" t="s">
        <v>95</v>
      </c>
      <c r="G698" s="1" t="s">
        <v>2070</v>
      </c>
      <c r="H698" s="1">
        <v>41</v>
      </c>
      <c r="I698" s="1" t="s">
        <v>50</v>
      </c>
      <c r="J698" s="1">
        <v>5.9</v>
      </c>
      <c r="K698" s="1">
        <v>108.8</v>
      </c>
      <c r="L698" s="1" t="s">
        <v>23</v>
      </c>
      <c r="M698" s="1" t="s">
        <v>78</v>
      </c>
      <c r="N698" s="1" t="s">
        <v>67</v>
      </c>
      <c r="O698" s="1">
        <v>2</v>
      </c>
      <c r="P698" s="1">
        <v>80</v>
      </c>
      <c r="Q698" s="1">
        <v>363.9</v>
      </c>
      <c r="R698" s="8" t="str">
        <f>_xlfn.IFS(J698&gt;=8,"Hit",J698&gt;=6,"Average",J698&lt;6,"Flop")</f>
        <v>Flop</v>
      </c>
      <c r="S698" s="9" t="str">
        <f>_xlfn.IFS(K698&gt;=400,"Blockbuster",K698&gt;=200,"Popular",K698&lt;200,"Normal")</f>
        <v>Normal</v>
      </c>
      <c r="T698" s="10" t="str">
        <f>IF(OR(I698="PG",I698="G"),"Yes","No")</f>
        <v>Yes</v>
      </c>
      <c r="U698" s="11" t="str">
        <f>IF(P698&gt;=100,"High","Low")</f>
        <v>Low</v>
      </c>
      <c r="V698" s="28">
        <f t="shared" si="20"/>
        <v>283.89999999999998</v>
      </c>
      <c r="W698" s="29">
        <f t="shared" si="21"/>
        <v>454.875</v>
      </c>
    </row>
    <row r="699" spans="1:23" x14ac:dyDescent="0.3">
      <c r="A699" s="1" t="s">
        <v>2071</v>
      </c>
      <c r="B699" s="1" t="s">
        <v>2072</v>
      </c>
      <c r="C699" s="1" t="s">
        <v>46</v>
      </c>
      <c r="D699" s="1" t="s">
        <v>82</v>
      </c>
      <c r="E699" s="1">
        <v>2018</v>
      </c>
      <c r="F699" s="1" t="s">
        <v>38</v>
      </c>
      <c r="G699" s="1" t="s">
        <v>2073</v>
      </c>
      <c r="H699" s="1">
        <v>53</v>
      </c>
      <c r="I699" s="1" t="s">
        <v>22</v>
      </c>
      <c r="J699" s="1">
        <v>9.4</v>
      </c>
      <c r="K699" s="1">
        <v>338.4</v>
      </c>
      <c r="L699" s="1" t="s">
        <v>32</v>
      </c>
      <c r="M699" s="1" t="s">
        <v>54</v>
      </c>
      <c r="N699" s="1" t="s">
        <v>34</v>
      </c>
      <c r="O699" s="1">
        <v>5</v>
      </c>
      <c r="P699" s="1">
        <v>109</v>
      </c>
      <c r="Q699" s="1">
        <v>232.6</v>
      </c>
      <c r="R699" s="8" t="str">
        <f>_xlfn.IFS(J699&gt;=8,"Hit",J699&gt;=6,"Average",J699&lt;6,"Flop")</f>
        <v>Hit</v>
      </c>
      <c r="S699" s="9" t="str">
        <f>_xlfn.IFS(K699&gt;=400,"Blockbuster",K699&gt;=200,"Popular",K699&lt;200,"Normal")</f>
        <v>Popular</v>
      </c>
      <c r="T699" s="10" t="str">
        <f>IF(OR(I699="PG",I699="G"),"Yes","No")</f>
        <v>No</v>
      </c>
      <c r="U699" s="11" t="str">
        <f>IF(P699&gt;=100,"High","Low")</f>
        <v>High</v>
      </c>
      <c r="V699" s="28">
        <f t="shared" si="20"/>
        <v>123.6</v>
      </c>
      <c r="W699" s="29">
        <f t="shared" si="21"/>
        <v>213.39449541284404</v>
      </c>
    </row>
    <row r="700" spans="1:23" x14ac:dyDescent="0.3">
      <c r="A700" s="1" t="s">
        <v>2074</v>
      </c>
      <c r="B700" s="1" t="s">
        <v>2075</v>
      </c>
      <c r="C700" s="1" t="s">
        <v>18</v>
      </c>
      <c r="D700" s="1" t="s">
        <v>141</v>
      </c>
      <c r="E700" s="1">
        <v>2021</v>
      </c>
      <c r="F700" s="1" t="s">
        <v>38</v>
      </c>
      <c r="G700" s="1" t="s">
        <v>446</v>
      </c>
      <c r="H700" s="1">
        <v>86</v>
      </c>
      <c r="I700" s="1" t="s">
        <v>50</v>
      </c>
      <c r="J700" s="1">
        <v>9.1</v>
      </c>
      <c r="K700" s="1">
        <v>247.1</v>
      </c>
      <c r="L700" s="1" t="s">
        <v>65</v>
      </c>
      <c r="M700" s="1" t="s">
        <v>33</v>
      </c>
      <c r="N700" s="1" t="s">
        <v>60</v>
      </c>
      <c r="O700" s="1"/>
      <c r="P700" s="1">
        <v>132</v>
      </c>
      <c r="Q700" s="1">
        <v>462.1</v>
      </c>
      <c r="R700" s="8" t="str">
        <f>_xlfn.IFS(J700&gt;=8,"Hit",J700&gt;=6,"Average",J700&lt;6,"Flop")</f>
        <v>Hit</v>
      </c>
      <c r="S700" s="9" t="str">
        <f>_xlfn.IFS(K700&gt;=400,"Blockbuster",K700&gt;=200,"Popular",K700&lt;200,"Normal")</f>
        <v>Popular</v>
      </c>
      <c r="T700" s="10" t="str">
        <f>IF(OR(I700="PG",I700="G"),"Yes","No")</f>
        <v>Yes</v>
      </c>
      <c r="U700" s="11" t="str">
        <f>IF(P700&gt;=100,"High","Low")</f>
        <v>High</v>
      </c>
      <c r="V700" s="28">
        <f t="shared" si="20"/>
        <v>330.1</v>
      </c>
      <c r="W700" s="29">
        <f t="shared" si="21"/>
        <v>350.07575757575762</v>
      </c>
    </row>
    <row r="701" spans="1:23" x14ac:dyDescent="0.3">
      <c r="A701" s="1" t="s">
        <v>2076</v>
      </c>
      <c r="B701" s="1" t="s">
        <v>2077</v>
      </c>
      <c r="C701" s="1" t="s">
        <v>18</v>
      </c>
      <c r="D701" s="1" t="s">
        <v>75</v>
      </c>
      <c r="E701" s="1">
        <v>2014</v>
      </c>
      <c r="F701" s="1" t="s">
        <v>100</v>
      </c>
      <c r="G701" s="1" t="s">
        <v>2078</v>
      </c>
      <c r="H701" s="1">
        <v>128</v>
      </c>
      <c r="I701" s="1" t="s">
        <v>110</v>
      </c>
      <c r="J701" s="1">
        <v>8.6999999999999993</v>
      </c>
      <c r="K701" s="1">
        <v>199.8</v>
      </c>
      <c r="L701" s="1" t="s">
        <v>171</v>
      </c>
      <c r="M701" s="1" t="s">
        <v>97</v>
      </c>
      <c r="N701" s="1" t="s">
        <v>153</v>
      </c>
      <c r="O701" s="1"/>
      <c r="P701" s="1">
        <v>121</v>
      </c>
      <c r="Q701" s="1">
        <v>194.5</v>
      </c>
      <c r="R701" s="8" t="str">
        <f>_xlfn.IFS(J701&gt;=8,"Hit",J701&gt;=6,"Average",J701&lt;6,"Flop")</f>
        <v>Hit</v>
      </c>
      <c r="S701" s="9" t="str">
        <f>_xlfn.IFS(K701&gt;=400,"Blockbuster",K701&gt;=200,"Popular",K701&lt;200,"Normal")</f>
        <v>Normal</v>
      </c>
      <c r="T701" s="10" t="str">
        <f>IF(OR(I701="PG",I701="G"),"Yes","No")</f>
        <v>No</v>
      </c>
      <c r="U701" s="11" t="str">
        <f>IF(P701&gt;=100,"High","Low")</f>
        <v>High</v>
      </c>
      <c r="V701" s="28">
        <f t="shared" si="20"/>
        <v>73.5</v>
      </c>
      <c r="W701" s="29">
        <f t="shared" si="21"/>
        <v>160.74380165289256</v>
      </c>
    </row>
    <row r="702" spans="1:23" x14ac:dyDescent="0.3">
      <c r="A702" s="1" t="s">
        <v>2079</v>
      </c>
      <c r="B702" s="1" t="s">
        <v>2080</v>
      </c>
      <c r="C702" s="1" t="s">
        <v>18</v>
      </c>
      <c r="D702" s="1" t="s">
        <v>58</v>
      </c>
      <c r="E702" s="1">
        <v>2013</v>
      </c>
      <c r="F702" s="1" t="s">
        <v>95</v>
      </c>
      <c r="G702" s="1" t="s">
        <v>2081</v>
      </c>
      <c r="H702" s="1">
        <v>95</v>
      </c>
      <c r="I702" s="1" t="s">
        <v>22</v>
      </c>
      <c r="J702" s="1">
        <v>8.9</v>
      </c>
      <c r="K702" s="1">
        <v>410.2</v>
      </c>
      <c r="L702" s="1" t="s">
        <v>65</v>
      </c>
      <c r="M702" s="1" t="s">
        <v>85</v>
      </c>
      <c r="N702" s="1" t="s">
        <v>79</v>
      </c>
      <c r="O702" s="1"/>
      <c r="P702" s="1">
        <v>199</v>
      </c>
      <c r="Q702" s="1">
        <v>246.7</v>
      </c>
      <c r="R702" s="8" t="str">
        <f>_xlfn.IFS(J702&gt;=8,"Hit",J702&gt;=6,"Average",J702&lt;6,"Flop")</f>
        <v>Hit</v>
      </c>
      <c r="S702" s="9" t="str">
        <f>_xlfn.IFS(K702&gt;=400,"Blockbuster",K702&gt;=200,"Popular",K702&lt;200,"Normal")</f>
        <v>Blockbuster</v>
      </c>
      <c r="T702" s="10" t="str">
        <f>IF(OR(I702="PG",I702="G"),"Yes","No")</f>
        <v>No</v>
      </c>
      <c r="U702" s="11" t="str">
        <f>IF(P702&gt;=100,"High","Low")</f>
        <v>High</v>
      </c>
      <c r="V702" s="28">
        <f t="shared" si="20"/>
        <v>47.699999999999989</v>
      </c>
      <c r="W702" s="29">
        <f t="shared" si="21"/>
        <v>123.96984924623115</v>
      </c>
    </row>
    <row r="703" spans="1:23" x14ac:dyDescent="0.3">
      <c r="A703" s="1" t="s">
        <v>2082</v>
      </c>
      <c r="B703" s="1" t="s">
        <v>2083</v>
      </c>
      <c r="C703" s="1" t="s">
        <v>18</v>
      </c>
      <c r="D703" s="1" t="s">
        <v>19</v>
      </c>
      <c r="E703" s="1">
        <v>2005</v>
      </c>
      <c r="F703" s="1" t="s">
        <v>76</v>
      </c>
      <c r="G703" s="1" t="s">
        <v>2084</v>
      </c>
      <c r="H703" s="1">
        <v>84</v>
      </c>
      <c r="I703" s="1" t="s">
        <v>110</v>
      </c>
      <c r="J703" s="1">
        <v>5.7</v>
      </c>
      <c r="K703" s="1">
        <v>54.4</v>
      </c>
      <c r="L703" s="1" t="s">
        <v>171</v>
      </c>
      <c r="M703" s="1" t="s">
        <v>132</v>
      </c>
      <c r="N703" s="1" t="s">
        <v>60</v>
      </c>
      <c r="O703" s="1"/>
      <c r="P703" s="1">
        <v>99</v>
      </c>
      <c r="Q703" s="1">
        <v>598.79999999999995</v>
      </c>
      <c r="R703" s="8" t="str">
        <f>_xlfn.IFS(J703&gt;=8,"Hit",J703&gt;=6,"Average",J703&lt;6,"Flop")</f>
        <v>Flop</v>
      </c>
      <c r="S703" s="9" t="str">
        <f>_xlfn.IFS(K703&gt;=400,"Blockbuster",K703&gt;=200,"Popular",K703&lt;200,"Normal")</f>
        <v>Normal</v>
      </c>
      <c r="T703" s="10" t="str">
        <f>IF(OR(I703="PG",I703="G"),"Yes","No")</f>
        <v>No</v>
      </c>
      <c r="U703" s="11" t="str">
        <f>IF(P703&gt;=100,"High","Low")</f>
        <v>Low</v>
      </c>
      <c r="V703" s="28">
        <f t="shared" si="20"/>
        <v>499.79999999999995</v>
      </c>
      <c r="W703" s="29">
        <f t="shared" si="21"/>
        <v>604.84848484848476</v>
      </c>
    </row>
    <row r="704" spans="1:23" x14ac:dyDescent="0.3">
      <c r="A704" s="1" t="s">
        <v>2085</v>
      </c>
      <c r="B704" s="1" t="s">
        <v>2086</v>
      </c>
      <c r="C704" s="1" t="s">
        <v>18</v>
      </c>
      <c r="D704" s="1" t="s">
        <v>58</v>
      </c>
      <c r="E704" s="1">
        <v>2004</v>
      </c>
      <c r="F704" s="1" t="s">
        <v>38</v>
      </c>
      <c r="G704" s="1" t="s">
        <v>2087</v>
      </c>
      <c r="H704" s="1">
        <v>172</v>
      </c>
      <c r="I704" s="1" t="s">
        <v>40</v>
      </c>
      <c r="J704" s="1">
        <v>8</v>
      </c>
      <c r="K704" s="1">
        <v>513</v>
      </c>
      <c r="L704" s="1" t="s">
        <v>71</v>
      </c>
      <c r="M704" s="1" t="s">
        <v>42</v>
      </c>
      <c r="N704" s="1" t="s">
        <v>67</v>
      </c>
      <c r="O704" s="1"/>
      <c r="P704" s="1">
        <v>163</v>
      </c>
      <c r="Q704" s="1">
        <v>891.2</v>
      </c>
      <c r="R704" s="8" t="str">
        <f>_xlfn.IFS(J704&gt;=8,"Hit",J704&gt;=6,"Average",J704&lt;6,"Flop")</f>
        <v>Hit</v>
      </c>
      <c r="S704" s="9" t="str">
        <f>_xlfn.IFS(K704&gt;=400,"Blockbuster",K704&gt;=200,"Popular",K704&lt;200,"Normal")</f>
        <v>Blockbuster</v>
      </c>
      <c r="T704" s="10" t="str">
        <f>IF(OR(I704="PG",I704="G"),"Yes","No")</f>
        <v>Yes</v>
      </c>
      <c r="U704" s="11" t="str">
        <f>IF(P704&gt;=100,"High","Low")</f>
        <v>High</v>
      </c>
      <c r="V704" s="28">
        <f t="shared" si="20"/>
        <v>728.2</v>
      </c>
      <c r="W704" s="29">
        <f t="shared" si="21"/>
        <v>546.74846625766872</v>
      </c>
    </row>
    <row r="705" spans="1:23" x14ac:dyDescent="0.3">
      <c r="A705" s="1" t="s">
        <v>2088</v>
      </c>
      <c r="B705" s="1" t="s">
        <v>2089</v>
      </c>
      <c r="C705" s="1" t="s">
        <v>46</v>
      </c>
      <c r="D705" s="1" t="s">
        <v>117</v>
      </c>
      <c r="E705" s="1">
        <v>2020</v>
      </c>
      <c r="F705" s="1" t="s">
        <v>20</v>
      </c>
      <c r="G705" s="1" t="s">
        <v>2090</v>
      </c>
      <c r="H705" s="1">
        <v>50</v>
      </c>
      <c r="I705" s="1" t="s">
        <v>50</v>
      </c>
      <c r="J705" s="1">
        <v>8.6</v>
      </c>
      <c r="K705" s="1">
        <v>470.6</v>
      </c>
      <c r="L705" s="1" t="s">
        <v>171</v>
      </c>
      <c r="M705" s="1" t="s">
        <v>146</v>
      </c>
      <c r="N705" s="1" t="s">
        <v>43</v>
      </c>
      <c r="O705" s="1">
        <v>1</v>
      </c>
      <c r="P705" s="1">
        <v>9</v>
      </c>
      <c r="Q705" s="1">
        <v>33.5</v>
      </c>
      <c r="R705" s="8" t="str">
        <f>_xlfn.IFS(J705&gt;=8,"Hit",J705&gt;=6,"Average",J705&lt;6,"Flop")</f>
        <v>Hit</v>
      </c>
      <c r="S705" s="9" t="str">
        <f>_xlfn.IFS(K705&gt;=400,"Blockbuster",K705&gt;=200,"Popular",K705&lt;200,"Normal")</f>
        <v>Blockbuster</v>
      </c>
      <c r="T705" s="10" t="str">
        <f>IF(OR(I705="PG",I705="G"),"Yes","No")</f>
        <v>Yes</v>
      </c>
      <c r="U705" s="11" t="str">
        <f>IF(P705&gt;=100,"High","Low")</f>
        <v>Low</v>
      </c>
      <c r="V705" s="28">
        <f t="shared" si="20"/>
        <v>24.5</v>
      </c>
      <c r="W705" s="29">
        <f t="shared" si="21"/>
        <v>372.22222222222223</v>
      </c>
    </row>
    <row r="706" spans="1:23" x14ac:dyDescent="0.3">
      <c r="A706" s="1" t="s">
        <v>2091</v>
      </c>
      <c r="B706" s="1" t="s">
        <v>2092</v>
      </c>
      <c r="C706" s="1" t="s">
        <v>46</v>
      </c>
      <c r="D706" s="1" t="s">
        <v>19</v>
      </c>
      <c r="E706" s="1">
        <v>2013</v>
      </c>
      <c r="F706" s="1" t="s">
        <v>48</v>
      </c>
      <c r="G706" s="1" t="s">
        <v>653</v>
      </c>
      <c r="H706" s="1">
        <v>49</v>
      </c>
      <c r="I706" s="1" t="s">
        <v>22</v>
      </c>
      <c r="J706" s="1">
        <v>7.8</v>
      </c>
      <c r="K706" s="1">
        <v>586</v>
      </c>
      <c r="L706" s="1" t="s">
        <v>90</v>
      </c>
      <c r="M706" s="1" t="s">
        <v>66</v>
      </c>
      <c r="N706" s="1" t="s">
        <v>34</v>
      </c>
      <c r="O706" s="1">
        <v>1</v>
      </c>
      <c r="P706" s="1">
        <v>42</v>
      </c>
      <c r="Q706" s="1">
        <v>182.3</v>
      </c>
      <c r="R706" s="8" t="str">
        <f>_xlfn.IFS(J706&gt;=8,"Hit",J706&gt;=6,"Average",J706&lt;6,"Flop")</f>
        <v>Average</v>
      </c>
      <c r="S706" s="9" t="str">
        <f>_xlfn.IFS(K706&gt;=400,"Blockbuster",K706&gt;=200,"Popular",K706&lt;200,"Normal")</f>
        <v>Blockbuster</v>
      </c>
      <c r="T706" s="10" t="str">
        <f>IF(OR(I706="PG",I706="G"),"Yes","No")</f>
        <v>No</v>
      </c>
      <c r="U706" s="11" t="str">
        <f>IF(P706&gt;=100,"High","Low")</f>
        <v>Low</v>
      </c>
      <c r="V706" s="28">
        <f t="shared" si="20"/>
        <v>140.30000000000001</v>
      </c>
      <c r="W706" s="29">
        <f t="shared" si="21"/>
        <v>434.04761904761909</v>
      </c>
    </row>
    <row r="707" spans="1:23" x14ac:dyDescent="0.3">
      <c r="A707" s="1" t="s">
        <v>2093</v>
      </c>
      <c r="B707" s="1" t="s">
        <v>2094</v>
      </c>
      <c r="C707" s="1" t="s">
        <v>18</v>
      </c>
      <c r="D707" s="1" t="s">
        <v>47</v>
      </c>
      <c r="E707" s="1">
        <v>2019</v>
      </c>
      <c r="F707" s="1" t="s">
        <v>100</v>
      </c>
      <c r="G707" s="1" t="s">
        <v>2095</v>
      </c>
      <c r="H707" s="1">
        <v>148</v>
      </c>
      <c r="I707" s="1" t="s">
        <v>22</v>
      </c>
      <c r="J707" s="1">
        <v>7.9</v>
      </c>
      <c r="K707" s="1">
        <v>597.4</v>
      </c>
      <c r="L707" s="1" t="s">
        <v>65</v>
      </c>
      <c r="M707" s="1" t="s">
        <v>78</v>
      </c>
      <c r="N707" s="1" t="s">
        <v>86</v>
      </c>
      <c r="O707" s="1"/>
      <c r="P707" s="1">
        <v>191</v>
      </c>
      <c r="Q707" s="1">
        <v>986.7</v>
      </c>
      <c r="R707" s="8" t="str">
        <f>_xlfn.IFS(J707&gt;=8,"Hit",J707&gt;=6,"Average",J707&lt;6,"Flop")</f>
        <v>Average</v>
      </c>
      <c r="S707" s="9" t="str">
        <f>_xlfn.IFS(K707&gt;=400,"Blockbuster",K707&gt;=200,"Popular",K707&lt;200,"Normal")</f>
        <v>Blockbuster</v>
      </c>
      <c r="T707" s="10" t="str">
        <f>IF(OR(I707="PG",I707="G"),"Yes","No")</f>
        <v>No</v>
      </c>
      <c r="U707" s="11" t="str">
        <f>IF(P707&gt;=100,"High","Low")</f>
        <v>High</v>
      </c>
      <c r="V707" s="28">
        <f t="shared" ref="V707:V770" si="22">Q707-P707</f>
        <v>795.7</v>
      </c>
      <c r="W707" s="29">
        <f t="shared" ref="W707:W770" si="23">(Q707/P707)*100</f>
        <v>516.59685863874347</v>
      </c>
    </row>
    <row r="708" spans="1:23" x14ac:dyDescent="0.3">
      <c r="A708" s="1" t="s">
        <v>2096</v>
      </c>
      <c r="B708" s="1" t="s">
        <v>2097</v>
      </c>
      <c r="C708" s="1" t="s">
        <v>18</v>
      </c>
      <c r="D708" s="1" t="s">
        <v>75</v>
      </c>
      <c r="E708" s="1">
        <v>2014</v>
      </c>
      <c r="F708" s="1" t="s">
        <v>76</v>
      </c>
      <c r="G708" s="1" t="s">
        <v>2098</v>
      </c>
      <c r="H708" s="1">
        <v>174</v>
      </c>
      <c r="I708" s="1" t="s">
        <v>110</v>
      </c>
      <c r="J708" s="1">
        <v>6</v>
      </c>
      <c r="K708" s="1">
        <v>486.9</v>
      </c>
      <c r="L708" s="1" t="s">
        <v>171</v>
      </c>
      <c r="M708" s="1" t="s">
        <v>72</v>
      </c>
      <c r="N708" s="1" t="s">
        <v>158</v>
      </c>
      <c r="O708" s="1"/>
      <c r="P708" s="1">
        <v>199</v>
      </c>
      <c r="Q708" s="1">
        <v>481.9</v>
      </c>
      <c r="R708" s="8" t="str">
        <f>_xlfn.IFS(J708&gt;=8,"Hit",J708&gt;=6,"Average",J708&lt;6,"Flop")</f>
        <v>Average</v>
      </c>
      <c r="S708" s="9" t="str">
        <f>_xlfn.IFS(K708&gt;=400,"Blockbuster",K708&gt;=200,"Popular",K708&lt;200,"Normal")</f>
        <v>Blockbuster</v>
      </c>
      <c r="T708" s="10" t="str">
        <f>IF(OR(I708="PG",I708="G"),"Yes","No")</f>
        <v>No</v>
      </c>
      <c r="U708" s="11" t="str">
        <f>IF(P708&gt;=100,"High","Low")</f>
        <v>High</v>
      </c>
      <c r="V708" s="28">
        <f t="shared" si="22"/>
        <v>282.89999999999998</v>
      </c>
      <c r="W708" s="29">
        <f t="shared" si="23"/>
        <v>242.16080402010047</v>
      </c>
    </row>
    <row r="709" spans="1:23" x14ac:dyDescent="0.3">
      <c r="A709" s="1" t="s">
        <v>2099</v>
      </c>
      <c r="B709" s="1" t="s">
        <v>2100</v>
      </c>
      <c r="C709" s="1" t="s">
        <v>46</v>
      </c>
      <c r="D709" s="1" t="s">
        <v>37</v>
      </c>
      <c r="E709" s="1">
        <v>2021</v>
      </c>
      <c r="F709" s="1" t="s">
        <v>38</v>
      </c>
      <c r="G709" s="1" t="s">
        <v>2101</v>
      </c>
      <c r="H709" s="1">
        <v>42</v>
      </c>
      <c r="I709" s="1" t="s">
        <v>50</v>
      </c>
      <c r="J709" s="1">
        <v>9.1999999999999993</v>
      </c>
      <c r="K709" s="1">
        <v>93.4</v>
      </c>
      <c r="L709" s="1" t="s">
        <v>23</v>
      </c>
      <c r="M709" s="1" t="s">
        <v>33</v>
      </c>
      <c r="N709" s="1" t="s">
        <v>55</v>
      </c>
      <c r="O709" s="1">
        <v>6</v>
      </c>
      <c r="P709" s="1">
        <v>35</v>
      </c>
      <c r="Q709" s="1">
        <v>176.5</v>
      </c>
      <c r="R709" s="8" t="str">
        <f>_xlfn.IFS(J709&gt;=8,"Hit",J709&gt;=6,"Average",J709&lt;6,"Flop")</f>
        <v>Hit</v>
      </c>
      <c r="S709" s="9" t="str">
        <f>_xlfn.IFS(K709&gt;=400,"Blockbuster",K709&gt;=200,"Popular",K709&lt;200,"Normal")</f>
        <v>Normal</v>
      </c>
      <c r="T709" s="10" t="str">
        <f>IF(OR(I709="PG",I709="G"),"Yes","No")</f>
        <v>Yes</v>
      </c>
      <c r="U709" s="11" t="str">
        <f>IF(P709&gt;=100,"High","Low")</f>
        <v>Low</v>
      </c>
      <c r="V709" s="28">
        <f t="shared" si="22"/>
        <v>141.5</v>
      </c>
      <c r="W709" s="29">
        <f t="shared" si="23"/>
        <v>504.28571428571428</v>
      </c>
    </row>
    <row r="710" spans="1:23" x14ac:dyDescent="0.3">
      <c r="A710" s="1" t="s">
        <v>2102</v>
      </c>
      <c r="B710" s="1" t="s">
        <v>2103</v>
      </c>
      <c r="C710" s="1" t="s">
        <v>18</v>
      </c>
      <c r="D710" s="1" t="s">
        <v>63</v>
      </c>
      <c r="E710" s="1">
        <v>2009</v>
      </c>
      <c r="F710" s="1" t="s">
        <v>48</v>
      </c>
      <c r="G710" s="1" t="s">
        <v>745</v>
      </c>
      <c r="H710" s="1">
        <v>100</v>
      </c>
      <c r="I710" s="1" t="s">
        <v>110</v>
      </c>
      <c r="J710" s="1">
        <v>7</v>
      </c>
      <c r="K710" s="1">
        <v>81.099999999999994</v>
      </c>
      <c r="L710" s="1" t="s">
        <v>171</v>
      </c>
      <c r="M710" s="1" t="s">
        <v>85</v>
      </c>
      <c r="N710" s="1" t="s">
        <v>43</v>
      </c>
      <c r="O710" s="1"/>
      <c r="P710" s="1">
        <v>70</v>
      </c>
      <c r="Q710" s="1">
        <v>332.5</v>
      </c>
      <c r="R710" s="8" t="str">
        <f>_xlfn.IFS(J710&gt;=8,"Hit",J710&gt;=6,"Average",J710&lt;6,"Flop")</f>
        <v>Average</v>
      </c>
      <c r="S710" s="9" t="str">
        <f>_xlfn.IFS(K710&gt;=400,"Blockbuster",K710&gt;=200,"Popular",K710&lt;200,"Normal")</f>
        <v>Normal</v>
      </c>
      <c r="T710" s="10" t="str">
        <f>IF(OR(I710="PG",I710="G"),"Yes","No")</f>
        <v>No</v>
      </c>
      <c r="U710" s="11" t="str">
        <f>IF(P710&gt;=100,"High","Low")</f>
        <v>Low</v>
      </c>
      <c r="V710" s="28">
        <f t="shared" si="22"/>
        <v>262.5</v>
      </c>
      <c r="W710" s="29">
        <f t="shared" si="23"/>
        <v>475</v>
      </c>
    </row>
    <row r="711" spans="1:23" x14ac:dyDescent="0.3">
      <c r="A711" s="1" t="s">
        <v>2104</v>
      </c>
      <c r="B711" s="1" t="s">
        <v>2105</v>
      </c>
      <c r="C711" s="1" t="s">
        <v>46</v>
      </c>
      <c r="D711" s="1" t="s">
        <v>19</v>
      </c>
      <c r="E711" s="1">
        <v>2013</v>
      </c>
      <c r="F711" s="1" t="s">
        <v>83</v>
      </c>
      <c r="G711" s="1" t="s">
        <v>2106</v>
      </c>
      <c r="H711" s="1">
        <v>51</v>
      </c>
      <c r="I711" s="1" t="s">
        <v>50</v>
      </c>
      <c r="J711" s="1">
        <v>7.5</v>
      </c>
      <c r="K711" s="1">
        <v>351.8</v>
      </c>
      <c r="L711" s="1" t="s">
        <v>71</v>
      </c>
      <c r="M711" s="1" t="s">
        <v>97</v>
      </c>
      <c r="N711" s="1" t="s">
        <v>128</v>
      </c>
      <c r="O711" s="1">
        <v>1</v>
      </c>
      <c r="P711" s="1">
        <v>104</v>
      </c>
      <c r="Q711" s="1">
        <v>208.5</v>
      </c>
      <c r="R711" s="8" t="str">
        <f>_xlfn.IFS(J711&gt;=8,"Hit",J711&gt;=6,"Average",J711&lt;6,"Flop")</f>
        <v>Average</v>
      </c>
      <c r="S711" s="9" t="str">
        <f>_xlfn.IFS(K711&gt;=400,"Blockbuster",K711&gt;=200,"Popular",K711&lt;200,"Normal")</f>
        <v>Popular</v>
      </c>
      <c r="T711" s="10" t="str">
        <f>IF(OR(I711="PG",I711="G"),"Yes","No")</f>
        <v>Yes</v>
      </c>
      <c r="U711" s="11" t="str">
        <f>IF(P711&gt;=100,"High","Low")</f>
        <v>High</v>
      </c>
      <c r="V711" s="28">
        <f t="shared" si="22"/>
        <v>104.5</v>
      </c>
      <c r="W711" s="29">
        <f t="shared" si="23"/>
        <v>200.48076923076925</v>
      </c>
    </row>
    <row r="712" spans="1:23" x14ac:dyDescent="0.3">
      <c r="A712" s="1" t="s">
        <v>2107</v>
      </c>
      <c r="B712" s="1" t="s">
        <v>2108</v>
      </c>
      <c r="C712" s="1" t="s">
        <v>18</v>
      </c>
      <c r="D712" s="1" t="s">
        <v>28</v>
      </c>
      <c r="E712" s="1">
        <v>2014</v>
      </c>
      <c r="F712" s="1" t="s">
        <v>181</v>
      </c>
      <c r="G712" s="1" t="s">
        <v>2109</v>
      </c>
      <c r="H712" s="1">
        <v>147</v>
      </c>
      <c r="I712" s="1" t="s">
        <v>31</v>
      </c>
      <c r="J712" s="1">
        <v>8.5</v>
      </c>
      <c r="K712" s="1">
        <v>461.7</v>
      </c>
      <c r="L712" s="1" t="s">
        <v>23</v>
      </c>
      <c r="M712" s="1" t="s">
        <v>85</v>
      </c>
      <c r="N712" s="1" t="s">
        <v>34</v>
      </c>
      <c r="O712" s="1"/>
      <c r="P712" s="1">
        <v>36</v>
      </c>
      <c r="Q712" s="1">
        <v>88.2</v>
      </c>
      <c r="R712" s="8" t="str">
        <f>_xlfn.IFS(J712&gt;=8,"Hit",J712&gt;=6,"Average",J712&lt;6,"Flop")</f>
        <v>Hit</v>
      </c>
      <c r="S712" s="9" t="str">
        <f>_xlfn.IFS(K712&gt;=400,"Blockbuster",K712&gt;=200,"Popular",K712&lt;200,"Normal")</f>
        <v>Blockbuster</v>
      </c>
      <c r="T712" s="10" t="str">
        <f>IF(OR(I712="PG",I712="G"),"Yes","No")</f>
        <v>No</v>
      </c>
      <c r="U712" s="11" t="str">
        <f>IF(P712&gt;=100,"High","Low")</f>
        <v>Low</v>
      </c>
      <c r="V712" s="28">
        <f t="shared" si="22"/>
        <v>52.2</v>
      </c>
      <c r="W712" s="29">
        <f t="shared" si="23"/>
        <v>245.00000000000003</v>
      </c>
    </row>
    <row r="713" spans="1:23" x14ac:dyDescent="0.3">
      <c r="A713" s="1" t="s">
        <v>2110</v>
      </c>
      <c r="B713" s="1" t="s">
        <v>2111</v>
      </c>
      <c r="C713" s="1" t="s">
        <v>18</v>
      </c>
      <c r="D713" s="1" t="s">
        <v>37</v>
      </c>
      <c r="E713" s="1">
        <v>2014</v>
      </c>
      <c r="F713" s="1" t="s">
        <v>76</v>
      </c>
      <c r="G713" s="1" t="s">
        <v>2112</v>
      </c>
      <c r="H713" s="1">
        <v>161</v>
      </c>
      <c r="I713" s="1" t="s">
        <v>22</v>
      </c>
      <c r="J713" s="1">
        <v>8.1999999999999993</v>
      </c>
      <c r="K713" s="1">
        <v>473.4</v>
      </c>
      <c r="L713" s="1" t="s">
        <v>23</v>
      </c>
      <c r="M713" s="1" t="s">
        <v>97</v>
      </c>
      <c r="N713" s="1" t="s">
        <v>119</v>
      </c>
      <c r="O713" s="1"/>
      <c r="P713" s="1">
        <v>76</v>
      </c>
      <c r="Q713" s="1">
        <v>378.3</v>
      </c>
      <c r="R713" s="8" t="str">
        <f>_xlfn.IFS(J713&gt;=8,"Hit",J713&gt;=6,"Average",J713&lt;6,"Flop")</f>
        <v>Hit</v>
      </c>
      <c r="S713" s="9" t="str">
        <f>_xlfn.IFS(K713&gt;=400,"Blockbuster",K713&gt;=200,"Popular",K713&lt;200,"Normal")</f>
        <v>Blockbuster</v>
      </c>
      <c r="T713" s="10" t="str">
        <f>IF(OR(I713="PG",I713="G"),"Yes","No")</f>
        <v>No</v>
      </c>
      <c r="U713" s="11" t="str">
        <f>IF(P713&gt;=100,"High","Low")</f>
        <v>Low</v>
      </c>
      <c r="V713" s="28">
        <f t="shared" si="22"/>
        <v>302.3</v>
      </c>
      <c r="W713" s="29">
        <f t="shared" si="23"/>
        <v>497.76315789473688</v>
      </c>
    </row>
    <row r="714" spans="1:23" x14ac:dyDescent="0.3">
      <c r="A714" s="1" t="s">
        <v>2113</v>
      </c>
      <c r="B714" s="1" t="s">
        <v>2114</v>
      </c>
      <c r="C714" s="1" t="s">
        <v>46</v>
      </c>
      <c r="D714" s="1" t="s">
        <v>75</v>
      </c>
      <c r="E714" s="1">
        <v>2006</v>
      </c>
      <c r="F714" s="1" t="s">
        <v>181</v>
      </c>
      <c r="G714" s="1" t="s">
        <v>1839</v>
      </c>
      <c r="H714" s="1">
        <v>31</v>
      </c>
      <c r="I714" s="1" t="s">
        <v>31</v>
      </c>
      <c r="J714" s="1">
        <v>6.3</v>
      </c>
      <c r="K714" s="1">
        <v>570.6</v>
      </c>
      <c r="L714" s="1" t="s">
        <v>41</v>
      </c>
      <c r="M714" s="1" t="s">
        <v>132</v>
      </c>
      <c r="N714" s="1" t="s">
        <v>91</v>
      </c>
      <c r="O714" s="1">
        <v>6</v>
      </c>
      <c r="P714" s="1">
        <v>12</v>
      </c>
      <c r="Q714" s="1">
        <v>76.7</v>
      </c>
      <c r="R714" s="8" t="str">
        <f>_xlfn.IFS(J714&gt;=8,"Hit",J714&gt;=6,"Average",J714&lt;6,"Flop")</f>
        <v>Average</v>
      </c>
      <c r="S714" s="9" t="str">
        <f>_xlfn.IFS(K714&gt;=400,"Blockbuster",K714&gt;=200,"Popular",K714&lt;200,"Normal")</f>
        <v>Blockbuster</v>
      </c>
      <c r="T714" s="10" t="str">
        <f>IF(OR(I714="PG",I714="G"),"Yes","No")</f>
        <v>No</v>
      </c>
      <c r="U714" s="11" t="str">
        <f>IF(P714&gt;=100,"High","Low")</f>
        <v>Low</v>
      </c>
      <c r="V714" s="28">
        <f t="shared" si="22"/>
        <v>64.7</v>
      </c>
      <c r="W714" s="29">
        <f t="shared" si="23"/>
        <v>639.16666666666663</v>
      </c>
    </row>
    <row r="715" spans="1:23" x14ac:dyDescent="0.3">
      <c r="A715" s="1" t="s">
        <v>2115</v>
      </c>
      <c r="B715" s="1" t="s">
        <v>2116</v>
      </c>
      <c r="C715" s="1" t="s">
        <v>46</v>
      </c>
      <c r="D715" s="1" t="s">
        <v>63</v>
      </c>
      <c r="E715" s="1">
        <v>2023</v>
      </c>
      <c r="F715" s="1" t="s">
        <v>83</v>
      </c>
      <c r="G715" s="1" t="s">
        <v>21</v>
      </c>
      <c r="H715" s="1">
        <v>42</v>
      </c>
      <c r="I715" s="1" t="s">
        <v>110</v>
      </c>
      <c r="J715" s="1">
        <v>6.6</v>
      </c>
      <c r="K715" s="1">
        <v>191.5</v>
      </c>
      <c r="L715" s="1" t="s">
        <v>32</v>
      </c>
      <c r="M715" s="1" t="s">
        <v>85</v>
      </c>
      <c r="N715" s="1" t="s">
        <v>128</v>
      </c>
      <c r="O715" s="1">
        <v>7</v>
      </c>
      <c r="P715" s="1">
        <v>94</v>
      </c>
      <c r="Q715" s="1">
        <v>381.7</v>
      </c>
      <c r="R715" s="8" t="str">
        <f>_xlfn.IFS(J715&gt;=8,"Hit",J715&gt;=6,"Average",J715&lt;6,"Flop")</f>
        <v>Average</v>
      </c>
      <c r="S715" s="9" t="str">
        <f>_xlfn.IFS(K715&gt;=400,"Blockbuster",K715&gt;=200,"Popular",K715&lt;200,"Normal")</f>
        <v>Normal</v>
      </c>
      <c r="T715" s="10" t="str">
        <f>IF(OR(I715="PG",I715="G"),"Yes","No")</f>
        <v>No</v>
      </c>
      <c r="U715" s="11" t="str">
        <f>IF(P715&gt;=100,"High","Low")</f>
        <v>Low</v>
      </c>
      <c r="V715" s="28">
        <f t="shared" si="22"/>
        <v>287.7</v>
      </c>
      <c r="W715" s="29">
        <f t="shared" si="23"/>
        <v>406.063829787234</v>
      </c>
    </row>
    <row r="716" spans="1:23" x14ac:dyDescent="0.3">
      <c r="A716" s="1" t="s">
        <v>2117</v>
      </c>
      <c r="B716" s="1" t="s">
        <v>2118</v>
      </c>
      <c r="C716" s="1" t="s">
        <v>18</v>
      </c>
      <c r="D716" s="1" t="s">
        <v>75</v>
      </c>
      <c r="E716" s="1">
        <v>2001</v>
      </c>
      <c r="F716" s="1" t="s">
        <v>38</v>
      </c>
      <c r="G716" s="1" t="s">
        <v>2119</v>
      </c>
      <c r="H716" s="1">
        <v>93</v>
      </c>
      <c r="I716" s="1" t="s">
        <v>110</v>
      </c>
      <c r="J716" s="1">
        <v>7.6</v>
      </c>
      <c r="K716" s="1">
        <v>572.6</v>
      </c>
      <c r="L716" s="1" t="s">
        <v>32</v>
      </c>
      <c r="M716" s="1" t="s">
        <v>124</v>
      </c>
      <c r="N716" s="1" t="s">
        <v>67</v>
      </c>
      <c r="O716" s="1"/>
      <c r="P716" s="1">
        <v>89</v>
      </c>
      <c r="Q716" s="1">
        <v>485</v>
      </c>
      <c r="R716" s="8" t="str">
        <f>_xlfn.IFS(J716&gt;=8,"Hit",J716&gt;=6,"Average",J716&lt;6,"Flop")</f>
        <v>Average</v>
      </c>
      <c r="S716" s="9" t="str">
        <f>_xlfn.IFS(K716&gt;=400,"Blockbuster",K716&gt;=200,"Popular",K716&lt;200,"Normal")</f>
        <v>Blockbuster</v>
      </c>
      <c r="T716" s="10" t="str">
        <f>IF(OR(I716="PG",I716="G"),"Yes","No")</f>
        <v>No</v>
      </c>
      <c r="U716" s="11" t="str">
        <f>IF(P716&gt;=100,"High","Low")</f>
        <v>Low</v>
      </c>
      <c r="V716" s="28">
        <f t="shared" si="22"/>
        <v>396</v>
      </c>
      <c r="W716" s="29">
        <f t="shared" si="23"/>
        <v>544.94382022471916</v>
      </c>
    </row>
    <row r="717" spans="1:23" x14ac:dyDescent="0.3">
      <c r="A717" s="1" t="s">
        <v>2120</v>
      </c>
      <c r="B717" s="1" t="s">
        <v>2121</v>
      </c>
      <c r="C717" s="1" t="s">
        <v>18</v>
      </c>
      <c r="D717" s="1" t="s">
        <v>117</v>
      </c>
      <c r="E717" s="1">
        <v>2024</v>
      </c>
      <c r="F717" s="1" t="s">
        <v>48</v>
      </c>
      <c r="G717" s="1" t="s">
        <v>2122</v>
      </c>
      <c r="H717" s="1">
        <v>112</v>
      </c>
      <c r="I717" s="1" t="s">
        <v>50</v>
      </c>
      <c r="J717" s="1">
        <v>9.6</v>
      </c>
      <c r="K717" s="1">
        <v>219.1</v>
      </c>
      <c r="L717" s="1" t="s">
        <v>41</v>
      </c>
      <c r="M717" s="1" t="s">
        <v>42</v>
      </c>
      <c r="N717" s="1" t="s">
        <v>55</v>
      </c>
      <c r="O717" s="1"/>
      <c r="P717" s="1">
        <v>65</v>
      </c>
      <c r="Q717" s="1">
        <v>123.4</v>
      </c>
      <c r="R717" s="8" t="str">
        <f>_xlfn.IFS(J717&gt;=8,"Hit",J717&gt;=6,"Average",J717&lt;6,"Flop")</f>
        <v>Hit</v>
      </c>
      <c r="S717" s="9" t="str">
        <f>_xlfn.IFS(K717&gt;=400,"Blockbuster",K717&gt;=200,"Popular",K717&lt;200,"Normal")</f>
        <v>Popular</v>
      </c>
      <c r="T717" s="10" t="str">
        <f>IF(OR(I717="PG",I717="G"),"Yes","No")</f>
        <v>Yes</v>
      </c>
      <c r="U717" s="11" t="str">
        <f>IF(P717&gt;=100,"High","Low")</f>
        <v>Low</v>
      </c>
      <c r="V717" s="28">
        <f t="shared" si="22"/>
        <v>58.400000000000006</v>
      </c>
      <c r="W717" s="29">
        <f t="shared" si="23"/>
        <v>189.84615384615387</v>
      </c>
    </row>
    <row r="718" spans="1:23" x14ac:dyDescent="0.3">
      <c r="A718" s="1" t="s">
        <v>2123</v>
      </c>
      <c r="B718" s="1" t="s">
        <v>2124</v>
      </c>
      <c r="C718" s="1" t="s">
        <v>18</v>
      </c>
      <c r="D718" s="1" t="s">
        <v>19</v>
      </c>
      <c r="E718" s="1">
        <v>2015</v>
      </c>
      <c r="F718" s="1" t="s">
        <v>48</v>
      </c>
      <c r="G718" s="1" t="s">
        <v>2125</v>
      </c>
      <c r="H718" s="1">
        <v>87</v>
      </c>
      <c r="I718" s="1" t="s">
        <v>40</v>
      </c>
      <c r="J718" s="1">
        <v>8</v>
      </c>
      <c r="K718" s="1">
        <v>112.8</v>
      </c>
      <c r="L718" s="1" t="s">
        <v>23</v>
      </c>
      <c r="M718" s="1" t="s">
        <v>33</v>
      </c>
      <c r="N718" s="1" t="s">
        <v>178</v>
      </c>
      <c r="O718" s="1"/>
      <c r="P718" s="1">
        <v>149</v>
      </c>
      <c r="Q718" s="1">
        <v>201.6</v>
      </c>
      <c r="R718" s="8" t="str">
        <f>_xlfn.IFS(J718&gt;=8,"Hit",J718&gt;=6,"Average",J718&lt;6,"Flop")</f>
        <v>Hit</v>
      </c>
      <c r="S718" s="9" t="str">
        <f>_xlfn.IFS(K718&gt;=400,"Blockbuster",K718&gt;=200,"Popular",K718&lt;200,"Normal")</f>
        <v>Normal</v>
      </c>
      <c r="T718" s="10" t="str">
        <f>IF(OR(I718="PG",I718="G"),"Yes","No")</f>
        <v>Yes</v>
      </c>
      <c r="U718" s="11" t="str">
        <f>IF(P718&gt;=100,"High","Low")</f>
        <v>High</v>
      </c>
      <c r="V718" s="28">
        <f t="shared" si="22"/>
        <v>52.599999999999994</v>
      </c>
      <c r="W718" s="29">
        <f t="shared" si="23"/>
        <v>135.30201342281879</v>
      </c>
    </row>
    <row r="719" spans="1:23" x14ac:dyDescent="0.3">
      <c r="A719" s="1" t="s">
        <v>2126</v>
      </c>
      <c r="B719" s="1" t="s">
        <v>2127</v>
      </c>
      <c r="C719" s="1" t="s">
        <v>46</v>
      </c>
      <c r="D719" s="1" t="s">
        <v>37</v>
      </c>
      <c r="E719" s="1">
        <v>2007</v>
      </c>
      <c r="F719" s="1" t="s">
        <v>122</v>
      </c>
      <c r="G719" s="1" t="s">
        <v>2128</v>
      </c>
      <c r="H719" s="1">
        <v>42</v>
      </c>
      <c r="I719" s="1" t="s">
        <v>40</v>
      </c>
      <c r="J719" s="1">
        <v>5.9</v>
      </c>
      <c r="K719" s="1">
        <v>274.89999999999998</v>
      </c>
      <c r="L719" s="1" t="s">
        <v>41</v>
      </c>
      <c r="M719" s="1" t="s">
        <v>24</v>
      </c>
      <c r="N719" s="1" t="s">
        <v>34</v>
      </c>
      <c r="O719" s="1">
        <v>2</v>
      </c>
      <c r="P719" s="1">
        <v>177</v>
      </c>
      <c r="Q719" s="1">
        <v>523.6</v>
      </c>
      <c r="R719" s="8" t="str">
        <f>_xlfn.IFS(J719&gt;=8,"Hit",J719&gt;=6,"Average",J719&lt;6,"Flop")</f>
        <v>Flop</v>
      </c>
      <c r="S719" s="9" t="str">
        <f>_xlfn.IFS(K719&gt;=400,"Blockbuster",K719&gt;=200,"Popular",K719&lt;200,"Normal")</f>
        <v>Popular</v>
      </c>
      <c r="T719" s="10" t="str">
        <f>IF(OR(I719="PG",I719="G"),"Yes","No")</f>
        <v>Yes</v>
      </c>
      <c r="U719" s="11" t="str">
        <f>IF(P719&gt;=100,"High","Low")</f>
        <v>High</v>
      </c>
      <c r="V719" s="28">
        <f t="shared" si="22"/>
        <v>346.6</v>
      </c>
      <c r="W719" s="29">
        <f t="shared" si="23"/>
        <v>295.81920903954801</v>
      </c>
    </row>
    <row r="720" spans="1:23" x14ac:dyDescent="0.3">
      <c r="A720" s="1" t="s">
        <v>2129</v>
      </c>
      <c r="B720" s="1" t="s">
        <v>2130</v>
      </c>
      <c r="C720" s="1" t="s">
        <v>18</v>
      </c>
      <c r="D720" s="1" t="s">
        <v>58</v>
      </c>
      <c r="E720" s="1">
        <v>2004</v>
      </c>
      <c r="F720" s="1" t="s">
        <v>83</v>
      </c>
      <c r="G720" s="1" t="s">
        <v>2131</v>
      </c>
      <c r="H720" s="1">
        <v>133</v>
      </c>
      <c r="I720" s="1" t="s">
        <v>31</v>
      </c>
      <c r="J720" s="1">
        <v>8.1999999999999993</v>
      </c>
      <c r="K720" s="1">
        <v>92.2</v>
      </c>
      <c r="L720" s="1" t="s">
        <v>41</v>
      </c>
      <c r="M720" s="1" t="s">
        <v>124</v>
      </c>
      <c r="N720" s="1" t="s">
        <v>128</v>
      </c>
      <c r="O720" s="1"/>
      <c r="P720" s="1">
        <v>23</v>
      </c>
      <c r="Q720" s="1">
        <v>91.9</v>
      </c>
      <c r="R720" s="8" t="str">
        <f>_xlfn.IFS(J720&gt;=8,"Hit",J720&gt;=6,"Average",J720&lt;6,"Flop")</f>
        <v>Hit</v>
      </c>
      <c r="S720" s="9" t="str">
        <f>_xlfn.IFS(K720&gt;=400,"Blockbuster",K720&gt;=200,"Popular",K720&lt;200,"Normal")</f>
        <v>Normal</v>
      </c>
      <c r="T720" s="10" t="str">
        <f>IF(OR(I720="PG",I720="G"),"Yes","No")</f>
        <v>No</v>
      </c>
      <c r="U720" s="11" t="str">
        <f>IF(P720&gt;=100,"High","Low")</f>
        <v>Low</v>
      </c>
      <c r="V720" s="28">
        <f t="shared" si="22"/>
        <v>68.900000000000006</v>
      </c>
      <c r="W720" s="29">
        <f t="shared" si="23"/>
        <v>399.56521739130437</v>
      </c>
    </row>
    <row r="721" spans="1:23" x14ac:dyDescent="0.3">
      <c r="A721" s="1" t="s">
        <v>2132</v>
      </c>
      <c r="B721" s="1" t="s">
        <v>2133</v>
      </c>
      <c r="C721" s="1" t="s">
        <v>18</v>
      </c>
      <c r="D721" s="1" t="s">
        <v>47</v>
      </c>
      <c r="E721" s="1">
        <v>2011</v>
      </c>
      <c r="F721" s="1" t="s">
        <v>20</v>
      </c>
      <c r="G721" s="1" t="s">
        <v>2134</v>
      </c>
      <c r="H721" s="1">
        <v>167</v>
      </c>
      <c r="I721" s="1" t="s">
        <v>31</v>
      </c>
      <c r="J721" s="1">
        <v>5.3</v>
      </c>
      <c r="K721" s="1">
        <v>102</v>
      </c>
      <c r="L721" s="1" t="s">
        <v>41</v>
      </c>
      <c r="M721" s="1" t="s">
        <v>132</v>
      </c>
      <c r="N721" s="1" t="s">
        <v>91</v>
      </c>
      <c r="O721" s="1"/>
      <c r="P721" s="1">
        <v>115</v>
      </c>
      <c r="Q721" s="1">
        <v>437.4</v>
      </c>
      <c r="R721" s="8" t="str">
        <f>_xlfn.IFS(J721&gt;=8,"Hit",J721&gt;=6,"Average",J721&lt;6,"Flop")</f>
        <v>Flop</v>
      </c>
      <c r="S721" s="9" t="str">
        <f>_xlfn.IFS(K721&gt;=400,"Blockbuster",K721&gt;=200,"Popular",K721&lt;200,"Normal")</f>
        <v>Normal</v>
      </c>
      <c r="T721" s="10" t="str">
        <f>IF(OR(I721="PG",I721="G"),"Yes","No")</f>
        <v>No</v>
      </c>
      <c r="U721" s="11" t="str">
        <f>IF(P721&gt;=100,"High","Low")</f>
        <v>High</v>
      </c>
      <c r="V721" s="28">
        <f t="shared" si="22"/>
        <v>322.39999999999998</v>
      </c>
      <c r="W721" s="29">
        <f t="shared" si="23"/>
        <v>380.3478260869565</v>
      </c>
    </row>
    <row r="722" spans="1:23" x14ac:dyDescent="0.3">
      <c r="A722" s="1" t="s">
        <v>2135</v>
      </c>
      <c r="B722" s="1" t="s">
        <v>2136</v>
      </c>
      <c r="C722" s="1" t="s">
        <v>18</v>
      </c>
      <c r="D722" s="1" t="s">
        <v>47</v>
      </c>
      <c r="E722" s="1">
        <v>2010</v>
      </c>
      <c r="F722" s="1" t="s">
        <v>83</v>
      </c>
      <c r="G722" s="1" t="s">
        <v>1283</v>
      </c>
      <c r="H722" s="1">
        <v>103</v>
      </c>
      <c r="I722" s="1" t="s">
        <v>22</v>
      </c>
      <c r="J722" s="1">
        <v>8.6</v>
      </c>
      <c r="K722" s="1">
        <v>23.9</v>
      </c>
      <c r="L722" s="1" t="s">
        <v>90</v>
      </c>
      <c r="M722" s="1" t="s">
        <v>124</v>
      </c>
      <c r="N722" s="1" t="s">
        <v>43</v>
      </c>
      <c r="O722" s="1"/>
      <c r="P722" s="1">
        <v>31</v>
      </c>
      <c r="Q722" s="1">
        <v>131</v>
      </c>
      <c r="R722" s="8" t="str">
        <f>_xlfn.IFS(J722&gt;=8,"Hit",J722&gt;=6,"Average",J722&lt;6,"Flop")</f>
        <v>Hit</v>
      </c>
      <c r="S722" s="9" t="str">
        <f>_xlfn.IFS(K722&gt;=400,"Blockbuster",K722&gt;=200,"Popular",K722&lt;200,"Normal")</f>
        <v>Normal</v>
      </c>
      <c r="T722" s="10" t="str">
        <f>IF(OR(I722="PG",I722="G"),"Yes","No")</f>
        <v>No</v>
      </c>
      <c r="U722" s="11" t="str">
        <f>IF(P722&gt;=100,"High","Low")</f>
        <v>Low</v>
      </c>
      <c r="V722" s="28">
        <f t="shared" si="22"/>
        <v>100</v>
      </c>
      <c r="W722" s="29">
        <f t="shared" si="23"/>
        <v>422.58064516129031</v>
      </c>
    </row>
    <row r="723" spans="1:23" x14ac:dyDescent="0.3">
      <c r="A723" s="1" t="s">
        <v>2137</v>
      </c>
      <c r="B723" s="1" t="s">
        <v>2138</v>
      </c>
      <c r="C723" s="1" t="s">
        <v>46</v>
      </c>
      <c r="D723" s="1" t="s">
        <v>141</v>
      </c>
      <c r="E723" s="1">
        <v>2006</v>
      </c>
      <c r="F723" s="1" t="s">
        <v>100</v>
      </c>
      <c r="G723" s="1" t="s">
        <v>2139</v>
      </c>
      <c r="H723" s="1">
        <v>47</v>
      </c>
      <c r="I723" s="1" t="s">
        <v>31</v>
      </c>
      <c r="J723" s="1">
        <v>8.1</v>
      </c>
      <c r="K723" s="1">
        <v>206.4</v>
      </c>
      <c r="L723" s="1" t="s">
        <v>90</v>
      </c>
      <c r="M723" s="1" t="s">
        <v>66</v>
      </c>
      <c r="N723" s="1" t="s">
        <v>79</v>
      </c>
      <c r="O723" s="1">
        <v>5</v>
      </c>
      <c r="P723" s="1">
        <v>93</v>
      </c>
      <c r="Q723" s="1">
        <v>502.7</v>
      </c>
      <c r="R723" s="8" t="str">
        <f>_xlfn.IFS(J723&gt;=8,"Hit",J723&gt;=6,"Average",J723&lt;6,"Flop")</f>
        <v>Hit</v>
      </c>
      <c r="S723" s="9" t="str">
        <f>_xlfn.IFS(K723&gt;=400,"Blockbuster",K723&gt;=200,"Popular",K723&lt;200,"Normal")</f>
        <v>Popular</v>
      </c>
      <c r="T723" s="10" t="str">
        <f>IF(OR(I723="PG",I723="G"),"Yes","No")</f>
        <v>No</v>
      </c>
      <c r="U723" s="11" t="str">
        <f>IF(P723&gt;=100,"High","Low")</f>
        <v>Low</v>
      </c>
      <c r="V723" s="28">
        <f t="shared" si="22"/>
        <v>409.7</v>
      </c>
      <c r="W723" s="29">
        <f t="shared" si="23"/>
        <v>540.53763440860212</v>
      </c>
    </row>
    <row r="724" spans="1:23" x14ac:dyDescent="0.3">
      <c r="A724" s="1" t="s">
        <v>2140</v>
      </c>
      <c r="B724" s="1" t="s">
        <v>2141</v>
      </c>
      <c r="C724" s="1" t="s">
        <v>18</v>
      </c>
      <c r="D724" s="1" t="s">
        <v>47</v>
      </c>
      <c r="E724" s="1">
        <v>2007</v>
      </c>
      <c r="F724" s="1" t="s">
        <v>95</v>
      </c>
      <c r="G724" s="1" t="s">
        <v>2142</v>
      </c>
      <c r="H724" s="1">
        <v>159</v>
      </c>
      <c r="I724" s="1" t="s">
        <v>40</v>
      </c>
      <c r="J724" s="1">
        <v>8.6</v>
      </c>
      <c r="K724" s="1">
        <v>83.6</v>
      </c>
      <c r="L724" s="1" t="s">
        <v>65</v>
      </c>
      <c r="M724" s="1" t="s">
        <v>78</v>
      </c>
      <c r="N724" s="1" t="s">
        <v>86</v>
      </c>
      <c r="O724" s="1"/>
      <c r="P724" s="1">
        <v>45</v>
      </c>
      <c r="Q724" s="1">
        <v>275.3</v>
      </c>
      <c r="R724" s="8" t="str">
        <f>_xlfn.IFS(J724&gt;=8,"Hit",J724&gt;=6,"Average",J724&lt;6,"Flop")</f>
        <v>Hit</v>
      </c>
      <c r="S724" s="9" t="str">
        <f>_xlfn.IFS(K724&gt;=400,"Blockbuster",K724&gt;=200,"Popular",K724&lt;200,"Normal")</f>
        <v>Normal</v>
      </c>
      <c r="T724" s="10" t="str">
        <f>IF(OR(I724="PG",I724="G"),"Yes","No")</f>
        <v>Yes</v>
      </c>
      <c r="U724" s="11" t="str">
        <f>IF(P724&gt;=100,"High","Low")</f>
        <v>Low</v>
      </c>
      <c r="V724" s="28">
        <f t="shared" si="22"/>
        <v>230.3</v>
      </c>
      <c r="W724" s="29">
        <f t="shared" si="23"/>
        <v>611.77777777777783</v>
      </c>
    </row>
    <row r="725" spans="1:23" x14ac:dyDescent="0.3">
      <c r="A725" s="1" t="s">
        <v>2143</v>
      </c>
      <c r="B725" s="1" t="s">
        <v>2144</v>
      </c>
      <c r="C725" s="1" t="s">
        <v>18</v>
      </c>
      <c r="D725" s="1" t="s">
        <v>94</v>
      </c>
      <c r="E725" s="1">
        <v>2020</v>
      </c>
      <c r="F725" s="1" t="s">
        <v>38</v>
      </c>
      <c r="G725" s="1" t="s">
        <v>2145</v>
      </c>
      <c r="H725" s="1">
        <v>115</v>
      </c>
      <c r="I725" s="1" t="s">
        <v>31</v>
      </c>
      <c r="J725" s="1">
        <v>5.6</v>
      </c>
      <c r="K725" s="1">
        <v>161.30000000000001</v>
      </c>
      <c r="L725" s="1" t="s">
        <v>65</v>
      </c>
      <c r="M725" s="1" t="s">
        <v>111</v>
      </c>
      <c r="N725" s="1" t="s">
        <v>55</v>
      </c>
      <c r="O725" s="1"/>
      <c r="P725" s="1">
        <v>49</v>
      </c>
      <c r="Q725" s="1">
        <v>229.2</v>
      </c>
      <c r="R725" s="8" t="str">
        <f>_xlfn.IFS(J725&gt;=8,"Hit",J725&gt;=6,"Average",J725&lt;6,"Flop")</f>
        <v>Flop</v>
      </c>
      <c r="S725" s="9" t="str">
        <f>_xlfn.IFS(K725&gt;=400,"Blockbuster",K725&gt;=200,"Popular",K725&lt;200,"Normal")</f>
        <v>Normal</v>
      </c>
      <c r="T725" s="10" t="str">
        <f>IF(OR(I725="PG",I725="G"),"Yes","No")</f>
        <v>No</v>
      </c>
      <c r="U725" s="11" t="str">
        <f>IF(P725&gt;=100,"High","Low")</f>
        <v>Low</v>
      </c>
      <c r="V725" s="28">
        <f t="shared" si="22"/>
        <v>180.2</v>
      </c>
      <c r="W725" s="29">
        <f t="shared" si="23"/>
        <v>467.75510204081633</v>
      </c>
    </row>
    <row r="726" spans="1:23" x14ac:dyDescent="0.3">
      <c r="A726" s="1" t="s">
        <v>2146</v>
      </c>
      <c r="B726" s="1" t="s">
        <v>2147</v>
      </c>
      <c r="C726" s="1" t="s">
        <v>46</v>
      </c>
      <c r="D726" s="1" t="s">
        <v>19</v>
      </c>
      <c r="E726" s="1">
        <v>2001</v>
      </c>
      <c r="F726" s="1" t="s">
        <v>122</v>
      </c>
      <c r="G726" s="1" t="s">
        <v>2148</v>
      </c>
      <c r="H726" s="1">
        <v>41</v>
      </c>
      <c r="I726" s="1" t="s">
        <v>40</v>
      </c>
      <c r="J726" s="1">
        <v>5.4</v>
      </c>
      <c r="K726" s="1">
        <v>280.60000000000002</v>
      </c>
      <c r="L726" s="1" t="s">
        <v>65</v>
      </c>
      <c r="M726" s="1" t="s">
        <v>106</v>
      </c>
      <c r="N726" s="1" t="s">
        <v>91</v>
      </c>
      <c r="O726" s="1">
        <v>4</v>
      </c>
      <c r="P726" s="1">
        <v>184</v>
      </c>
      <c r="Q726" s="1">
        <v>1111.8</v>
      </c>
      <c r="R726" s="8" t="str">
        <f>_xlfn.IFS(J726&gt;=8,"Hit",J726&gt;=6,"Average",J726&lt;6,"Flop")</f>
        <v>Flop</v>
      </c>
      <c r="S726" s="9" t="str">
        <f>_xlfn.IFS(K726&gt;=400,"Blockbuster",K726&gt;=200,"Popular",K726&lt;200,"Normal")</f>
        <v>Popular</v>
      </c>
      <c r="T726" s="10" t="str">
        <f>IF(OR(I726="PG",I726="G"),"Yes","No")</f>
        <v>Yes</v>
      </c>
      <c r="U726" s="11" t="str">
        <f>IF(P726&gt;=100,"High","Low")</f>
        <v>High</v>
      </c>
      <c r="V726" s="28">
        <f t="shared" si="22"/>
        <v>927.8</v>
      </c>
      <c r="W726" s="29">
        <f t="shared" si="23"/>
        <v>604.23913043478251</v>
      </c>
    </row>
    <row r="727" spans="1:23" x14ac:dyDescent="0.3">
      <c r="A727" s="1" t="s">
        <v>2149</v>
      </c>
      <c r="B727" s="1" t="s">
        <v>2150</v>
      </c>
      <c r="C727" s="1" t="s">
        <v>46</v>
      </c>
      <c r="D727" s="1" t="s">
        <v>19</v>
      </c>
      <c r="E727" s="1">
        <v>2012</v>
      </c>
      <c r="F727" s="1" t="s">
        <v>181</v>
      </c>
      <c r="G727" s="1" t="s">
        <v>1378</v>
      </c>
      <c r="H727" s="1">
        <v>36</v>
      </c>
      <c r="I727" s="1" t="s">
        <v>31</v>
      </c>
      <c r="J727" s="1">
        <v>4.5</v>
      </c>
      <c r="K727" s="1">
        <v>357.2</v>
      </c>
      <c r="L727" s="1" t="s">
        <v>90</v>
      </c>
      <c r="M727" s="1" t="s">
        <v>111</v>
      </c>
      <c r="N727" s="1" t="s">
        <v>178</v>
      </c>
      <c r="O727" s="1">
        <v>4</v>
      </c>
      <c r="P727" s="1">
        <v>121</v>
      </c>
      <c r="Q727" s="1">
        <v>164.2</v>
      </c>
      <c r="R727" s="8" t="str">
        <f>_xlfn.IFS(J727&gt;=8,"Hit",J727&gt;=6,"Average",J727&lt;6,"Flop")</f>
        <v>Flop</v>
      </c>
      <c r="S727" s="9" t="str">
        <f>_xlfn.IFS(K727&gt;=400,"Blockbuster",K727&gt;=200,"Popular",K727&lt;200,"Normal")</f>
        <v>Popular</v>
      </c>
      <c r="T727" s="10" t="str">
        <f>IF(OR(I727="PG",I727="G"),"Yes","No")</f>
        <v>No</v>
      </c>
      <c r="U727" s="11" t="str">
        <f>IF(P727&gt;=100,"High","Low")</f>
        <v>High</v>
      </c>
      <c r="V727" s="28">
        <f t="shared" si="22"/>
        <v>43.199999999999989</v>
      </c>
      <c r="W727" s="29">
        <f t="shared" si="23"/>
        <v>135.70247933884298</v>
      </c>
    </row>
    <row r="728" spans="1:23" x14ac:dyDescent="0.3">
      <c r="A728" s="1" t="s">
        <v>2151</v>
      </c>
      <c r="B728" s="1" t="s">
        <v>2152</v>
      </c>
      <c r="C728" s="1" t="s">
        <v>18</v>
      </c>
      <c r="D728" s="1" t="s">
        <v>75</v>
      </c>
      <c r="E728" s="1">
        <v>2025</v>
      </c>
      <c r="F728" s="1" t="s">
        <v>83</v>
      </c>
      <c r="G728" s="1" t="s">
        <v>2153</v>
      </c>
      <c r="H728" s="1">
        <v>90</v>
      </c>
      <c r="I728" s="1" t="s">
        <v>22</v>
      </c>
      <c r="J728" s="1">
        <v>8.6999999999999993</v>
      </c>
      <c r="K728" s="1">
        <v>221.6</v>
      </c>
      <c r="L728" s="1" t="s">
        <v>32</v>
      </c>
      <c r="M728" s="1" t="s">
        <v>124</v>
      </c>
      <c r="N728" s="1" t="s">
        <v>119</v>
      </c>
      <c r="O728" s="1"/>
      <c r="P728" s="1">
        <v>73</v>
      </c>
      <c r="Q728" s="1">
        <v>453.5</v>
      </c>
      <c r="R728" s="8" t="str">
        <f>_xlfn.IFS(J728&gt;=8,"Hit",J728&gt;=6,"Average",J728&lt;6,"Flop")</f>
        <v>Hit</v>
      </c>
      <c r="S728" s="9" t="str">
        <f>_xlfn.IFS(K728&gt;=400,"Blockbuster",K728&gt;=200,"Popular",K728&lt;200,"Normal")</f>
        <v>Popular</v>
      </c>
      <c r="T728" s="10" t="str">
        <f>IF(OR(I728="PG",I728="G"),"Yes","No")</f>
        <v>No</v>
      </c>
      <c r="U728" s="11" t="str">
        <f>IF(P728&gt;=100,"High","Low")</f>
        <v>Low</v>
      </c>
      <c r="V728" s="28">
        <f t="shared" si="22"/>
        <v>380.5</v>
      </c>
      <c r="W728" s="29">
        <f t="shared" si="23"/>
        <v>621.23287671232879</v>
      </c>
    </row>
    <row r="729" spans="1:23" x14ac:dyDescent="0.3">
      <c r="A729" s="1" t="s">
        <v>2154</v>
      </c>
      <c r="B729" s="1" t="s">
        <v>2155</v>
      </c>
      <c r="C729" s="1" t="s">
        <v>18</v>
      </c>
      <c r="D729" s="1" t="s">
        <v>28</v>
      </c>
      <c r="E729" s="1">
        <v>2009</v>
      </c>
      <c r="F729" s="1" t="s">
        <v>20</v>
      </c>
      <c r="G729" s="1" t="s">
        <v>2156</v>
      </c>
      <c r="H729" s="1">
        <v>149</v>
      </c>
      <c r="I729" s="1" t="s">
        <v>40</v>
      </c>
      <c r="J729" s="1">
        <v>6</v>
      </c>
      <c r="K729" s="1">
        <v>115.8</v>
      </c>
      <c r="L729" s="1" t="s">
        <v>23</v>
      </c>
      <c r="M729" s="1" t="s">
        <v>72</v>
      </c>
      <c r="N729" s="1" t="s">
        <v>34</v>
      </c>
      <c r="O729" s="1"/>
      <c r="P729" s="1">
        <v>90</v>
      </c>
      <c r="Q729" s="1">
        <v>133.19999999999999</v>
      </c>
      <c r="R729" s="8" t="str">
        <f>_xlfn.IFS(J729&gt;=8,"Hit",J729&gt;=6,"Average",J729&lt;6,"Flop")</f>
        <v>Average</v>
      </c>
      <c r="S729" s="9" t="str">
        <f>_xlfn.IFS(K729&gt;=400,"Blockbuster",K729&gt;=200,"Popular",K729&lt;200,"Normal")</f>
        <v>Normal</v>
      </c>
      <c r="T729" s="10" t="str">
        <f>IF(OR(I729="PG",I729="G"),"Yes","No")</f>
        <v>Yes</v>
      </c>
      <c r="U729" s="11" t="str">
        <f>IF(P729&gt;=100,"High","Low")</f>
        <v>Low</v>
      </c>
      <c r="V729" s="28">
        <f t="shared" si="22"/>
        <v>43.199999999999989</v>
      </c>
      <c r="W729" s="29">
        <f t="shared" si="23"/>
        <v>148</v>
      </c>
    </row>
    <row r="730" spans="1:23" x14ac:dyDescent="0.3">
      <c r="A730" s="1" t="s">
        <v>2157</v>
      </c>
      <c r="B730" s="1" t="s">
        <v>2158</v>
      </c>
      <c r="C730" s="1" t="s">
        <v>18</v>
      </c>
      <c r="D730" s="1" t="s">
        <v>82</v>
      </c>
      <c r="E730" s="1">
        <v>2014</v>
      </c>
      <c r="F730" s="1" t="s">
        <v>83</v>
      </c>
      <c r="G730" s="1" t="s">
        <v>2159</v>
      </c>
      <c r="H730" s="1">
        <v>96</v>
      </c>
      <c r="I730" s="1" t="s">
        <v>40</v>
      </c>
      <c r="J730" s="1">
        <v>5.6</v>
      </c>
      <c r="K730" s="1">
        <v>99.6</v>
      </c>
      <c r="L730" s="1" t="s">
        <v>171</v>
      </c>
      <c r="M730" s="1" t="s">
        <v>78</v>
      </c>
      <c r="N730" s="1" t="s">
        <v>158</v>
      </c>
      <c r="O730" s="1"/>
      <c r="P730" s="1">
        <v>71</v>
      </c>
      <c r="Q730" s="1">
        <v>284.3</v>
      </c>
      <c r="R730" s="8" t="str">
        <f>_xlfn.IFS(J730&gt;=8,"Hit",J730&gt;=6,"Average",J730&lt;6,"Flop")</f>
        <v>Flop</v>
      </c>
      <c r="S730" s="9" t="str">
        <f>_xlfn.IFS(K730&gt;=400,"Blockbuster",K730&gt;=200,"Popular",K730&lt;200,"Normal")</f>
        <v>Normal</v>
      </c>
      <c r="T730" s="10" t="str">
        <f>IF(OR(I730="PG",I730="G"),"Yes","No")</f>
        <v>Yes</v>
      </c>
      <c r="U730" s="11" t="str">
        <f>IF(P730&gt;=100,"High","Low")</f>
        <v>Low</v>
      </c>
      <c r="V730" s="28">
        <f t="shared" si="22"/>
        <v>213.3</v>
      </c>
      <c r="W730" s="29">
        <f t="shared" si="23"/>
        <v>400.42253521126759</v>
      </c>
    </row>
    <row r="731" spans="1:23" x14ac:dyDescent="0.3">
      <c r="A731" s="1" t="s">
        <v>2160</v>
      </c>
      <c r="B731" s="1" t="s">
        <v>2161</v>
      </c>
      <c r="C731" s="1" t="s">
        <v>46</v>
      </c>
      <c r="D731" s="1" t="s">
        <v>94</v>
      </c>
      <c r="E731" s="1">
        <v>2023</v>
      </c>
      <c r="F731" s="1" t="s">
        <v>48</v>
      </c>
      <c r="G731" s="1" t="s">
        <v>2162</v>
      </c>
      <c r="H731" s="1">
        <v>37</v>
      </c>
      <c r="I731" s="1" t="s">
        <v>40</v>
      </c>
      <c r="J731" s="1">
        <v>6.9</v>
      </c>
      <c r="K731" s="1">
        <v>153</v>
      </c>
      <c r="L731" s="1" t="s">
        <v>23</v>
      </c>
      <c r="M731" s="1" t="s">
        <v>66</v>
      </c>
      <c r="N731" s="1" t="s">
        <v>79</v>
      </c>
      <c r="O731" s="1">
        <v>4</v>
      </c>
      <c r="P731" s="1">
        <v>57</v>
      </c>
      <c r="Q731" s="1">
        <v>366.3</v>
      </c>
      <c r="R731" s="8" t="str">
        <f>_xlfn.IFS(J731&gt;=8,"Hit",J731&gt;=6,"Average",J731&lt;6,"Flop")</f>
        <v>Average</v>
      </c>
      <c r="S731" s="9" t="str">
        <f>_xlfn.IFS(K731&gt;=400,"Blockbuster",K731&gt;=200,"Popular",K731&lt;200,"Normal")</f>
        <v>Normal</v>
      </c>
      <c r="T731" s="10" t="str">
        <f>IF(OR(I731="PG",I731="G"),"Yes","No")</f>
        <v>Yes</v>
      </c>
      <c r="U731" s="11" t="str">
        <f>IF(P731&gt;=100,"High","Low")</f>
        <v>Low</v>
      </c>
      <c r="V731" s="28">
        <f t="shared" si="22"/>
        <v>309.3</v>
      </c>
      <c r="W731" s="29">
        <f t="shared" si="23"/>
        <v>642.63157894736844</v>
      </c>
    </row>
    <row r="732" spans="1:23" x14ac:dyDescent="0.3">
      <c r="A732" s="1" t="s">
        <v>2163</v>
      </c>
      <c r="B732" s="1" t="s">
        <v>2164</v>
      </c>
      <c r="C732" s="1" t="s">
        <v>18</v>
      </c>
      <c r="D732" s="1" t="s">
        <v>37</v>
      </c>
      <c r="E732" s="1">
        <v>2019</v>
      </c>
      <c r="F732" s="1" t="s">
        <v>83</v>
      </c>
      <c r="G732" s="1" t="s">
        <v>2165</v>
      </c>
      <c r="H732" s="1">
        <v>155</v>
      </c>
      <c r="I732" s="1" t="s">
        <v>110</v>
      </c>
      <c r="J732" s="1">
        <v>9.6</v>
      </c>
      <c r="K732" s="1">
        <v>329.5</v>
      </c>
      <c r="L732" s="1" t="s">
        <v>171</v>
      </c>
      <c r="M732" s="1" t="s">
        <v>72</v>
      </c>
      <c r="N732" s="1" t="s">
        <v>119</v>
      </c>
      <c r="O732" s="1"/>
      <c r="P732" s="1">
        <v>128</v>
      </c>
      <c r="Q732" s="1">
        <v>744.3</v>
      </c>
      <c r="R732" s="8" t="str">
        <f>_xlfn.IFS(J732&gt;=8,"Hit",J732&gt;=6,"Average",J732&lt;6,"Flop")</f>
        <v>Hit</v>
      </c>
      <c r="S732" s="9" t="str">
        <f>_xlfn.IFS(K732&gt;=400,"Blockbuster",K732&gt;=200,"Popular",K732&lt;200,"Normal")</f>
        <v>Popular</v>
      </c>
      <c r="T732" s="10" t="str">
        <f>IF(OR(I732="PG",I732="G"),"Yes","No")</f>
        <v>No</v>
      </c>
      <c r="U732" s="11" t="str">
        <f>IF(P732&gt;=100,"High","Low")</f>
        <v>High</v>
      </c>
      <c r="V732" s="28">
        <f t="shared" si="22"/>
        <v>616.29999999999995</v>
      </c>
      <c r="W732" s="29">
        <f t="shared" si="23"/>
        <v>581.484375</v>
      </c>
    </row>
    <row r="733" spans="1:23" x14ac:dyDescent="0.3">
      <c r="A733" s="1" t="s">
        <v>2166</v>
      </c>
      <c r="B733" s="1" t="s">
        <v>2167</v>
      </c>
      <c r="C733" s="1" t="s">
        <v>46</v>
      </c>
      <c r="D733" s="1" t="s">
        <v>63</v>
      </c>
      <c r="E733" s="1">
        <v>2004</v>
      </c>
      <c r="F733" s="1" t="s">
        <v>95</v>
      </c>
      <c r="G733" s="1" t="s">
        <v>2168</v>
      </c>
      <c r="H733" s="1">
        <v>45</v>
      </c>
      <c r="I733" s="1" t="s">
        <v>40</v>
      </c>
      <c r="J733" s="1">
        <v>9.1999999999999993</v>
      </c>
      <c r="K733" s="1">
        <v>32.5</v>
      </c>
      <c r="L733" s="1" t="s">
        <v>171</v>
      </c>
      <c r="M733" s="1" t="s">
        <v>72</v>
      </c>
      <c r="N733" s="1" t="s">
        <v>91</v>
      </c>
      <c r="O733" s="1">
        <v>2</v>
      </c>
      <c r="P733" s="1">
        <v>151</v>
      </c>
      <c r="Q733" s="1">
        <v>695.5</v>
      </c>
      <c r="R733" s="8" t="str">
        <f>_xlfn.IFS(J733&gt;=8,"Hit",J733&gt;=6,"Average",J733&lt;6,"Flop")</f>
        <v>Hit</v>
      </c>
      <c r="S733" s="9" t="str">
        <f>_xlfn.IFS(K733&gt;=400,"Blockbuster",K733&gt;=200,"Popular",K733&lt;200,"Normal")</f>
        <v>Normal</v>
      </c>
      <c r="T733" s="10" t="str">
        <f>IF(OR(I733="PG",I733="G"),"Yes","No")</f>
        <v>Yes</v>
      </c>
      <c r="U733" s="11" t="str">
        <f>IF(P733&gt;=100,"High","Low")</f>
        <v>High</v>
      </c>
      <c r="V733" s="28">
        <f t="shared" si="22"/>
        <v>544.5</v>
      </c>
      <c r="W733" s="29">
        <f t="shared" si="23"/>
        <v>460.59602649006621</v>
      </c>
    </row>
    <row r="734" spans="1:23" x14ac:dyDescent="0.3">
      <c r="A734" s="1" t="s">
        <v>2169</v>
      </c>
      <c r="B734" s="1" t="s">
        <v>2170</v>
      </c>
      <c r="C734" s="1" t="s">
        <v>46</v>
      </c>
      <c r="D734" s="1" t="s">
        <v>58</v>
      </c>
      <c r="E734" s="1">
        <v>2022</v>
      </c>
      <c r="F734" s="1" t="s">
        <v>29</v>
      </c>
      <c r="G734" s="1" t="s">
        <v>2171</v>
      </c>
      <c r="H734" s="1">
        <v>60</v>
      </c>
      <c r="I734" s="1" t="s">
        <v>110</v>
      </c>
      <c r="J734" s="1">
        <v>6.2</v>
      </c>
      <c r="K734" s="1">
        <v>387.3</v>
      </c>
      <c r="L734" s="1" t="s">
        <v>65</v>
      </c>
      <c r="M734" s="1" t="s">
        <v>106</v>
      </c>
      <c r="N734" s="1" t="s">
        <v>25</v>
      </c>
      <c r="O734" s="1">
        <v>3</v>
      </c>
      <c r="P734" s="1">
        <v>72</v>
      </c>
      <c r="Q734" s="1">
        <v>193.5</v>
      </c>
      <c r="R734" s="8" t="str">
        <f>_xlfn.IFS(J734&gt;=8,"Hit",J734&gt;=6,"Average",J734&lt;6,"Flop")</f>
        <v>Average</v>
      </c>
      <c r="S734" s="9" t="str">
        <f>_xlfn.IFS(K734&gt;=400,"Blockbuster",K734&gt;=200,"Popular",K734&lt;200,"Normal")</f>
        <v>Popular</v>
      </c>
      <c r="T734" s="10" t="str">
        <f>IF(OR(I734="PG",I734="G"),"Yes","No")</f>
        <v>No</v>
      </c>
      <c r="U734" s="11" t="str">
        <f>IF(P734&gt;=100,"High","Low")</f>
        <v>Low</v>
      </c>
      <c r="V734" s="28">
        <f t="shared" si="22"/>
        <v>121.5</v>
      </c>
      <c r="W734" s="29">
        <f t="shared" si="23"/>
        <v>268.75</v>
      </c>
    </row>
    <row r="735" spans="1:23" x14ac:dyDescent="0.3">
      <c r="A735" s="1" t="s">
        <v>2172</v>
      </c>
      <c r="B735" s="1" t="s">
        <v>2173</v>
      </c>
      <c r="C735" s="1" t="s">
        <v>18</v>
      </c>
      <c r="D735" s="1" t="s">
        <v>141</v>
      </c>
      <c r="E735" s="1">
        <v>2014</v>
      </c>
      <c r="F735" s="1" t="s">
        <v>122</v>
      </c>
      <c r="G735" s="1" t="s">
        <v>2174</v>
      </c>
      <c r="H735" s="1">
        <v>104</v>
      </c>
      <c r="I735" s="1" t="s">
        <v>40</v>
      </c>
      <c r="J735" s="1">
        <v>7.4</v>
      </c>
      <c r="K735" s="1">
        <v>511.4</v>
      </c>
      <c r="L735" s="1" t="s">
        <v>32</v>
      </c>
      <c r="M735" s="1" t="s">
        <v>132</v>
      </c>
      <c r="N735" s="1" t="s">
        <v>60</v>
      </c>
      <c r="O735" s="1"/>
      <c r="P735" s="1">
        <v>9</v>
      </c>
      <c r="Q735" s="1">
        <v>15.2</v>
      </c>
      <c r="R735" s="8" t="str">
        <f>_xlfn.IFS(J735&gt;=8,"Hit",J735&gt;=6,"Average",J735&lt;6,"Flop")</f>
        <v>Average</v>
      </c>
      <c r="S735" s="9" t="str">
        <f>_xlfn.IFS(K735&gt;=400,"Blockbuster",K735&gt;=200,"Popular",K735&lt;200,"Normal")</f>
        <v>Blockbuster</v>
      </c>
      <c r="T735" s="10" t="str">
        <f>IF(OR(I735="PG",I735="G"),"Yes","No")</f>
        <v>Yes</v>
      </c>
      <c r="U735" s="11" t="str">
        <f>IF(P735&gt;=100,"High","Low")</f>
        <v>Low</v>
      </c>
      <c r="V735" s="28">
        <f t="shared" si="22"/>
        <v>6.1999999999999993</v>
      </c>
      <c r="W735" s="29">
        <f t="shared" si="23"/>
        <v>168.88888888888889</v>
      </c>
    </row>
    <row r="736" spans="1:23" x14ac:dyDescent="0.3">
      <c r="A736" s="1" t="s">
        <v>2175</v>
      </c>
      <c r="B736" s="1" t="s">
        <v>2176</v>
      </c>
      <c r="C736" s="1" t="s">
        <v>18</v>
      </c>
      <c r="D736" s="1" t="s">
        <v>37</v>
      </c>
      <c r="E736" s="1">
        <v>2025</v>
      </c>
      <c r="F736" s="1" t="s">
        <v>100</v>
      </c>
      <c r="G736" s="1" t="s">
        <v>2177</v>
      </c>
      <c r="H736" s="1">
        <v>89</v>
      </c>
      <c r="I736" s="1" t="s">
        <v>40</v>
      </c>
      <c r="J736" s="1">
        <v>9.3000000000000007</v>
      </c>
      <c r="K736" s="1">
        <v>34.4</v>
      </c>
      <c r="L736" s="1" t="s">
        <v>32</v>
      </c>
      <c r="M736" s="1" t="s">
        <v>72</v>
      </c>
      <c r="N736" s="1" t="s">
        <v>128</v>
      </c>
      <c r="O736" s="1"/>
      <c r="P736" s="1">
        <v>120</v>
      </c>
      <c r="Q736" s="1">
        <v>628</v>
      </c>
      <c r="R736" s="8" t="str">
        <f>_xlfn.IFS(J736&gt;=8,"Hit",J736&gt;=6,"Average",J736&lt;6,"Flop")</f>
        <v>Hit</v>
      </c>
      <c r="S736" s="9" t="str">
        <f>_xlfn.IFS(K736&gt;=400,"Blockbuster",K736&gt;=200,"Popular",K736&lt;200,"Normal")</f>
        <v>Normal</v>
      </c>
      <c r="T736" s="10" t="str">
        <f>IF(OR(I736="PG",I736="G"),"Yes","No")</f>
        <v>Yes</v>
      </c>
      <c r="U736" s="11" t="str">
        <f>IF(P736&gt;=100,"High","Low")</f>
        <v>High</v>
      </c>
      <c r="V736" s="28">
        <f t="shared" si="22"/>
        <v>508</v>
      </c>
      <c r="W736" s="29">
        <f t="shared" si="23"/>
        <v>523.33333333333337</v>
      </c>
    </row>
    <row r="737" spans="1:23" x14ac:dyDescent="0.3">
      <c r="A737" s="1" t="s">
        <v>2178</v>
      </c>
      <c r="B737" s="1" t="s">
        <v>2179</v>
      </c>
      <c r="C737" s="1" t="s">
        <v>18</v>
      </c>
      <c r="D737" s="1" t="s">
        <v>37</v>
      </c>
      <c r="E737" s="1">
        <v>2000</v>
      </c>
      <c r="F737" s="1" t="s">
        <v>122</v>
      </c>
      <c r="G737" s="1" t="s">
        <v>2180</v>
      </c>
      <c r="H737" s="1">
        <v>161</v>
      </c>
      <c r="I737" s="1" t="s">
        <v>31</v>
      </c>
      <c r="J737" s="1">
        <v>7.6</v>
      </c>
      <c r="K737" s="1">
        <v>489.3</v>
      </c>
      <c r="L737" s="1" t="s">
        <v>90</v>
      </c>
      <c r="M737" s="1" t="s">
        <v>146</v>
      </c>
      <c r="N737" s="1" t="s">
        <v>34</v>
      </c>
      <c r="O737" s="1"/>
      <c r="P737" s="1">
        <v>86</v>
      </c>
      <c r="Q737" s="1">
        <v>413.1</v>
      </c>
      <c r="R737" s="8" t="str">
        <f>_xlfn.IFS(J737&gt;=8,"Hit",J737&gt;=6,"Average",J737&lt;6,"Flop")</f>
        <v>Average</v>
      </c>
      <c r="S737" s="9" t="str">
        <f>_xlfn.IFS(K737&gt;=400,"Blockbuster",K737&gt;=200,"Popular",K737&lt;200,"Normal")</f>
        <v>Blockbuster</v>
      </c>
      <c r="T737" s="10" t="str">
        <f>IF(OR(I737="PG",I737="G"),"Yes","No")</f>
        <v>No</v>
      </c>
      <c r="U737" s="11" t="str">
        <f>IF(P737&gt;=100,"High","Low")</f>
        <v>Low</v>
      </c>
      <c r="V737" s="28">
        <f t="shared" si="22"/>
        <v>327.10000000000002</v>
      </c>
      <c r="W737" s="29">
        <f t="shared" si="23"/>
        <v>480.34883720930236</v>
      </c>
    </row>
    <row r="738" spans="1:23" x14ac:dyDescent="0.3">
      <c r="A738" s="1" t="s">
        <v>2181</v>
      </c>
      <c r="B738" s="1" t="s">
        <v>2182</v>
      </c>
      <c r="C738" s="1" t="s">
        <v>18</v>
      </c>
      <c r="D738" s="1" t="s">
        <v>28</v>
      </c>
      <c r="E738" s="1">
        <v>2021</v>
      </c>
      <c r="F738" s="1" t="s">
        <v>38</v>
      </c>
      <c r="G738" s="1" t="s">
        <v>2183</v>
      </c>
      <c r="H738" s="1">
        <v>117</v>
      </c>
      <c r="I738" s="1" t="s">
        <v>40</v>
      </c>
      <c r="J738" s="1">
        <v>5.0999999999999996</v>
      </c>
      <c r="K738" s="1">
        <v>40.5</v>
      </c>
      <c r="L738" s="1" t="s">
        <v>171</v>
      </c>
      <c r="M738" s="1" t="s">
        <v>54</v>
      </c>
      <c r="N738" s="1" t="s">
        <v>55</v>
      </c>
      <c r="O738" s="1"/>
      <c r="P738" s="1">
        <v>36</v>
      </c>
      <c r="Q738" s="1">
        <v>181.3</v>
      </c>
      <c r="R738" s="8" t="str">
        <f>_xlfn.IFS(J738&gt;=8,"Hit",J738&gt;=6,"Average",J738&lt;6,"Flop")</f>
        <v>Flop</v>
      </c>
      <c r="S738" s="9" t="str">
        <f>_xlfn.IFS(K738&gt;=400,"Blockbuster",K738&gt;=200,"Popular",K738&lt;200,"Normal")</f>
        <v>Normal</v>
      </c>
      <c r="T738" s="10" t="str">
        <f>IF(OR(I738="PG",I738="G"),"Yes","No")</f>
        <v>Yes</v>
      </c>
      <c r="U738" s="11" t="str">
        <f>IF(P738&gt;=100,"High","Low")</f>
        <v>Low</v>
      </c>
      <c r="V738" s="28">
        <f t="shared" si="22"/>
        <v>145.30000000000001</v>
      </c>
      <c r="W738" s="29">
        <f t="shared" si="23"/>
        <v>503.61111111111114</v>
      </c>
    </row>
    <row r="739" spans="1:23" x14ac:dyDescent="0.3">
      <c r="A739" s="1" t="s">
        <v>2184</v>
      </c>
      <c r="B739" s="1" t="s">
        <v>2185</v>
      </c>
      <c r="C739" s="1" t="s">
        <v>46</v>
      </c>
      <c r="D739" s="1" t="s">
        <v>28</v>
      </c>
      <c r="E739" s="1">
        <v>2011</v>
      </c>
      <c r="F739" s="1" t="s">
        <v>20</v>
      </c>
      <c r="G739" s="1" t="s">
        <v>2186</v>
      </c>
      <c r="H739" s="1">
        <v>31</v>
      </c>
      <c r="I739" s="1" t="s">
        <v>22</v>
      </c>
      <c r="J739" s="1">
        <v>6.6</v>
      </c>
      <c r="K739" s="1">
        <v>292</v>
      </c>
      <c r="L739" s="1" t="s">
        <v>71</v>
      </c>
      <c r="M739" s="1" t="s">
        <v>24</v>
      </c>
      <c r="N739" s="1" t="s">
        <v>128</v>
      </c>
      <c r="O739" s="1">
        <v>1</v>
      </c>
      <c r="P739" s="1">
        <v>7</v>
      </c>
      <c r="Q739" s="1">
        <v>42.3</v>
      </c>
      <c r="R739" s="8" t="str">
        <f>_xlfn.IFS(J739&gt;=8,"Hit",J739&gt;=6,"Average",J739&lt;6,"Flop")</f>
        <v>Average</v>
      </c>
      <c r="S739" s="9" t="str">
        <f>_xlfn.IFS(K739&gt;=400,"Blockbuster",K739&gt;=200,"Popular",K739&lt;200,"Normal")</f>
        <v>Popular</v>
      </c>
      <c r="T739" s="10" t="str">
        <f>IF(OR(I739="PG",I739="G"),"Yes","No")</f>
        <v>No</v>
      </c>
      <c r="U739" s="11" t="str">
        <f>IF(P739&gt;=100,"High","Low")</f>
        <v>Low</v>
      </c>
      <c r="V739" s="28">
        <f t="shared" si="22"/>
        <v>35.299999999999997</v>
      </c>
      <c r="W739" s="29">
        <f t="shared" si="23"/>
        <v>604.28571428571422</v>
      </c>
    </row>
    <row r="740" spans="1:23" x14ac:dyDescent="0.3">
      <c r="A740" s="1" t="s">
        <v>2187</v>
      </c>
      <c r="B740" s="1" t="s">
        <v>2188</v>
      </c>
      <c r="C740" s="1" t="s">
        <v>18</v>
      </c>
      <c r="D740" s="1" t="s">
        <v>37</v>
      </c>
      <c r="E740" s="1">
        <v>2022</v>
      </c>
      <c r="F740" s="1" t="s">
        <v>20</v>
      </c>
      <c r="G740" s="1" t="s">
        <v>2189</v>
      </c>
      <c r="H740" s="1">
        <v>106</v>
      </c>
      <c r="I740" s="1" t="s">
        <v>22</v>
      </c>
      <c r="J740" s="1">
        <v>4.9000000000000004</v>
      </c>
      <c r="K740" s="1">
        <v>540.79999999999995</v>
      </c>
      <c r="L740" s="1" t="s">
        <v>65</v>
      </c>
      <c r="M740" s="1" t="s">
        <v>146</v>
      </c>
      <c r="N740" s="1" t="s">
        <v>55</v>
      </c>
      <c r="O740" s="1"/>
      <c r="P740" s="1">
        <v>109</v>
      </c>
      <c r="Q740" s="1">
        <v>333.4</v>
      </c>
      <c r="R740" s="8" t="str">
        <f>_xlfn.IFS(J740&gt;=8,"Hit",J740&gt;=6,"Average",J740&lt;6,"Flop")</f>
        <v>Flop</v>
      </c>
      <c r="S740" s="9" t="str">
        <f>_xlfn.IFS(K740&gt;=400,"Blockbuster",K740&gt;=200,"Popular",K740&lt;200,"Normal")</f>
        <v>Blockbuster</v>
      </c>
      <c r="T740" s="10" t="str">
        <f>IF(OR(I740="PG",I740="G"),"Yes","No")</f>
        <v>No</v>
      </c>
      <c r="U740" s="11" t="str">
        <f>IF(P740&gt;=100,"High","Low")</f>
        <v>High</v>
      </c>
      <c r="V740" s="28">
        <f t="shared" si="22"/>
        <v>224.39999999999998</v>
      </c>
      <c r="W740" s="29">
        <f t="shared" si="23"/>
        <v>305.87155963302752</v>
      </c>
    </row>
    <row r="741" spans="1:23" x14ac:dyDescent="0.3">
      <c r="A741" s="1" t="s">
        <v>2190</v>
      </c>
      <c r="B741" s="1" t="s">
        <v>2191</v>
      </c>
      <c r="C741" s="1" t="s">
        <v>46</v>
      </c>
      <c r="D741" s="1" t="s">
        <v>117</v>
      </c>
      <c r="E741" s="1">
        <v>2006</v>
      </c>
      <c r="F741" s="1" t="s">
        <v>122</v>
      </c>
      <c r="G741" s="1" t="s">
        <v>2192</v>
      </c>
      <c r="H741" s="1">
        <v>31</v>
      </c>
      <c r="I741" s="1" t="s">
        <v>22</v>
      </c>
      <c r="J741" s="1">
        <v>5.4</v>
      </c>
      <c r="K741" s="1">
        <v>442.3</v>
      </c>
      <c r="L741" s="1" t="s">
        <v>65</v>
      </c>
      <c r="M741" s="1" t="s">
        <v>66</v>
      </c>
      <c r="N741" s="1" t="s">
        <v>79</v>
      </c>
      <c r="O741" s="1">
        <v>7</v>
      </c>
      <c r="P741" s="1">
        <v>50</v>
      </c>
      <c r="Q741" s="1">
        <v>252.2</v>
      </c>
      <c r="R741" s="8" t="str">
        <f>_xlfn.IFS(J741&gt;=8,"Hit",J741&gt;=6,"Average",J741&lt;6,"Flop")</f>
        <v>Flop</v>
      </c>
      <c r="S741" s="9" t="str">
        <f>_xlfn.IFS(K741&gt;=400,"Blockbuster",K741&gt;=200,"Popular",K741&lt;200,"Normal")</f>
        <v>Blockbuster</v>
      </c>
      <c r="T741" s="10" t="str">
        <f>IF(OR(I741="PG",I741="G"),"Yes","No")</f>
        <v>No</v>
      </c>
      <c r="U741" s="11" t="str">
        <f>IF(P741&gt;=100,"High","Low")</f>
        <v>Low</v>
      </c>
      <c r="V741" s="28">
        <f t="shared" si="22"/>
        <v>202.2</v>
      </c>
      <c r="W741" s="29">
        <f t="shared" si="23"/>
        <v>504.4</v>
      </c>
    </row>
    <row r="742" spans="1:23" x14ac:dyDescent="0.3">
      <c r="A742" s="1" t="s">
        <v>2193</v>
      </c>
      <c r="B742" s="1" t="s">
        <v>2194</v>
      </c>
      <c r="C742" s="1" t="s">
        <v>18</v>
      </c>
      <c r="D742" s="1" t="s">
        <v>75</v>
      </c>
      <c r="E742" s="1">
        <v>2018</v>
      </c>
      <c r="F742" s="1" t="s">
        <v>122</v>
      </c>
      <c r="G742" s="1" t="s">
        <v>2195</v>
      </c>
      <c r="H742" s="1">
        <v>179</v>
      </c>
      <c r="I742" s="1" t="s">
        <v>40</v>
      </c>
      <c r="J742" s="1">
        <v>5</v>
      </c>
      <c r="K742" s="1">
        <v>166.8</v>
      </c>
      <c r="L742" s="1" t="s">
        <v>41</v>
      </c>
      <c r="M742" s="1" t="s">
        <v>78</v>
      </c>
      <c r="N742" s="1" t="s">
        <v>25</v>
      </c>
      <c r="O742" s="1"/>
      <c r="P742" s="1">
        <v>151</v>
      </c>
      <c r="Q742" s="1">
        <v>223.6</v>
      </c>
      <c r="R742" s="8" t="str">
        <f>_xlfn.IFS(J742&gt;=8,"Hit",J742&gt;=6,"Average",J742&lt;6,"Flop")</f>
        <v>Flop</v>
      </c>
      <c r="S742" s="9" t="str">
        <f>_xlfn.IFS(K742&gt;=400,"Blockbuster",K742&gt;=200,"Popular",K742&lt;200,"Normal")</f>
        <v>Normal</v>
      </c>
      <c r="T742" s="10" t="str">
        <f>IF(OR(I742="PG",I742="G"),"Yes","No")</f>
        <v>Yes</v>
      </c>
      <c r="U742" s="11" t="str">
        <f>IF(P742&gt;=100,"High","Low")</f>
        <v>High</v>
      </c>
      <c r="V742" s="28">
        <f t="shared" si="22"/>
        <v>72.599999999999994</v>
      </c>
      <c r="W742" s="29">
        <f t="shared" si="23"/>
        <v>148.07947019867549</v>
      </c>
    </row>
    <row r="743" spans="1:23" x14ac:dyDescent="0.3">
      <c r="A743" s="1" t="s">
        <v>2196</v>
      </c>
      <c r="B743" s="1" t="s">
        <v>2197</v>
      </c>
      <c r="C743" s="1" t="s">
        <v>46</v>
      </c>
      <c r="D743" s="1" t="s">
        <v>63</v>
      </c>
      <c r="E743" s="1">
        <v>2009</v>
      </c>
      <c r="F743" s="1" t="s">
        <v>76</v>
      </c>
      <c r="G743" s="1" t="s">
        <v>840</v>
      </c>
      <c r="H743" s="1">
        <v>56</v>
      </c>
      <c r="I743" s="1" t="s">
        <v>110</v>
      </c>
      <c r="J743" s="1">
        <v>5.3</v>
      </c>
      <c r="K743" s="1">
        <v>272.8</v>
      </c>
      <c r="L743" s="1" t="s">
        <v>171</v>
      </c>
      <c r="M743" s="1" t="s">
        <v>72</v>
      </c>
      <c r="N743" s="1" t="s">
        <v>67</v>
      </c>
      <c r="O743" s="1">
        <v>8</v>
      </c>
      <c r="P743" s="1">
        <v>47</v>
      </c>
      <c r="Q743" s="1">
        <v>118.4</v>
      </c>
      <c r="R743" s="8" t="str">
        <f>_xlfn.IFS(J743&gt;=8,"Hit",J743&gt;=6,"Average",J743&lt;6,"Flop")</f>
        <v>Flop</v>
      </c>
      <c r="S743" s="9" t="str">
        <f>_xlfn.IFS(K743&gt;=400,"Blockbuster",K743&gt;=200,"Popular",K743&lt;200,"Normal")</f>
        <v>Popular</v>
      </c>
      <c r="T743" s="10" t="str">
        <f>IF(OR(I743="PG",I743="G"),"Yes","No")</f>
        <v>No</v>
      </c>
      <c r="U743" s="11" t="str">
        <f>IF(P743&gt;=100,"High","Low")</f>
        <v>Low</v>
      </c>
      <c r="V743" s="28">
        <f t="shared" si="22"/>
        <v>71.400000000000006</v>
      </c>
      <c r="W743" s="29">
        <f t="shared" si="23"/>
        <v>251.91489361702128</v>
      </c>
    </row>
    <row r="744" spans="1:23" x14ac:dyDescent="0.3">
      <c r="A744" s="1" t="s">
        <v>2198</v>
      </c>
      <c r="B744" s="1" t="s">
        <v>2199</v>
      </c>
      <c r="C744" s="1" t="s">
        <v>18</v>
      </c>
      <c r="D744" s="1" t="s">
        <v>94</v>
      </c>
      <c r="E744" s="1">
        <v>2003</v>
      </c>
      <c r="F744" s="1" t="s">
        <v>122</v>
      </c>
      <c r="G744" s="1" t="s">
        <v>2200</v>
      </c>
      <c r="H744" s="1">
        <v>176</v>
      </c>
      <c r="I744" s="1" t="s">
        <v>50</v>
      </c>
      <c r="J744" s="1">
        <v>8.1999999999999993</v>
      </c>
      <c r="K744" s="1">
        <v>3.8</v>
      </c>
      <c r="L744" s="1" t="s">
        <v>65</v>
      </c>
      <c r="M744" s="1" t="s">
        <v>78</v>
      </c>
      <c r="N744" s="1" t="s">
        <v>60</v>
      </c>
      <c r="O744" s="1"/>
      <c r="P744" s="1">
        <v>145</v>
      </c>
      <c r="Q744" s="1">
        <v>907.2</v>
      </c>
      <c r="R744" s="8" t="str">
        <f>_xlfn.IFS(J744&gt;=8,"Hit",J744&gt;=6,"Average",J744&lt;6,"Flop")</f>
        <v>Hit</v>
      </c>
      <c r="S744" s="9" t="str">
        <f>_xlfn.IFS(K744&gt;=400,"Blockbuster",K744&gt;=200,"Popular",K744&lt;200,"Normal")</f>
        <v>Normal</v>
      </c>
      <c r="T744" s="10" t="str">
        <f>IF(OR(I744="PG",I744="G"),"Yes","No")</f>
        <v>Yes</v>
      </c>
      <c r="U744" s="11" t="str">
        <f>IF(P744&gt;=100,"High","Low")</f>
        <v>High</v>
      </c>
      <c r="V744" s="28">
        <f t="shared" si="22"/>
        <v>762.2</v>
      </c>
      <c r="W744" s="29">
        <f t="shared" si="23"/>
        <v>625.65517241379314</v>
      </c>
    </row>
    <row r="745" spans="1:23" x14ac:dyDescent="0.3">
      <c r="A745" s="1" t="s">
        <v>2201</v>
      </c>
      <c r="B745" s="1" t="s">
        <v>2202</v>
      </c>
      <c r="C745" s="1" t="s">
        <v>18</v>
      </c>
      <c r="D745" s="1" t="s">
        <v>63</v>
      </c>
      <c r="E745" s="1">
        <v>2022</v>
      </c>
      <c r="F745" s="1" t="s">
        <v>48</v>
      </c>
      <c r="G745" s="1" t="s">
        <v>2203</v>
      </c>
      <c r="H745" s="1">
        <v>86</v>
      </c>
      <c r="I745" s="1" t="s">
        <v>50</v>
      </c>
      <c r="J745" s="1">
        <v>8.3000000000000007</v>
      </c>
      <c r="K745" s="1">
        <v>182.2</v>
      </c>
      <c r="L745" s="1" t="s">
        <v>65</v>
      </c>
      <c r="M745" s="1" t="s">
        <v>42</v>
      </c>
      <c r="N745" s="1" t="s">
        <v>43</v>
      </c>
      <c r="O745" s="1"/>
      <c r="P745" s="1">
        <v>161</v>
      </c>
      <c r="Q745" s="1">
        <v>637.20000000000005</v>
      </c>
      <c r="R745" s="8" t="str">
        <f>_xlfn.IFS(J745&gt;=8,"Hit",J745&gt;=6,"Average",J745&lt;6,"Flop")</f>
        <v>Hit</v>
      </c>
      <c r="S745" s="9" t="str">
        <f>_xlfn.IFS(K745&gt;=400,"Blockbuster",K745&gt;=200,"Popular",K745&lt;200,"Normal")</f>
        <v>Normal</v>
      </c>
      <c r="T745" s="10" t="str">
        <f>IF(OR(I745="PG",I745="G"),"Yes","No")</f>
        <v>Yes</v>
      </c>
      <c r="U745" s="11" t="str">
        <f>IF(P745&gt;=100,"High","Low")</f>
        <v>High</v>
      </c>
      <c r="V745" s="28">
        <f t="shared" si="22"/>
        <v>476.20000000000005</v>
      </c>
      <c r="W745" s="29">
        <f t="shared" si="23"/>
        <v>395.776397515528</v>
      </c>
    </row>
    <row r="746" spans="1:23" x14ac:dyDescent="0.3">
      <c r="A746" s="1" t="s">
        <v>2204</v>
      </c>
      <c r="B746" s="1" t="s">
        <v>2205</v>
      </c>
      <c r="C746" s="1" t="s">
        <v>18</v>
      </c>
      <c r="D746" s="1" t="s">
        <v>141</v>
      </c>
      <c r="E746" s="1">
        <v>2002</v>
      </c>
      <c r="F746" s="1" t="s">
        <v>83</v>
      </c>
      <c r="G746" s="1" t="s">
        <v>2206</v>
      </c>
      <c r="H746" s="1">
        <v>87</v>
      </c>
      <c r="I746" s="1" t="s">
        <v>50</v>
      </c>
      <c r="J746" s="1">
        <v>9.3000000000000007</v>
      </c>
      <c r="K746" s="1">
        <v>526.4</v>
      </c>
      <c r="L746" s="1" t="s">
        <v>90</v>
      </c>
      <c r="M746" s="1" t="s">
        <v>157</v>
      </c>
      <c r="N746" s="1" t="s">
        <v>158</v>
      </c>
      <c r="O746" s="1"/>
      <c r="P746" s="1">
        <v>133</v>
      </c>
      <c r="Q746" s="1">
        <v>441.7</v>
      </c>
      <c r="R746" s="8" t="str">
        <f>_xlfn.IFS(J746&gt;=8,"Hit",J746&gt;=6,"Average",J746&lt;6,"Flop")</f>
        <v>Hit</v>
      </c>
      <c r="S746" s="9" t="str">
        <f>_xlfn.IFS(K746&gt;=400,"Blockbuster",K746&gt;=200,"Popular",K746&lt;200,"Normal")</f>
        <v>Blockbuster</v>
      </c>
      <c r="T746" s="10" t="str">
        <f>IF(OR(I746="PG",I746="G"),"Yes","No")</f>
        <v>Yes</v>
      </c>
      <c r="U746" s="11" t="str">
        <f>IF(P746&gt;=100,"High","Low")</f>
        <v>High</v>
      </c>
      <c r="V746" s="28">
        <f t="shared" si="22"/>
        <v>308.7</v>
      </c>
      <c r="W746" s="29">
        <f t="shared" si="23"/>
        <v>332.10526315789474</v>
      </c>
    </row>
    <row r="747" spans="1:23" x14ac:dyDescent="0.3">
      <c r="A747" s="1" t="s">
        <v>2207</v>
      </c>
      <c r="B747" s="1" t="s">
        <v>2208</v>
      </c>
      <c r="C747" s="1" t="s">
        <v>46</v>
      </c>
      <c r="D747" s="1" t="s">
        <v>28</v>
      </c>
      <c r="E747" s="1">
        <v>2007</v>
      </c>
      <c r="F747" s="1" t="s">
        <v>48</v>
      </c>
      <c r="G747" s="1" t="s">
        <v>114</v>
      </c>
      <c r="H747" s="1">
        <v>45</v>
      </c>
      <c r="I747" s="1" t="s">
        <v>40</v>
      </c>
      <c r="J747" s="1">
        <v>7.1</v>
      </c>
      <c r="K747" s="1">
        <v>245.4</v>
      </c>
      <c r="L747" s="1" t="s">
        <v>65</v>
      </c>
      <c r="M747" s="1" t="s">
        <v>72</v>
      </c>
      <c r="N747" s="1" t="s">
        <v>128</v>
      </c>
      <c r="O747" s="1">
        <v>2</v>
      </c>
      <c r="P747" s="1">
        <v>191</v>
      </c>
      <c r="Q747" s="1">
        <v>814.1</v>
      </c>
      <c r="R747" s="8" t="str">
        <f>_xlfn.IFS(J747&gt;=8,"Hit",J747&gt;=6,"Average",J747&lt;6,"Flop")</f>
        <v>Average</v>
      </c>
      <c r="S747" s="9" t="str">
        <f>_xlfn.IFS(K747&gt;=400,"Blockbuster",K747&gt;=200,"Popular",K747&lt;200,"Normal")</f>
        <v>Popular</v>
      </c>
      <c r="T747" s="10" t="str">
        <f>IF(OR(I747="PG",I747="G"),"Yes","No")</f>
        <v>Yes</v>
      </c>
      <c r="U747" s="11" t="str">
        <f>IF(P747&gt;=100,"High","Low")</f>
        <v>High</v>
      </c>
      <c r="V747" s="28">
        <f t="shared" si="22"/>
        <v>623.1</v>
      </c>
      <c r="W747" s="29">
        <f t="shared" si="23"/>
        <v>426.23036649214663</v>
      </c>
    </row>
    <row r="748" spans="1:23" x14ac:dyDescent="0.3">
      <c r="A748" s="1" t="s">
        <v>2209</v>
      </c>
      <c r="B748" s="1" t="s">
        <v>2210</v>
      </c>
      <c r="C748" s="1" t="s">
        <v>46</v>
      </c>
      <c r="D748" s="1" t="s">
        <v>117</v>
      </c>
      <c r="E748" s="1">
        <v>2025</v>
      </c>
      <c r="F748" s="1" t="s">
        <v>20</v>
      </c>
      <c r="G748" s="1" t="s">
        <v>1615</v>
      </c>
      <c r="H748" s="1">
        <v>31</v>
      </c>
      <c r="I748" s="1" t="s">
        <v>22</v>
      </c>
      <c r="J748" s="1">
        <v>6.3</v>
      </c>
      <c r="K748" s="1">
        <v>335.4</v>
      </c>
      <c r="L748" s="1" t="s">
        <v>71</v>
      </c>
      <c r="M748" s="1" t="s">
        <v>111</v>
      </c>
      <c r="N748" s="1" t="s">
        <v>153</v>
      </c>
      <c r="O748" s="1">
        <v>3</v>
      </c>
      <c r="P748" s="1">
        <v>154</v>
      </c>
      <c r="Q748" s="1">
        <v>188.4</v>
      </c>
      <c r="R748" s="8" t="str">
        <f>_xlfn.IFS(J748&gt;=8,"Hit",J748&gt;=6,"Average",J748&lt;6,"Flop")</f>
        <v>Average</v>
      </c>
      <c r="S748" s="9" t="str">
        <f>_xlfn.IFS(K748&gt;=400,"Blockbuster",K748&gt;=200,"Popular",K748&lt;200,"Normal")</f>
        <v>Popular</v>
      </c>
      <c r="T748" s="10" t="str">
        <f>IF(OR(I748="PG",I748="G"),"Yes","No")</f>
        <v>No</v>
      </c>
      <c r="U748" s="11" t="str">
        <f>IF(P748&gt;=100,"High","Low")</f>
        <v>High</v>
      </c>
      <c r="V748" s="28">
        <f t="shared" si="22"/>
        <v>34.400000000000006</v>
      </c>
      <c r="W748" s="29">
        <f t="shared" si="23"/>
        <v>122.33766233766235</v>
      </c>
    </row>
    <row r="749" spans="1:23" x14ac:dyDescent="0.3">
      <c r="A749" s="1" t="s">
        <v>2211</v>
      </c>
      <c r="B749" s="1" t="s">
        <v>2212</v>
      </c>
      <c r="C749" s="1" t="s">
        <v>46</v>
      </c>
      <c r="D749" s="1" t="s">
        <v>75</v>
      </c>
      <c r="E749" s="1">
        <v>2002</v>
      </c>
      <c r="F749" s="1" t="s">
        <v>20</v>
      </c>
      <c r="G749" s="1" t="s">
        <v>2213</v>
      </c>
      <c r="H749" s="1">
        <v>51</v>
      </c>
      <c r="I749" s="1" t="s">
        <v>40</v>
      </c>
      <c r="J749" s="1">
        <v>6.9</v>
      </c>
      <c r="K749" s="1">
        <v>102.4</v>
      </c>
      <c r="L749" s="1" t="s">
        <v>65</v>
      </c>
      <c r="M749" s="1" t="s">
        <v>157</v>
      </c>
      <c r="N749" s="1" t="s">
        <v>102</v>
      </c>
      <c r="O749" s="1">
        <v>1</v>
      </c>
      <c r="P749" s="1">
        <v>18</v>
      </c>
      <c r="Q749" s="1">
        <v>24</v>
      </c>
      <c r="R749" s="8" t="str">
        <f>_xlfn.IFS(J749&gt;=8,"Hit",J749&gt;=6,"Average",J749&lt;6,"Flop")</f>
        <v>Average</v>
      </c>
      <c r="S749" s="9" t="str">
        <f>_xlfn.IFS(K749&gt;=400,"Blockbuster",K749&gt;=200,"Popular",K749&lt;200,"Normal")</f>
        <v>Normal</v>
      </c>
      <c r="T749" s="10" t="str">
        <f>IF(OR(I749="PG",I749="G"),"Yes","No")</f>
        <v>Yes</v>
      </c>
      <c r="U749" s="11" t="str">
        <f>IF(P749&gt;=100,"High","Low")</f>
        <v>Low</v>
      </c>
      <c r="V749" s="28">
        <f t="shared" si="22"/>
        <v>6</v>
      </c>
      <c r="W749" s="29">
        <f t="shared" si="23"/>
        <v>133.33333333333331</v>
      </c>
    </row>
    <row r="750" spans="1:23" x14ac:dyDescent="0.3">
      <c r="A750" s="1" t="s">
        <v>2214</v>
      </c>
      <c r="B750" s="1" t="s">
        <v>2215</v>
      </c>
      <c r="C750" s="1" t="s">
        <v>18</v>
      </c>
      <c r="D750" s="1" t="s">
        <v>75</v>
      </c>
      <c r="E750" s="1">
        <v>2015</v>
      </c>
      <c r="F750" s="1" t="s">
        <v>38</v>
      </c>
      <c r="G750" s="1" t="s">
        <v>1673</v>
      </c>
      <c r="H750" s="1">
        <v>96</v>
      </c>
      <c r="I750" s="1" t="s">
        <v>110</v>
      </c>
      <c r="J750" s="1">
        <v>6.3</v>
      </c>
      <c r="K750" s="1">
        <v>16.3</v>
      </c>
      <c r="L750" s="1" t="s">
        <v>41</v>
      </c>
      <c r="M750" s="1" t="s">
        <v>54</v>
      </c>
      <c r="N750" s="1" t="s">
        <v>25</v>
      </c>
      <c r="O750" s="1"/>
      <c r="P750" s="1">
        <v>120</v>
      </c>
      <c r="Q750" s="1">
        <v>687.2</v>
      </c>
      <c r="R750" s="8" t="str">
        <f>_xlfn.IFS(J750&gt;=8,"Hit",J750&gt;=6,"Average",J750&lt;6,"Flop")</f>
        <v>Average</v>
      </c>
      <c r="S750" s="9" t="str">
        <f>_xlfn.IFS(K750&gt;=400,"Blockbuster",K750&gt;=200,"Popular",K750&lt;200,"Normal")</f>
        <v>Normal</v>
      </c>
      <c r="T750" s="10" t="str">
        <f>IF(OR(I750="PG",I750="G"),"Yes","No")</f>
        <v>No</v>
      </c>
      <c r="U750" s="11" t="str">
        <f>IF(P750&gt;=100,"High","Low")</f>
        <v>High</v>
      </c>
      <c r="V750" s="28">
        <f t="shared" si="22"/>
        <v>567.20000000000005</v>
      </c>
      <c r="W750" s="29">
        <f t="shared" si="23"/>
        <v>572.66666666666674</v>
      </c>
    </row>
    <row r="751" spans="1:23" x14ac:dyDescent="0.3">
      <c r="A751" s="1" t="s">
        <v>2216</v>
      </c>
      <c r="B751" s="1" t="s">
        <v>2217</v>
      </c>
      <c r="C751" s="1" t="s">
        <v>46</v>
      </c>
      <c r="D751" s="1" t="s">
        <v>37</v>
      </c>
      <c r="E751" s="1">
        <v>2009</v>
      </c>
      <c r="F751" s="1" t="s">
        <v>181</v>
      </c>
      <c r="G751" s="1" t="s">
        <v>2218</v>
      </c>
      <c r="H751" s="1">
        <v>33</v>
      </c>
      <c r="I751" s="1" t="s">
        <v>22</v>
      </c>
      <c r="J751" s="1">
        <v>8.1999999999999993</v>
      </c>
      <c r="K751" s="1">
        <v>233.9</v>
      </c>
      <c r="L751" s="1" t="s">
        <v>71</v>
      </c>
      <c r="M751" s="1" t="s">
        <v>132</v>
      </c>
      <c r="N751" s="1" t="s">
        <v>60</v>
      </c>
      <c r="O751" s="1">
        <v>6</v>
      </c>
      <c r="P751" s="1">
        <v>29</v>
      </c>
      <c r="Q751" s="1">
        <v>170.4</v>
      </c>
      <c r="R751" s="8" t="str">
        <f>_xlfn.IFS(J751&gt;=8,"Hit",J751&gt;=6,"Average",J751&lt;6,"Flop")</f>
        <v>Hit</v>
      </c>
      <c r="S751" s="9" t="str">
        <f>_xlfn.IFS(K751&gt;=400,"Blockbuster",K751&gt;=200,"Popular",K751&lt;200,"Normal")</f>
        <v>Popular</v>
      </c>
      <c r="T751" s="10" t="str">
        <f>IF(OR(I751="PG",I751="G"),"Yes","No")</f>
        <v>No</v>
      </c>
      <c r="U751" s="11" t="str">
        <f>IF(P751&gt;=100,"High","Low")</f>
        <v>Low</v>
      </c>
      <c r="V751" s="28">
        <f t="shared" si="22"/>
        <v>141.4</v>
      </c>
      <c r="W751" s="29">
        <f t="shared" si="23"/>
        <v>587.58620689655174</v>
      </c>
    </row>
    <row r="752" spans="1:23" x14ac:dyDescent="0.3">
      <c r="A752" s="1" t="s">
        <v>2219</v>
      </c>
      <c r="B752" s="1" t="s">
        <v>2220</v>
      </c>
      <c r="C752" s="1" t="s">
        <v>46</v>
      </c>
      <c r="D752" s="1" t="s">
        <v>58</v>
      </c>
      <c r="E752" s="1">
        <v>2020</v>
      </c>
      <c r="F752" s="1" t="s">
        <v>38</v>
      </c>
      <c r="G752" s="1" t="s">
        <v>503</v>
      </c>
      <c r="H752" s="1">
        <v>60</v>
      </c>
      <c r="I752" s="1" t="s">
        <v>110</v>
      </c>
      <c r="J752" s="1">
        <v>7.2</v>
      </c>
      <c r="K752" s="1">
        <v>286.7</v>
      </c>
      <c r="L752" s="1" t="s">
        <v>65</v>
      </c>
      <c r="M752" s="1" t="s">
        <v>72</v>
      </c>
      <c r="N752" s="1" t="s">
        <v>178</v>
      </c>
      <c r="O752" s="1">
        <v>7</v>
      </c>
      <c r="P752" s="1">
        <v>153</v>
      </c>
      <c r="Q752" s="1">
        <v>362.7</v>
      </c>
      <c r="R752" s="8" t="str">
        <f>_xlfn.IFS(J752&gt;=8,"Hit",J752&gt;=6,"Average",J752&lt;6,"Flop")</f>
        <v>Average</v>
      </c>
      <c r="S752" s="9" t="str">
        <f>_xlfn.IFS(K752&gt;=400,"Blockbuster",K752&gt;=200,"Popular",K752&lt;200,"Normal")</f>
        <v>Popular</v>
      </c>
      <c r="T752" s="10" t="str">
        <f>IF(OR(I752="PG",I752="G"),"Yes","No")</f>
        <v>No</v>
      </c>
      <c r="U752" s="11" t="str">
        <f>IF(P752&gt;=100,"High","Low")</f>
        <v>High</v>
      </c>
      <c r="V752" s="28">
        <f t="shared" si="22"/>
        <v>209.7</v>
      </c>
      <c r="W752" s="29">
        <f t="shared" si="23"/>
        <v>237.05882352941177</v>
      </c>
    </row>
    <row r="753" spans="1:23" x14ac:dyDescent="0.3">
      <c r="A753" s="1" t="s">
        <v>2221</v>
      </c>
      <c r="B753" s="1" t="s">
        <v>2222</v>
      </c>
      <c r="C753" s="1" t="s">
        <v>46</v>
      </c>
      <c r="D753" s="1" t="s">
        <v>28</v>
      </c>
      <c r="E753" s="1">
        <v>2002</v>
      </c>
      <c r="F753" s="1" t="s">
        <v>48</v>
      </c>
      <c r="G753" s="1" t="s">
        <v>2223</v>
      </c>
      <c r="H753" s="1">
        <v>41</v>
      </c>
      <c r="I753" s="1" t="s">
        <v>22</v>
      </c>
      <c r="J753" s="1">
        <v>6.5</v>
      </c>
      <c r="K753" s="1">
        <v>52.2</v>
      </c>
      <c r="L753" s="1" t="s">
        <v>90</v>
      </c>
      <c r="M753" s="1" t="s">
        <v>97</v>
      </c>
      <c r="N753" s="1" t="s">
        <v>119</v>
      </c>
      <c r="O753" s="1">
        <v>2</v>
      </c>
      <c r="P753" s="1">
        <v>52</v>
      </c>
      <c r="Q753" s="1">
        <v>275.89999999999998</v>
      </c>
      <c r="R753" s="8" t="str">
        <f>_xlfn.IFS(J753&gt;=8,"Hit",J753&gt;=6,"Average",J753&lt;6,"Flop")</f>
        <v>Average</v>
      </c>
      <c r="S753" s="9" t="str">
        <f>_xlfn.IFS(K753&gt;=400,"Blockbuster",K753&gt;=200,"Popular",K753&lt;200,"Normal")</f>
        <v>Normal</v>
      </c>
      <c r="T753" s="10" t="str">
        <f>IF(OR(I753="PG",I753="G"),"Yes","No")</f>
        <v>No</v>
      </c>
      <c r="U753" s="11" t="str">
        <f>IF(P753&gt;=100,"High","Low")</f>
        <v>Low</v>
      </c>
      <c r="V753" s="28">
        <f t="shared" si="22"/>
        <v>223.89999999999998</v>
      </c>
      <c r="W753" s="29">
        <f t="shared" si="23"/>
        <v>530.57692307692298</v>
      </c>
    </row>
    <row r="754" spans="1:23" x14ac:dyDescent="0.3">
      <c r="A754" s="1" t="s">
        <v>2224</v>
      </c>
      <c r="B754" s="1" t="s">
        <v>2225</v>
      </c>
      <c r="C754" s="1" t="s">
        <v>46</v>
      </c>
      <c r="D754" s="1" t="s">
        <v>117</v>
      </c>
      <c r="E754" s="1">
        <v>2010</v>
      </c>
      <c r="F754" s="1" t="s">
        <v>29</v>
      </c>
      <c r="G754" s="1" t="s">
        <v>2226</v>
      </c>
      <c r="H754" s="1">
        <v>56</v>
      </c>
      <c r="I754" s="1" t="s">
        <v>50</v>
      </c>
      <c r="J754" s="1">
        <v>9.4</v>
      </c>
      <c r="K754" s="1">
        <v>539.5</v>
      </c>
      <c r="L754" s="1" t="s">
        <v>71</v>
      </c>
      <c r="M754" s="1" t="s">
        <v>78</v>
      </c>
      <c r="N754" s="1" t="s">
        <v>67</v>
      </c>
      <c r="O754" s="1">
        <v>7</v>
      </c>
      <c r="P754" s="1">
        <v>85</v>
      </c>
      <c r="Q754" s="1">
        <v>129.6</v>
      </c>
      <c r="R754" s="8" t="str">
        <f>_xlfn.IFS(J754&gt;=8,"Hit",J754&gt;=6,"Average",J754&lt;6,"Flop")</f>
        <v>Hit</v>
      </c>
      <c r="S754" s="9" t="str">
        <f>_xlfn.IFS(K754&gt;=400,"Blockbuster",K754&gt;=200,"Popular",K754&lt;200,"Normal")</f>
        <v>Blockbuster</v>
      </c>
      <c r="T754" s="10" t="str">
        <f>IF(OR(I754="PG",I754="G"),"Yes","No")</f>
        <v>Yes</v>
      </c>
      <c r="U754" s="11" t="str">
        <f>IF(P754&gt;=100,"High","Low")</f>
        <v>Low</v>
      </c>
      <c r="V754" s="28">
        <f t="shared" si="22"/>
        <v>44.599999999999994</v>
      </c>
      <c r="W754" s="29">
        <f t="shared" si="23"/>
        <v>152.47058823529412</v>
      </c>
    </row>
    <row r="755" spans="1:23" x14ac:dyDescent="0.3">
      <c r="A755" s="1" t="s">
        <v>2227</v>
      </c>
      <c r="B755" s="1" t="s">
        <v>2228</v>
      </c>
      <c r="C755" s="1" t="s">
        <v>46</v>
      </c>
      <c r="D755" s="1" t="s">
        <v>82</v>
      </c>
      <c r="E755" s="1">
        <v>2007</v>
      </c>
      <c r="F755" s="1" t="s">
        <v>122</v>
      </c>
      <c r="G755" s="1" t="s">
        <v>2229</v>
      </c>
      <c r="H755" s="1">
        <v>41</v>
      </c>
      <c r="I755" s="1" t="s">
        <v>50</v>
      </c>
      <c r="J755" s="1">
        <v>7</v>
      </c>
      <c r="K755" s="1">
        <v>113</v>
      </c>
      <c r="L755" s="1" t="s">
        <v>71</v>
      </c>
      <c r="M755" s="1" t="s">
        <v>33</v>
      </c>
      <c r="N755" s="1" t="s">
        <v>79</v>
      </c>
      <c r="O755" s="1">
        <v>3</v>
      </c>
      <c r="P755" s="1">
        <v>61</v>
      </c>
      <c r="Q755" s="1">
        <v>169.6</v>
      </c>
      <c r="R755" s="8" t="str">
        <f>_xlfn.IFS(J755&gt;=8,"Hit",J755&gt;=6,"Average",J755&lt;6,"Flop")</f>
        <v>Average</v>
      </c>
      <c r="S755" s="9" t="str">
        <f>_xlfn.IFS(K755&gt;=400,"Blockbuster",K755&gt;=200,"Popular",K755&lt;200,"Normal")</f>
        <v>Normal</v>
      </c>
      <c r="T755" s="10" t="str">
        <f>IF(OR(I755="PG",I755="G"),"Yes","No")</f>
        <v>Yes</v>
      </c>
      <c r="U755" s="11" t="str">
        <f>IF(P755&gt;=100,"High","Low")</f>
        <v>Low</v>
      </c>
      <c r="V755" s="28">
        <f t="shared" si="22"/>
        <v>108.6</v>
      </c>
      <c r="W755" s="29">
        <f t="shared" si="23"/>
        <v>278.03278688524591</v>
      </c>
    </row>
    <row r="756" spans="1:23" x14ac:dyDescent="0.3">
      <c r="A756" s="1" t="s">
        <v>2230</v>
      </c>
      <c r="B756" s="1" t="s">
        <v>2231</v>
      </c>
      <c r="C756" s="1" t="s">
        <v>18</v>
      </c>
      <c r="D756" s="1" t="s">
        <v>28</v>
      </c>
      <c r="E756" s="1">
        <v>2010</v>
      </c>
      <c r="F756" s="1" t="s">
        <v>181</v>
      </c>
      <c r="G756" s="1" t="s">
        <v>2232</v>
      </c>
      <c r="H756" s="1">
        <v>110</v>
      </c>
      <c r="I756" s="1" t="s">
        <v>110</v>
      </c>
      <c r="J756" s="1">
        <v>6.4</v>
      </c>
      <c r="K756" s="1">
        <v>255.6</v>
      </c>
      <c r="L756" s="1" t="s">
        <v>65</v>
      </c>
      <c r="M756" s="1" t="s">
        <v>111</v>
      </c>
      <c r="N756" s="1" t="s">
        <v>102</v>
      </c>
      <c r="O756" s="1"/>
      <c r="P756" s="1">
        <v>110</v>
      </c>
      <c r="Q756" s="1">
        <v>504.8</v>
      </c>
      <c r="R756" s="8" t="str">
        <f>_xlfn.IFS(J756&gt;=8,"Hit",J756&gt;=6,"Average",J756&lt;6,"Flop")</f>
        <v>Average</v>
      </c>
      <c r="S756" s="9" t="str">
        <f>_xlfn.IFS(K756&gt;=400,"Blockbuster",K756&gt;=200,"Popular",K756&lt;200,"Normal")</f>
        <v>Popular</v>
      </c>
      <c r="T756" s="10" t="str">
        <f>IF(OR(I756="PG",I756="G"),"Yes","No")</f>
        <v>No</v>
      </c>
      <c r="U756" s="11" t="str">
        <f>IF(P756&gt;=100,"High","Low")</f>
        <v>High</v>
      </c>
      <c r="V756" s="28">
        <f t="shared" si="22"/>
        <v>394.8</v>
      </c>
      <c r="W756" s="29">
        <f t="shared" si="23"/>
        <v>458.90909090909088</v>
      </c>
    </row>
    <row r="757" spans="1:23" x14ac:dyDescent="0.3">
      <c r="A757" s="1" t="s">
        <v>2233</v>
      </c>
      <c r="B757" s="1" t="s">
        <v>2234</v>
      </c>
      <c r="C757" s="1" t="s">
        <v>18</v>
      </c>
      <c r="D757" s="1" t="s">
        <v>117</v>
      </c>
      <c r="E757" s="1">
        <v>2021</v>
      </c>
      <c r="F757" s="1" t="s">
        <v>48</v>
      </c>
      <c r="G757" s="1" t="s">
        <v>2235</v>
      </c>
      <c r="H757" s="1">
        <v>88</v>
      </c>
      <c r="I757" s="1" t="s">
        <v>22</v>
      </c>
      <c r="J757" s="1">
        <v>5.9</v>
      </c>
      <c r="K757" s="1">
        <v>499.7</v>
      </c>
      <c r="L757" s="1" t="s">
        <v>90</v>
      </c>
      <c r="M757" s="1" t="s">
        <v>97</v>
      </c>
      <c r="N757" s="1" t="s">
        <v>128</v>
      </c>
      <c r="O757" s="1"/>
      <c r="P757" s="1">
        <v>37</v>
      </c>
      <c r="Q757" s="1">
        <v>183.3</v>
      </c>
      <c r="R757" s="8" t="str">
        <f>_xlfn.IFS(J757&gt;=8,"Hit",J757&gt;=6,"Average",J757&lt;6,"Flop")</f>
        <v>Flop</v>
      </c>
      <c r="S757" s="9" t="str">
        <f>_xlfn.IFS(K757&gt;=400,"Blockbuster",K757&gt;=200,"Popular",K757&lt;200,"Normal")</f>
        <v>Blockbuster</v>
      </c>
      <c r="T757" s="10" t="str">
        <f>IF(OR(I757="PG",I757="G"),"Yes","No")</f>
        <v>No</v>
      </c>
      <c r="U757" s="11" t="str">
        <f>IF(P757&gt;=100,"High","Low")</f>
        <v>Low</v>
      </c>
      <c r="V757" s="28">
        <f t="shared" si="22"/>
        <v>146.30000000000001</v>
      </c>
      <c r="W757" s="29">
        <f t="shared" si="23"/>
        <v>495.40540540540547</v>
      </c>
    </row>
    <row r="758" spans="1:23" x14ac:dyDescent="0.3">
      <c r="A758" s="1" t="s">
        <v>2236</v>
      </c>
      <c r="B758" s="1" t="s">
        <v>2237</v>
      </c>
      <c r="C758" s="1" t="s">
        <v>18</v>
      </c>
      <c r="D758" s="1" t="s">
        <v>58</v>
      </c>
      <c r="E758" s="1">
        <v>2018</v>
      </c>
      <c r="F758" s="1" t="s">
        <v>29</v>
      </c>
      <c r="G758" s="1" t="s">
        <v>414</v>
      </c>
      <c r="H758" s="1">
        <v>133</v>
      </c>
      <c r="I758" s="1" t="s">
        <v>40</v>
      </c>
      <c r="J758" s="1">
        <v>4.8</v>
      </c>
      <c r="K758" s="1">
        <v>329.2</v>
      </c>
      <c r="L758" s="1" t="s">
        <v>71</v>
      </c>
      <c r="M758" s="1" t="s">
        <v>111</v>
      </c>
      <c r="N758" s="1" t="s">
        <v>119</v>
      </c>
      <c r="O758" s="1"/>
      <c r="P758" s="1">
        <v>146</v>
      </c>
      <c r="Q758" s="1">
        <v>891.2</v>
      </c>
      <c r="R758" s="8" t="str">
        <f>_xlfn.IFS(J758&gt;=8,"Hit",J758&gt;=6,"Average",J758&lt;6,"Flop")</f>
        <v>Flop</v>
      </c>
      <c r="S758" s="9" t="str">
        <f>_xlfn.IFS(K758&gt;=400,"Blockbuster",K758&gt;=200,"Popular",K758&lt;200,"Normal")</f>
        <v>Popular</v>
      </c>
      <c r="T758" s="10" t="str">
        <f>IF(OR(I758="PG",I758="G"),"Yes","No")</f>
        <v>Yes</v>
      </c>
      <c r="U758" s="11" t="str">
        <f>IF(P758&gt;=100,"High","Low")</f>
        <v>High</v>
      </c>
      <c r="V758" s="28">
        <f t="shared" si="22"/>
        <v>745.2</v>
      </c>
      <c r="W758" s="29">
        <f t="shared" si="23"/>
        <v>610.41095890410963</v>
      </c>
    </row>
    <row r="759" spans="1:23" x14ac:dyDescent="0.3">
      <c r="A759" s="1" t="s">
        <v>2238</v>
      </c>
      <c r="B759" s="1" t="s">
        <v>2239</v>
      </c>
      <c r="C759" s="1" t="s">
        <v>46</v>
      </c>
      <c r="D759" s="1" t="s">
        <v>141</v>
      </c>
      <c r="E759" s="1">
        <v>2016</v>
      </c>
      <c r="F759" s="1" t="s">
        <v>100</v>
      </c>
      <c r="G759" s="1" t="s">
        <v>2240</v>
      </c>
      <c r="H759" s="1">
        <v>59</v>
      </c>
      <c r="I759" s="1" t="s">
        <v>50</v>
      </c>
      <c r="J759" s="1">
        <v>5.9</v>
      </c>
      <c r="K759" s="1">
        <v>23.9</v>
      </c>
      <c r="L759" s="1" t="s">
        <v>90</v>
      </c>
      <c r="M759" s="1" t="s">
        <v>132</v>
      </c>
      <c r="N759" s="1" t="s">
        <v>128</v>
      </c>
      <c r="O759" s="1">
        <v>6</v>
      </c>
      <c r="P759" s="1">
        <v>88</v>
      </c>
      <c r="Q759" s="1">
        <v>171.4</v>
      </c>
      <c r="R759" s="8" t="str">
        <f>_xlfn.IFS(J759&gt;=8,"Hit",J759&gt;=6,"Average",J759&lt;6,"Flop")</f>
        <v>Flop</v>
      </c>
      <c r="S759" s="9" t="str">
        <f>_xlfn.IFS(K759&gt;=400,"Blockbuster",K759&gt;=200,"Popular",K759&lt;200,"Normal")</f>
        <v>Normal</v>
      </c>
      <c r="T759" s="10" t="str">
        <f>IF(OR(I759="PG",I759="G"),"Yes","No")</f>
        <v>Yes</v>
      </c>
      <c r="U759" s="11" t="str">
        <f>IF(P759&gt;=100,"High","Low")</f>
        <v>Low</v>
      </c>
      <c r="V759" s="28">
        <f t="shared" si="22"/>
        <v>83.4</v>
      </c>
      <c r="W759" s="29">
        <f t="shared" si="23"/>
        <v>194.77272727272728</v>
      </c>
    </row>
    <row r="760" spans="1:23" x14ac:dyDescent="0.3">
      <c r="A760" s="1" t="s">
        <v>2241</v>
      </c>
      <c r="B760" s="1" t="s">
        <v>2242</v>
      </c>
      <c r="C760" s="1" t="s">
        <v>46</v>
      </c>
      <c r="D760" s="1" t="s">
        <v>19</v>
      </c>
      <c r="E760" s="1">
        <v>2003</v>
      </c>
      <c r="F760" s="1" t="s">
        <v>38</v>
      </c>
      <c r="G760" s="1" t="s">
        <v>2243</v>
      </c>
      <c r="H760" s="1">
        <v>48</v>
      </c>
      <c r="I760" s="1" t="s">
        <v>50</v>
      </c>
      <c r="J760" s="1">
        <v>6.4</v>
      </c>
      <c r="K760" s="1">
        <v>466.7</v>
      </c>
      <c r="L760" s="1" t="s">
        <v>41</v>
      </c>
      <c r="M760" s="1" t="s">
        <v>146</v>
      </c>
      <c r="N760" s="1" t="s">
        <v>128</v>
      </c>
      <c r="O760" s="1">
        <v>3</v>
      </c>
      <c r="P760" s="1">
        <v>12</v>
      </c>
      <c r="Q760" s="1">
        <v>48.1</v>
      </c>
      <c r="R760" s="8" t="str">
        <f>_xlfn.IFS(J760&gt;=8,"Hit",J760&gt;=6,"Average",J760&lt;6,"Flop")</f>
        <v>Average</v>
      </c>
      <c r="S760" s="9" t="str">
        <f>_xlfn.IFS(K760&gt;=400,"Blockbuster",K760&gt;=200,"Popular",K760&lt;200,"Normal")</f>
        <v>Blockbuster</v>
      </c>
      <c r="T760" s="10" t="str">
        <f>IF(OR(I760="PG",I760="G"),"Yes","No")</f>
        <v>Yes</v>
      </c>
      <c r="U760" s="11" t="str">
        <f>IF(P760&gt;=100,"High","Low")</f>
        <v>Low</v>
      </c>
      <c r="V760" s="28">
        <f t="shared" si="22"/>
        <v>36.1</v>
      </c>
      <c r="W760" s="29">
        <f t="shared" si="23"/>
        <v>400.83333333333337</v>
      </c>
    </row>
    <row r="761" spans="1:23" x14ac:dyDescent="0.3">
      <c r="A761" s="1" t="s">
        <v>2244</v>
      </c>
      <c r="B761" s="1" t="s">
        <v>2245</v>
      </c>
      <c r="C761" s="1" t="s">
        <v>46</v>
      </c>
      <c r="D761" s="1" t="s">
        <v>19</v>
      </c>
      <c r="E761" s="1">
        <v>2019</v>
      </c>
      <c r="F761" s="1" t="s">
        <v>122</v>
      </c>
      <c r="G761" s="1" t="s">
        <v>2246</v>
      </c>
      <c r="H761" s="1">
        <v>45</v>
      </c>
      <c r="I761" s="1" t="s">
        <v>110</v>
      </c>
      <c r="J761" s="1">
        <v>4.5</v>
      </c>
      <c r="K761" s="1">
        <v>335.4</v>
      </c>
      <c r="L761" s="1" t="s">
        <v>23</v>
      </c>
      <c r="M761" s="1" t="s">
        <v>24</v>
      </c>
      <c r="N761" s="1" t="s">
        <v>91</v>
      </c>
      <c r="O761" s="1">
        <v>8</v>
      </c>
      <c r="P761" s="1">
        <v>140</v>
      </c>
      <c r="Q761" s="1">
        <v>270</v>
      </c>
      <c r="R761" s="8" t="str">
        <f>_xlfn.IFS(J761&gt;=8,"Hit",J761&gt;=6,"Average",J761&lt;6,"Flop")</f>
        <v>Flop</v>
      </c>
      <c r="S761" s="9" t="str">
        <f>_xlfn.IFS(K761&gt;=400,"Blockbuster",K761&gt;=200,"Popular",K761&lt;200,"Normal")</f>
        <v>Popular</v>
      </c>
      <c r="T761" s="10" t="str">
        <f>IF(OR(I761="PG",I761="G"),"Yes","No")</f>
        <v>No</v>
      </c>
      <c r="U761" s="11" t="str">
        <f>IF(P761&gt;=100,"High","Low")</f>
        <v>High</v>
      </c>
      <c r="V761" s="28">
        <f t="shared" si="22"/>
        <v>130</v>
      </c>
      <c r="W761" s="29">
        <f t="shared" si="23"/>
        <v>192.85714285714286</v>
      </c>
    </row>
    <row r="762" spans="1:23" x14ac:dyDescent="0.3">
      <c r="A762" s="1" t="s">
        <v>2247</v>
      </c>
      <c r="B762" s="1" t="s">
        <v>2248</v>
      </c>
      <c r="C762" s="1" t="s">
        <v>18</v>
      </c>
      <c r="D762" s="1" t="s">
        <v>37</v>
      </c>
      <c r="E762" s="1">
        <v>2025</v>
      </c>
      <c r="F762" s="1" t="s">
        <v>48</v>
      </c>
      <c r="G762" s="1" t="s">
        <v>2249</v>
      </c>
      <c r="H762" s="1">
        <v>145</v>
      </c>
      <c r="I762" s="1" t="s">
        <v>110</v>
      </c>
      <c r="J762" s="1">
        <v>8.5</v>
      </c>
      <c r="K762" s="1">
        <v>117.9</v>
      </c>
      <c r="L762" s="1" t="s">
        <v>90</v>
      </c>
      <c r="M762" s="1" t="s">
        <v>24</v>
      </c>
      <c r="N762" s="1" t="s">
        <v>86</v>
      </c>
      <c r="O762" s="1"/>
      <c r="P762" s="1">
        <v>17</v>
      </c>
      <c r="Q762" s="1">
        <v>43.5</v>
      </c>
      <c r="R762" s="8" t="str">
        <f>_xlfn.IFS(J762&gt;=8,"Hit",J762&gt;=6,"Average",J762&lt;6,"Flop")</f>
        <v>Hit</v>
      </c>
      <c r="S762" s="9" t="str">
        <f>_xlfn.IFS(K762&gt;=400,"Blockbuster",K762&gt;=200,"Popular",K762&lt;200,"Normal")</f>
        <v>Normal</v>
      </c>
      <c r="T762" s="10" t="str">
        <f>IF(OR(I762="PG",I762="G"),"Yes","No")</f>
        <v>No</v>
      </c>
      <c r="U762" s="11" t="str">
        <f>IF(P762&gt;=100,"High","Low")</f>
        <v>Low</v>
      </c>
      <c r="V762" s="28">
        <f t="shared" si="22"/>
        <v>26.5</v>
      </c>
      <c r="W762" s="29">
        <f t="shared" si="23"/>
        <v>255.88235294117646</v>
      </c>
    </row>
    <row r="763" spans="1:23" x14ac:dyDescent="0.3">
      <c r="A763" s="1" t="s">
        <v>2250</v>
      </c>
      <c r="B763" s="1" t="s">
        <v>2251</v>
      </c>
      <c r="C763" s="1" t="s">
        <v>18</v>
      </c>
      <c r="D763" s="1" t="s">
        <v>63</v>
      </c>
      <c r="E763" s="1">
        <v>2008</v>
      </c>
      <c r="F763" s="1" t="s">
        <v>95</v>
      </c>
      <c r="G763" s="1" t="s">
        <v>2252</v>
      </c>
      <c r="H763" s="1">
        <v>87</v>
      </c>
      <c r="I763" s="1" t="s">
        <v>50</v>
      </c>
      <c r="J763" s="1">
        <v>8.9</v>
      </c>
      <c r="K763" s="1">
        <v>35.6</v>
      </c>
      <c r="L763" s="1" t="s">
        <v>171</v>
      </c>
      <c r="M763" s="1" t="s">
        <v>106</v>
      </c>
      <c r="N763" s="1" t="s">
        <v>60</v>
      </c>
      <c r="O763" s="1"/>
      <c r="P763" s="1">
        <v>116</v>
      </c>
      <c r="Q763" s="1">
        <v>312.10000000000002</v>
      </c>
      <c r="R763" s="8" t="str">
        <f>_xlfn.IFS(J763&gt;=8,"Hit",J763&gt;=6,"Average",J763&lt;6,"Flop")</f>
        <v>Hit</v>
      </c>
      <c r="S763" s="9" t="str">
        <f>_xlfn.IFS(K763&gt;=400,"Blockbuster",K763&gt;=200,"Popular",K763&lt;200,"Normal")</f>
        <v>Normal</v>
      </c>
      <c r="T763" s="10" t="str">
        <f>IF(OR(I763="PG",I763="G"),"Yes","No")</f>
        <v>Yes</v>
      </c>
      <c r="U763" s="11" t="str">
        <f>IF(P763&gt;=100,"High","Low")</f>
        <v>High</v>
      </c>
      <c r="V763" s="28">
        <f t="shared" si="22"/>
        <v>196.10000000000002</v>
      </c>
      <c r="W763" s="29">
        <f t="shared" si="23"/>
        <v>269.05172413793105</v>
      </c>
    </row>
    <row r="764" spans="1:23" x14ac:dyDescent="0.3">
      <c r="A764" s="1" t="s">
        <v>2253</v>
      </c>
      <c r="B764" s="1" t="s">
        <v>2254</v>
      </c>
      <c r="C764" s="1" t="s">
        <v>18</v>
      </c>
      <c r="D764" s="1" t="s">
        <v>37</v>
      </c>
      <c r="E764" s="1">
        <v>2003</v>
      </c>
      <c r="F764" s="1" t="s">
        <v>100</v>
      </c>
      <c r="G764" s="1" t="s">
        <v>2255</v>
      </c>
      <c r="H764" s="1">
        <v>89</v>
      </c>
      <c r="I764" s="1" t="s">
        <v>40</v>
      </c>
      <c r="J764" s="1">
        <v>5.6</v>
      </c>
      <c r="K764" s="1">
        <v>438.8</v>
      </c>
      <c r="L764" s="1" t="s">
        <v>41</v>
      </c>
      <c r="M764" s="1" t="s">
        <v>132</v>
      </c>
      <c r="N764" s="1" t="s">
        <v>60</v>
      </c>
      <c r="O764" s="1"/>
      <c r="P764" s="1">
        <v>200</v>
      </c>
      <c r="Q764" s="1">
        <v>470.3</v>
      </c>
      <c r="R764" s="8" t="str">
        <f>_xlfn.IFS(J764&gt;=8,"Hit",J764&gt;=6,"Average",J764&lt;6,"Flop")</f>
        <v>Flop</v>
      </c>
      <c r="S764" s="9" t="str">
        <f>_xlfn.IFS(K764&gt;=400,"Blockbuster",K764&gt;=200,"Popular",K764&lt;200,"Normal")</f>
        <v>Blockbuster</v>
      </c>
      <c r="T764" s="10" t="str">
        <f>IF(OR(I764="PG",I764="G"),"Yes","No")</f>
        <v>Yes</v>
      </c>
      <c r="U764" s="11" t="str">
        <f>IF(P764&gt;=100,"High","Low")</f>
        <v>High</v>
      </c>
      <c r="V764" s="28">
        <f t="shared" si="22"/>
        <v>270.3</v>
      </c>
      <c r="W764" s="29">
        <f t="shared" si="23"/>
        <v>235.15</v>
      </c>
    </row>
    <row r="765" spans="1:23" x14ac:dyDescent="0.3">
      <c r="A765" s="1" t="s">
        <v>2256</v>
      </c>
      <c r="B765" s="1" t="s">
        <v>2257</v>
      </c>
      <c r="C765" s="1" t="s">
        <v>46</v>
      </c>
      <c r="D765" s="1" t="s">
        <v>94</v>
      </c>
      <c r="E765" s="1">
        <v>2006</v>
      </c>
      <c r="F765" s="1" t="s">
        <v>122</v>
      </c>
      <c r="G765" s="1" t="s">
        <v>2258</v>
      </c>
      <c r="H765" s="1">
        <v>43</v>
      </c>
      <c r="I765" s="1" t="s">
        <v>31</v>
      </c>
      <c r="J765" s="1">
        <v>6.4</v>
      </c>
      <c r="K765" s="1">
        <v>539.70000000000005</v>
      </c>
      <c r="L765" s="1" t="s">
        <v>65</v>
      </c>
      <c r="M765" s="1" t="s">
        <v>146</v>
      </c>
      <c r="N765" s="1" t="s">
        <v>91</v>
      </c>
      <c r="O765" s="1">
        <v>2</v>
      </c>
      <c r="P765" s="1">
        <v>73</v>
      </c>
      <c r="Q765" s="1">
        <v>406.7</v>
      </c>
      <c r="R765" s="8" t="str">
        <f>_xlfn.IFS(J765&gt;=8,"Hit",J765&gt;=6,"Average",J765&lt;6,"Flop")</f>
        <v>Average</v>
      </c>
      <c r="S765" s="9" t="str">
        <f>_xlfn.IFS(K765&gt;=400,"Blockbuster",K765&gt;=200,"Popular",K765&lt;200,"Normal")</f>
        <v>Blockbuster</v>
      </c>
      <c r="T765" s="10" t="str">
        <f>IF(OR(I765="PG",I765="G"),"Yes","No")</f>
        <v>No</v>
      </c>
      <c r="U765" s="11" t="str">
        <f>IF(P765&gt;=100,"High","Low")</f>
        <v>Low</v>
      </c>
      <c r="V765" s="28">
        <f t="shared" si="22"/>
        <v>333.7</v>
      </c>
      <c r="W765" s="29">
        <f t="shared" si="23"/>
        <v>557.1232876712329</v>
      </c>
    </row>
    <row r="766" spans="1:23" x14ac:dyDescent="0.3">
      <c r="A766" s="1" t="s">
        <v>2259</v>
      </c>
      <c r="B766" s="1" t="s">
        <v>2260</v>
      </c>
      <c r="C766" s="1" t="s">
        <v>18</v>
      </c>
      <c r="D766" s="1" t="s">
        <v>37</v>
      </c>
      <c r="E766" s="1">
        <v>2022</v>
      </c>
      <c r="F766" s="1" t="s">
        <v>122</v>
      </c>
      <c r="G766" s="1" t="s">
        <v>2261</v>
      </c>
      <c r="H766" s="1">
        <v>85</v>
      </c>
      <c r="I766" s="1" t="s">
        <v>110</v>
      </c>
      <c r="J766" s="1">
        <v>8</v>
      </c>
      <c r="K766" s="1">
        <v>519.9</v>
      </c>
      <c r="L766" s="1" t="s">
        <v>32</v>
      </c>
      <c r="M766" s="1" t="s">
        <v>54</v>
      </c>
      <c r="N766" s="1" t="s">
        <v>60</v>
      </c>
      <c r="O766" s="1"/>
      <c r="P766" s="1">
        <v>112</v>
      </c>
      <c r="Q766" s="1">
        <v>534.79999999999995</v>
      </c>
      <c r="R766" s="8" t="str">
        <f>_xlfn.IFS(J766&gt;=8,"Hit",J766&gt;=6,"Average",J766&lt;6,"Flop")</f>
        <v>Hit</v>
      </c>
      <c r="S766" s="9" t="str">
        <f>_xlfn.IFS(K766&gt;=400,"Blockbuster",K766&gt;=200,"Popular",K766&lt;200,"Normal")</f>
        <v>Blockbuster</v>
      </c>
      <c r="T766" s="10" t="str">
        <f>IF(OR(I766="PG",I766="G"),"Yes","No")</f>
        <v>No</v>
      </c>
      <c r="U766" s="11" t="str">
        <f>IF(P766&gt;=100,"High","Low")</f>
        <v>High</v>
      </c>
      <c r="V766" s="28">
        <f t="shared" si="22"/>
        <v>422.79999999999995</v>
      </c>
      <c r="W766" s="29">
        <f t="shared" si="23"/>
        <v>477.49999999999994</v>
      </c>
    </row>
    <row r="767" spans="1:23" x14ac:dyDescent="0.3">
      <c r="A767" s="1" t="s">
        <v>2262</v>
      </c>
      <c r="B767" s="1" t="s">
        <v>2263</v>
      </c>
      <c r="C767" s="1" t="s">
        <v>18</v>
      </c>
      <c r="D767" s="1" t="s">
        <v>63</v>
      </c>
      <c r="E767" s="1">
        <v>2005</v>
      </c>
      <c r="F767" s="1" t="s">
        <v>20</v>
      </c>
      <c r="G767" s="1" t="s">
        <v>2264</v>
      </c>
      <c r="H767" s="1">
        <v>104</v>
      </c>
      <c r="I767" s="1" t="s">
        <v>110</v>
      </c>
      <c r="J767" s="1">
        <v>6.7</v>
      </c>
      <c r="K767" s="1">
        <v>516.4</v>
      </c>
      <c r="L767" s="1" t="s">
        <v>71</v>
      </c>
      <c r="M767" s="1" t="s">
        <v>72</v>
      </c>
      <c r="N767" s="1" t="s">
        <v>67</v>
      </c>
      <c r="O767" s="1"/>
      <c r="P767" s="1">
        <v>138</v>
      </c>
      <c r="Q767" s="1">
        <v>601</v>
      </c>
      <c r="R767" s="8" t="str">
        <f>_xlfn.IFS(J767&gt;=8,"Hit",J767&gt;=6,"Average",J767&lt;6,"Flop")</f>
        <v>Average</v>
      </c>
      <c r="S767" s="9" t="str">
        <f>_xlfn.IFS(K767&gt;=400,"Blockbuster",K767&gt;=200,"Popular",K767&lt;200,"Normal")</f>
        <v>Blockbuster</v>
      </c>
      <c r="T767" s="10" t="str">
        <f>IF(OR(I767="PG",I767="G"),"Yes","No")</f>
        <v>No</v>
      </c>
      <c r="U767" s="11" t="str">
        <f>IF(P767&gt;=100,"High","Low")</f>
        <v>High</v>
      </c>
      <c r="V767" s="28">
        <f t="shared" si="22"/>
        <v>463</v>
      </c>
      <c r="W767" s="29">
        <f t="shared" si="23"/>
        <v>435.50724637681162</v>
      </c>
    </row>
    <row r="768" spans="1:23" x14ac:dyDescent="0.3">
      <c r="A768" s="1" t="s">
        <v>2265</v>
      </c>
      <c r="B768" s="1" t="s">
        <v>2266</v>
      </c>
      <c r="C768" s="1" t="s">
        <v>46</v>
      </c>
      <c r="D768" s="1" t="s">
        <v>37</v>
      </c>
      <c r="E768" s="1">
        <v>2003</v>
      </c>
      <c r="F768" s="1" t="s">
        <v>38</v>
      </c>
      <c r="G768" s="1" t="s">
        <v>577</v>
      </c>
      <c r="H768" s="1">
        <v>33</v>
      </c>
      <c r="I768" s="1" t="s">
        <v>110</v>
      </c>
      <c r="J768" s="1">
        <v>7.7</v>
      </c>
      <c r="K768" s="1">
        <v>205.3</v>
      </c>
      <c r="L768" s="1" t="s">
        <v>41</v>
      </c>
      <c r="M768" s="1" t="s">
        <v>24</v>
      </c>
      <c r="N768" s="1" t="s">
        <v>91</v>
      </c>
      <c r="O768" s="1">
        <v>6</v>
      </c>
      <c r="P768" s="1">
        <v>70</v>
      </c>
      <c r="Q768" s="1">
        <v>100.7</v>
      </c>
      <c r="R768" s="8" t="str">
        <f>_xlfn.IFS(J768&gt;=8,"Hit",J768&gt;=6,"Average",J768&lt;6,"Flop")</f>
        <v>Average</v>
      </c>
      <c r="S768" s="9" t="str">
        <f>_xlfn.IFS(K768&gt;=400,"Blockbuster",K768&gt;=200,"Popular",K768&lt;200,"Normal")</f>
        <v>Popular</v>
      </c>
      <c r="T768" s="10" t="str">
        <f>IF(OR(I768="PG",I768="G"),"Yes","No")</f>
        <v>No</v>
      </c>
      <c r="U768" s="11" t="str">
        <f>IF(P768&gt;=100,"High","Low")</f>
        <v>Low</v>
      </c>
      <c r="V768" s="28">
        <f t="shared" si="22"/>
        <v>30.700000000000003</v>
      </c>
      <c r="W768" s="29">
        <f t="shared" si="23"/>
        <v>143.85714285714286</v>
      </c>
    </row>
    <row r="769" spans="1:23" x14ac:dyDescent="0.3">
      <c r="A769" s="1" t="s">
        <v>2267</v>
      </c>
      <c r="B769" s="1" t="s">
        <v>2268</v>
      </c>
      <c r="C769" s="1" t="s">
        <v>18</v>
      </c>
      <c r="D769" s="1" t="s">
        <v>28</v>
      </c>
      <c r="E769" s="1">
        <v>2023</v>
      </c>
      <c r="F769" s="1" t="s">
        <v>76</v>
      </c>
      <c r="G769" s="1" t="s">
        <v>630</v>
      </c>
      <c r="H769" s="1">
        <v>168</v>
      </c>
      <c r="I769" s="1" t="s">
        <v>40</v>
      </c>
      <c r="J769" s="1">
        <v>7.2</v>
      </c>
      <c r="K769" s="1">
        <v>230.6</v>
      </c>
      <c r="L769" s="1" t="s">
        <v>171</v>
      </c>
      <c r="M769" s="1" t="s">
        <v>33</v>
      </c>
      <c r="N769" s="1" t="s">
        <v>158</v>
      </c>
      <c r="O769" s="1"/>
      <c r="P769" s="1">
        <v>36</v>
      </c>
      <c r="Q769" s="1">
        <v>132.4</v>
      </c>
      <c r="R769" s="8" t="str">
        <f>_xlfn.IFS(J769&gt;=8,"Hit",J769&gt;=6,"Average",J769&lt;6,"Flop")</f>
        <v>Average</v>
      </c>
      <c r="S769" s="9" t="str">
        <f>_xlfn.IFS(K769&gt;=400,"Blockbuster",K769&gt;=200,"Popular",K769&lt;200,"Normal")</f>
        <v>Popular</v>
      </c>
      <c r="T769" s="10" t="str">
        <f>IF(OR(I769="PG",I769="G"),"Yes","No")</f>
        <v>Yes</v>
      </c>
      <c r="U769" s="11" t="str">
        <f>IF(P769&gt;=100,"High","Low")</f>
        <v>Low</v>
      </c>
      <c r="V769" s="28">
        <f t="shared" si="22"/>
        <v>96.4</v>
      </c>
      <c r="W769" s="29">
        <f t="shared" si="23"/>
        <v>367.77777777777783</v>
      </c>
    </row>
    <row r="770" spans="1:23" x14ac:dyDescent="0.3">
      <c r="A770" s="1" t="s">
        <v>2269</v>
      </c>
      <c r="B770" s="1" t="s">
        <v>2270</v>
      </c>
      <c r="C770" s="1" t="s">
        <v>46</v>
      </c>
      <c r="D770" s="1" t="s">
        <v>75</v>
      </c>
      <c r="E770" s="1">
        <v>2022</v>
      </c>
      <c r="F770" s="1" t="s">
        <v>181</v>
      </c>
      <c r="G770" s="1" t="s">
        <v>2271</v>
      </c>
      <c r="H770" s="1">
        <v>52</v>
      </c>
      <c r="I770" s="1" t="s">
        <v>22</v>
      </c>
      <c r="J770" s="1">
        <v>4.9000000000000004</v>
      </c>
      <c r="K770" s="1">
        <v>573.29999999999995</v>
      </c>
      <c r="L770" s="1" t="s">
        <v>23</v>
      </c>
      <c r="M770" s="1" t="s">
        <v>106</v>
      </c>
      <c r="N770" s="1" t="s">
        <v>86</v>
      </c>
      <c r="O770" s="1">
        <v>2</v>
      </c>
      <c r="P770" s="1">
        <v>164</v>
      </c>
      <c r="Q770" s="1">
        <v>1023.4</v>
      </c>
      <c r="R770" s="8" t="str">
        <f>_xlfn.IFS(J770&gt;=8,"Hit",J770&gt;=6,"Average",J770&lt;6,"Flop")</f>
        <v>Flop</v>
      </c>
      <c r="S770" s="9" t="str">
        <f>_xlfn.IFS(K770&gt;=400,"Blockbuster",K770&gt;=200,"Popular",K770&lt;200,"Normal")</f>
        <v>Blockbuster</v>
      </c>
      <c r="T770" s="10" t="str">
        <f>IF(OR(I770="PG",I770="G"),"Yes","No")</f>
        <v>No</v>
      </c>
      <c r="U770" s="11" t="str">
        <f>IF(P770&gt;=100,"High","Low")</f>
        <v>High</v>
      </c>
      <c r="V770" s="28">
        <f t="shared" si="22"/>
        <v>859.4</v>
      </c>
      <c r="W770" s="29">
        <f t="shared" si="23"/>
        <v>624.02439024390242</v>
      </c>
    </row>
    <row r="771" spans="1:23" x14ac:dyDescent="0.3">
      <c r="A771" s="1" t="s">
        <v>2272</v>
      </c>
      <c r="B771" s="1" t="s">
        <v>2273</v>
      </c>
      <c r="C771" s="1" t="s">
        <v>18</v>
      </c>
      <c r="D771" s="1" t="s">
        <v>37</v>
      </c>
      <c r="E771" s="1">
        <v>2011</v>
      </c>
      <c r="F771" s="1" t="s">
        <v>20</v>
      </c>
      <c r="G771" s="1" t="s">
        <v>820</v>
      </c>
      <c r="H771" s="1">
        <v>172</v>
      </c>
      <c r="I771" s="1" t="s">
        <v>22</v>
      </c>
      <c r="J771" s="1">
        <v>5.3</v>
      </c>
      <c r="K771" s="1">
        <v>565.70000000000005</v>
      </c>
      <c r="L771" s="1" t="s">
        <v>23</v>
      </c>
      <c r="M771" s="1" t="s">
        <v>157</v>
      </c>
      <c r="N771" s="1" t="s">
        <v>128</v>
      </c>
      <c r="O771" s="1"/>
      <c r="P771" s="1">
        <v>88</v>
      </c>
      <c r="Q771" s="1">
        <v>422.7</v>
      </c>
      <c r="R771" s="8" t="str">
        <f>_xlfn.IFS(J771&gt;=8,"Hit",J771&gt;=6,"Average",J771&lt;6,"Flop")</f>
        <v>Flop</v>
      </c>
      <c r="S771" s="9" t="str">
        <f>_xlfn.IFS(K771&gt;=400,"Blockbuster",K771&gt;=200,"Popular",K771&lt;200,"Normal")</f>
        <v>Blockbuster</v>
      </c>
      <c r="T771" s="10" t="str">
        <f>IF(OR(I771="PG",I771="G"),"Yes","No")</f>
        <v>No</v>
      </c>
      <c r="U771" s="11" t="str">
        <f>IF(P771&gt;=100,"High","Low")</f>
        <v>Low</v>
      </c>
      <c r="V771" s="28">
        <f t="shared" ref="V771:V834" si="24">Q771-P771</f>
        <v>334.7</v>
      </c>
      <c r="W771" s="29">
        <f t="shared" ref="W771:W834" si="25">(Q771/P771)*100</f>
        <v>480.34090909090912</v>
      </c>
    </row>
    <row r="772" spans="1:23" x14ac:dyDescent="0.3">
      <c r="A772" s="1" t="s">
        <v>2274</v>
      </c>
      <c r="B772" s="1" t="s">
        <v>2275</v>
      </c>
      <c r="C772" s="1" t="s">
        <v>18</v>
      </c>
      <c r="D772" s="1" t="s">
        <v>117</v>
      </c>
      <c r="E772" s="1">
        <v>2009</v>
      </c>
      <c r="F772" s="1" t="s">
        <v>38</v>
      </c>
      <c r="G772" s="1" t="s">
        <v>2276</v>
      </c>
      <c r="H772" s="1">
        <v>137</v>
      </c>
      <c r="I772" s="1" t="s">
        <v>50</v>
      </c>
      <c r="J772" s="1">
        <v>7.2</v>
      </c>
      <c r="K772" s="1">
        <v>341.1</v>
      </c>
      <c r="L772" s="1" t="s">
        <v>90</v>
      </c>
      <c r="M772" s="1" t="s">
        <v>97</v>
      </c>
      <c r="N772" s="1" t="s">
        <v>91</v>
      </c>
      <c r="O772" s="1"/>
      <c r="P772" s="1">
        <v>127</v>
      </c>
      <c r="Q772" s="1">
        <v>697.6</v>
      </c>
      <c r="R772" s="8" t="str">
        <f>_xlfn.IFS(J772&gt;=8,"Hit",J772&gt;=6,"Average",J772&lt;6,"Flop")</f>
        <v>Average</v>
      </c>
      <c r="S772" s="9" t="str">
        <f>_xlfn.IFS(K772&gt;=400,"Blockbuster",K772&gt;=200,"Popular",K772&lt;200,"Normal")</f>
        <v>Popular</v>
      </c>
      <c r="T772" s="10" t="str">
        <f>IF(OR(I772="PG",I772="G"),"Yes","No")</f>
        <v>Yes</v>
      </c>
      <c r="U772" s="11" t="str">
        <f>IF(P772&gt;=100,"High","Low")</f>
        <v>High</v>
      </c>
      <c r="V772" s="28">
        <f t="shared" si="24"/>
        <v>570.6</v>
      </c>
      <c r="W772" s="29">
        <f t="shared" si="25"/>
        <v>549.29133858267721</v>
      </c>
    </row>
    <row r="773" spans="1:23" x14ac:dyDescent="0.3">
      <c r="A773" s="1" t="s">
        <v>2277</v>
      </c>
      <c r="B773" s="1" t="s">
        <v>2278</v>
      </c>
      <c r="C773" s="1" t="s">
        <v>18</v>
      </c>
      <c r="D773" s="1" t="s">
        <v>82</v>
      </c>
      <c r="E773" s="1">
        <v>2019</v>
      </c>
      <c r="F773" s="1" t="s">
        <v>181</v>
      </c>
      <c r="G773" s="1" t="s">
        <v>796</v>
      </c>
      <c r="H773" s="1">
        <v>92</v>
      </c>
      <c r="I773" s="1" t="s">
        <v>40</v>
      </c>
      <c r="J773" s="1">
        <v>6.8</v>
      </c>
      <c r="K773" s="1">
        <v>526.79999999999995</v>
      </c>
      <c r="L773" s="1" t="s">
        <v>90</v>
      </c>
      <c r="M773" s="1" t="s">
        <v>72</v>
      </c>
      <c r="N773" s="1" t="s">
        <v>86</v>
      </c>
      <c r="O773" s="1"/>
      <c r="P773" s="1">
        <v>56</v>
      </c>
      <c r="Q773" s="1">
        <v>99.5</v>
      </c>
      <c r="R773" s="8" t="str">
        <f>_xlfn.IFS(J773&gt;=8,"Hit",J773&gt;=6,"Average",J773&lt;6,"Flop")</f>
        <v>Average</v>
      </c>
      <c r="S773" s="9" t="str">
        <f>_xlfn.IFS(K773&gt;=400,"Blockbuster",K773&gt;=200,"Popular",K773&lt;200,"Normal")</f>
        <v>Blockbuster</v>
      </c>
      <c r="T773" s="10" t="str">
        <f>IF(OR(I773="PG",I773="G"),"Yes","No")</f>
        <v>Yes</v>
      </c>
      <c r="U773" s="11" t="str">
        <f>IF(P773&gt;=100,"High","Low")</f>
        <v>Low</v>
      </c>
      <c r="V773" s="28">
        <f t="shared" si="24"/>
        <v>43.5</v>
      </c>
      <c r="W773" s="29">
        <f t="shared" si="25"/>
        <v>177.67857142857142</v>
      </c>
    </row>
    <row r="774" spans="1:23" x14ac:dyDescent="0.3">
      <c r="A774" s="1" t="s">
        <v>2279</v>
      </c>
      <c r="B774" s="1" t="s">
        <v>2280</v>
      </c>
      <c r="C774" s="1" t="s">
        <v>18</v>
      </c>
      <c r="D774" s="1" t="s">
        <v>117</v>
      </c>
      <c r="E774" s="1">
        <v>2021</v>
      </c>
      <c r="F774" s="1" t="s">
        <v>122</v>
      </c>
      <c r="G774" s="1" t="s">
        <v>2281</v>
      </c>
      <c r="H774" s="1">
        <v>115</v>
      </c>
      <c r="I774" s="1" t="s">
        <v>40</v>
      </c>
      <c r="J774" s="1">
        <v>4.7</v>
      </c>
      <c r="K774" s="1">
        <v>233.7</v>
      </c>
      <c r="L774" s="1" t="s">
        <v>90</v>
      </c>
      <c r="M774" s="1" t="s">
        <v>85</v>
      </c>
      <c r="N774" s="1" t="s">
        <v>67</v>
      </c>
      <c r="O774" s="1"/>
      <c r="P774" s="1">
        <v>160</v>
      </c>
      <c r="Q774" s="1">
        <v>709.1</v>
      </c>
      <c r="R774" s="8" t="str">
        <f>_xlfn.IFS(J774&gt;=8,"Hit",J774&gt;=6,"Average",J774&lt;6,"Flop")</f>
        <v>Flop</v>
      </c>
      <c r="S774" s="9" t="str">
        <f>_xlfn.IFS(K774&gt;=400,"Blockbuster",K774&gt;=200,"Popular",K774&lt;200,"Normal")</f>
        <v>Popular</v>
      </c>
      <c r="T774" s="10" t="str">
        <f>IF(OR(I774="PG",I774="G"),"Yes","No")</f>
        <v>Yes</v>
      </c>
      <c r="U774" s="11" t="str">
        <f>IF(P774&gt;=100,"High","Low")</f>
        <v>High</v>
      </c>
      <c r="V774" s="28">
        <f t="shared" si="24"/>
        <v>549.1</v>
      </c>
      <c r="W774" s="29">
        <f t="shared" si="25"/>
        <v>443.1875</v>
      </c>
    </row>
    <row r="775" spans="1:23" x14ac:dyDescent="0.3">
      <c r="A775" s="1" t="s">
        <v>2282</v>
      </c>
      <c r="B775" s="1" t="s">
        <v>2283</v>
      </c>
      <c r="C775" s="1" t="s">
        <v>18</v>
      </c>
      <c r="D775" s="1" t="s">
        <v>37</v>
      </c>
      <c r="E775" s="1">
        <v>2007</v>
      </c>
      <c r="F775" s="1" t="s">
        <v>38</v>
      </c>
      <c r="G775" s="1" t="s">
        <v>2284</v>
      </c>
      <c r="H775" s="1">
        <v>158</v>
      </c>
      <c r="I775" s="1" t="s">
        <v>50</v>
      </c>
      <c r="J775" s="1">
        <v>6.5</v>
      </c>
      <c r="K775" s="1">
        <v>447.2</v>
      </c>
      <c r="L775" s="1" t="s">
        <v>171</v>
      </c>
      <c r="M775" s="1" t="s">
        <v>42</v>
      </c>
      <c r="N775" s="1" t="s">
        <v>55</v>
      </c>
      <c r="O775" s="1"/>
      <c r="P775" s="1">
        <v>97</v>
      </c>
      <c r="Q775" s="1">
        <v>212.7</v>
      </c>
      <c r="R775" s="8" t="str">
        <f>_xlfn.IFS(J775&gt;=8,"Hit",J775&gt;=6,"Average",J775&lt;6,"Flop")</f>
        <v>Average</v>
      </c>
      <c r="S775" s="9" t="str">
        <f>_xlfn.IFS(K775&gt;=400,"Blockbuster",K775&gt;=200,"Popular",K775&lt;200,"Normal")</f>
        <v>Blockbuster</v>
      </c>
      <c r="T775" s="10" t="str">
        <f>IF(OR(I775="PG",I775="G"),"Yes","No")</f>
        <v>Yes</v>
      </c>
      <c r="U775" s="11" t="str">
        <f>IF(P775&gt;=100,"High","Low")</f>
        <v>Low</v>
      </c>
      <c r="V775" s="28">
        <f t="shared" si="24"/>
        <v>115.69999999999999</v>
      </c>
      <c r="W775" s="29">
        <f t="shared" si="25"/>
        <v>219.2783505154639</v>
      </c>
    </row>
    <row r="776" spans="1:23" x14ac:dyDescent="0.3">
      <c r="A776" s="1" t="s">
        <v>2285</v>
      </c>
      <c r="B776" s="1" t="s">
        <v>2286</v>
      </c>
      <c r="C776" s="1" t="s">
        <v>18</v>
      </c>
      <c r="D776" s="1" t="s">
        <v>37</v>
      </c>
      <c r="E776" s="1">
        <v>2017</v>
      </c>
      <c r="F776" s="1" t="s">
        <v>100</v>
      </c>
      <c r="G776" s="1" t="s">
        <v>2287</v>
      </c>
      <c r="H776" s="1">
        <v>102</v>
      </c>
      <c r="I776" s="1" t="s">
        <v>40</v>
      </c>
      <c r="J776" s="1">
        <v>8.8000000000000007</v>
      </c>
      <c r="K776" s="1">
        <v>306</v>
      </c>
      <c r="L776" s="1" t="s">
        <v>71</v>
      </c>
      <c r="M776" s="1" t="s">
        <v>66</v>
      </c>
      <c r="N776" s="1" t="s">
        <v>55</v>
      </c>
      <c r="O776" s="1"/>
      <c r="P776" s="1">
        <v>75</v>
      </c>
      <c r="Q776" s="1">
        <v>483.6</v>
      </c>
      <c r="R776" s="8" t="str">
        <f>_xlfn.IFS(J776&gt;=8,"Hit",J776&gt;=6,"Average",J776&lt;6,"Flop")</f>
        <v>Hit</v>
      </c>
      <c r="S776" s="9" t="str">
        <f>_xlfn.IFS(K776&gt;=400,"Blockbuster",K776&gt;=200,"Popular",K776&lt;200,"Normal")</f>
        <v>Popular</v>
      </c>
      <c r="T776" s="10" t="str">
        <f>IF(OR(I776="PG",I776="G"),"Yes","No")</f>
        <v>Yes</v>
      </c>
      <c r="U776" s="11" t="str">
        <f>IF(P776&gt;=100,"High","Low")</f>
        <v>Low</v>
      </c>
      <c r="V776" s="28">
        <f t="shared" si="24"/>
        <v>408.6</v>
      </c>
      <c r="W776" s="29">
        <f t="shared" si="25"/>
        <v>644.80000000000007</v>
      </c>
    </row>
    <row r="777" spans="1:23" x14ac:dyDescent="0.3">
      <c r="A777" s="1" t="s">
        <v>2288</v>
      </c>
      <c r="B777" s="1" t="s">
        <v>2289</v>
      </c>
      <c r="C777" s="1" t="s">
        <v>18</v>
      </c>
      <c r="D777" s="1" t="s">
        <v>58</v>
      </c>
      <c r="E777" s="1">
        <v>2023</v>
      </c>
      <c r="F777" s="1" t="s">
        <v>38</v>
      </c>
      <c r="G777" s="1" t="s">
        <v>2290</v>
      </c>
      <c r="H777" s="1">
        <v>149</v>
      </c>
      <c r="I777" s="1" t="s">
        <v>31</v>
      </c>
      <c r="J777" s="1">
        <v>7.3</v>
      </c>
      <c r="K777" s="1">
        <v>593.70000000000005</v>
      </c>
      <c r="L777" s="1" t="s">
        <v>65</v>
      </c>
      <c r="M777" s="1" t="s">
        <v>124</v>
      </c>
      <c r="N777" s="1" t="s">
        <v>178</v>
      </c>
      <c r="O777" s="1"/>
      <c r="P777" s="1">
        <v>160</v>
      </c>
      <c r="Q777" s="1">
        <v>285.89999999999998</v>
      </c>
      <c r="R777" s="8" t="str">
        <f>_xlfn.IFS(J777&gt;=8,"Hit",J777&gt;=6,"Average",J777&lt;6,"Flop")</f>
        <v>Average</v>
      </c>
      <c r="S777" s="9" t="str">
        <f>_xlfn.IFS(K777&gt;=400,"Blockbuster",K777&gt;=200,"Popular",K777&lt;200,"Normal")</f>
        <v>Blockbuster</v>
      </c>
      <c r="T777" s="10" t="str">
        <f>IF(OR(I777="PG",I777="G"),"Yes","No")</f>
        <v>No</v>
      </c>
      <c r="U777" s="11" t="str">
        <f>IF(P777&gt;=100,"High","Low")</f>
        <v>High</v>
      </c>
      <c r="V777" s="28">
        <f t="shared" si="24"/>
        <v>125.89999999999998</v>
      </c>
      <c r="W777" s="29">
        <f t="shared" si="25"/>
        <v>178.68749999999997</v>
      </c>
    </row>
    <row r="778" spans="1:23" x14ac:dyDescent="0.3">
      <c r="A778" s="1" t="s">
        <v>2291</v>
      </c>
      <c r="B778" s="1" t="s">
        <v>2292</v>
      </c>
      <c r="C778" s="1" t="s">
        <v>18</v>
      </c>
      <c r="D778" s="1" t="s">
        <v>28</v>
      </c>
      <c r="E778" s="1">
        <v>2003</v>
      </c>
      <c r="F778" s="1" t="s">
        <v>76</v>
      </c>
      <c r="G778" s="1" t="s">
        <v>212</v>
      </c>
      <c r="H778" s="1">
        <v>175</v>
      </c>
      <c r="I778" s="1" t="s">
        <v>50</v>
      </c>
      <c r="J778" s="1">
        <v>7.3</v>
      </c>
      <c r="K778" s="1">
        <v>464.2</v>
      </c>
      <c r="L778" s="1" t="s">
        <v>32</v>
      </c>
      <c r="M778" s="1" t="s">
        <v>132</v>
      </c>
      <c r="N778" s="1" t="s">
        <v>86</v>
      </c>
      <c r="O778" s="1"/>
      <c r="P778" s="1">
        <v>118</v>
      </c>
      <c r="Q778" s="1">
        <v>269.3</v>
      </c>
      <c r="R778" s="8" t="str">
        <f>_xlfn.IFS(J778&gt;=8,"Hit",J778&gt;=6,"Average",J778&lt;6,"Flop")</f>
        <v>Average</v>
      </c>
      <c r="S778" s="9" t="str">
        <f>_xlfn.IFS(K778&gt;=400,"Blockbuster",K778&gt;=200,"Popular",K778&lt;200,"Normal")</f>
        <v>Blockbuster</v>
      </c>
      <c r="T778" s="10" t="str">
        <f>IF(OR(I778="PG",I778="G"),"Yes","No")</f>
        <v>Yes</v>
      </c>
      <c r="U778" s="11" t="str">
        <f>IF(P778&gt;=100,"High","Low")</f>
        <v>High</v>
      </c>
      <c r="V778" s="28">
        <f t="shared" si="24"/>
        <v>151.30000000000001</v>
      </c>
      <c r="W778" s="29">
        <f t="shared" si="25"/>
        <v>228.22033898305088</v>
      </c>
    </row>
    <row r="779" spans="1:23" x14ac:dyDescent="0.3">
      <c r="A779" s="1" t="s">
        <v>2293</v>
      </c>
      <c r="B779" s="1" t="s">
        <v>2294</v>
      </c>
      <c r="C779" s="1" t="s">
        <v>18</v>
      </c>
      <c r="D779" s="1" t="s">
        <v>94</v>
      </c>
      <c r="E779" s="1">
        <v>2009</v>
      </c>
      <c r="F779" s="1" t="s">
        <v>83</v>
      </c>
      <c r="G779" s="1" t="s">
        <v>2295</v>
      </c>
      <c r="H779" s="1">
        <v>148</v>
      </c>
      <c r="I779" s="1" t="s">
        <v>31</v>
      </c>
      <c r="J779" s="1">
        <v>5.9</v>
      </c>
      <c r="K779" s="1">
        <v>380.5</v>
      </c>
      <c r="L779" s="1" t="s">
        <v>65</v>
      </c>
      <c r="M779" s="1" t="s">
        <v>66</v>
      </c>
      <c r="N779" s="1" t="s">
        <v>158</v>
      </c>
      <c r="O779" s="1"/>
      <c r="P779" s="1">
        <v>26</v>
      </c>
      <c r="Q779" s="1">
        <v>97.8</v>
      </c>
      <c r="R779" s="8" t="str">
        <f>_xlfn.IFS(J779&gt;=8,"Hit",J779&gt;=6,"Average",J779&lt;6,"Flop")</f>
        <v>Flop</v>
      </c>
      <c r="S779" s="9" t="str">
        <f>_xlfn.IFS(K779&gt;=400,"Blockbuster",K779&gt;=200,"Popular",K779&lt;200,"Normal")</f>
        <v>Popular</v>
      </c>
      <c r="T779" s="10" t="str">
        <f>IF(OR(I779="PG",I779="G"),"Yes","No")</f>
        <v>No</v>
      </c>
      <c r="U779" s="11" t="str">
        <f>IF(P779&gt;=100,"High","Low")</f>
        <v>Low</v>
      </c>
      <c r="V779" s="28">
        <f t="shared" si="24"/>
        <v>71.8</v>
      </c>
      <c r="W779" s="29">
        <f t="shared" si="25"/>
        <v>376.15384615384613</v>
      </c>
    </row>
    <row r="780" spans="1:23" x14ac:dyDescent="0.3">
      <c r="A780" s="1" t="s">
        <v>2296</v>
      </c>
      <c r="B780" s="1" t="s">
        <v>2297</v>
      </c>
      <c r="C780" s="1" t="s">
        <v>46</v>
      </c>
      <c r="D780" s="1" t="s">
        <v>58</v>
      </c>
      <c r="E780" s="1">
        <v>2018</v>
      </c>
      <c r="F780" s="1" t="s">
        <v>95</v>
      </c>
      <c r="G780" s="1" t="s">
        <v>707</v>
      </c>
      <c r="H780" s="1">
        <v>39</v>
      </c>
      <c r="I780" s="1" t="s">
        <v>22</v>
      </c>
      <c r="J780" s="1">
        <v>5.2</v>
      </c>
      <c r="K780" s="1">
        <v>66.3</v>
      </c>
      <c r="L780" s="1" t="s">
        <v>23</v>
      </c>
      <c r="M780" s="1" t="s">
        <v>72</v>
      </c>
      <c r="N780" s="1" t="s">
        <v>43</v>
      </c>
      <c r="O780" s="1">
        <v>5</v>
      </c>
      <c r="P780" s="1">
        <v>145</v>
      </c>
      <c r="Q780" s="1">
        <v>372.4</v>
      </c>
      <c r="R780" s="8" t="str">
        <f>_xlfn.IFS(J780&gt;=8,"Hit",J780&gt;=6,"Average",J780&lt;6,"Flop")</f>
        <v>Flop</v>
      </c>
      <c r="S780" s="9" t="str">
        <f>_xlfn.IFS(K780&gt;=400,"Blockbuster",K780&gt;=200,"Popular",K780&lt;200,"Normal")</f>
        <v>Normal</v>
      </c>
      <c r="T780" s="10" t="str">
        <f>IF(OR(I780="PG",I780="G"),"Yes","No")</f>
        <v>No</v>
      </c>
      <c r="U780" s="11" t="str">
        <f>IF(P780&gt;=100,"High","Low")</f>
        <v>High</v>
      </c>
      <c r="V780" s="28">
        <f t="shared" si="24"/>
        <v>227.39999999999998</v>
      </c>
      <c r="W780" s="29">
        <f t="shared" si="25"/>
        <v>256.82758620689651</v>
      </c>
    </row>
    <row r="781" spans="1:23" x14ac:dyDescent="0.3">
      <c r="A781" s="1" t="s">
        <v>2298</v>
      </c>
      <c r="B781" s="1" t="s">
        <v>2299</v>
      </c>
      <c r="C781" s="1" t="s">
        <v>18</v>
      </c>
      <c r="D781" s="1" t="s">
        <v>117</v>
      </c>
      <c r="E781" s="1">
        <v>2025</v>
      </c>
      <c r="F781" s="1" t="s">
        <v>20</v>
      </c>
      <c r="G781" s="1" t="s">
        <v>2300</v>
      </c>
      <c r="H781" s="1">
        <v>117</v>
      </c>
      <c r="I781" s="1" t="s">
        <v>40</v>
      </c>
      <c r="J781" s="1">
        <v>7.4</v>
      </c>
      <c r="K781" s="1">
        <v>535.5</v>
      </c>
      <c r="L781" s="1" t="s">
        <v>71</v>
      </c>
      <c r="M781" s="1" t="s">
        <v>54</v>
      </c>
      <c r="N781" s="1" t="s">
        <v>153</v>
      </c>
      <c r="O781" s="1"/>
      <c r="P781" s="1">
        <v>31</v>
      </c>
      <c r="Q781" s="1">
        <v>161.80000000000001</v>
      </c>
      <c r="R781" s="8" t="str">
        <f>_xlfn.IFS(J781&gt;=8,"Hit",J781&gt;=6,"Average",J781&lt;6,"Flop")</f>
        <v>Average</v>
      </c>
      <c r="S781" s="9" t="str">
        <f>_xlfn.IFS(K781&gt;=400,"Blockbuster",K781&gt;=200,"Popular",K781&lt;200,"Normal")</f>
        <v>Blockbuster</v>
      </c>
      <c r="T781" s="10" t="str">
        <f>IF(OR(I781="PG",I781="G"),"Yes","No")</f>
        <v>Yes</v>
      </c>
      <c r="U781" s="11" t="str">
        <f>IF(P781&gt;=100,"High","Low")</f>
        <v>Low</v>
      </c>
      <c r="V781" s="28">
        <f t="shared" si="24"/>
        <v>130.80000000000001</v>
      </c>
      <c r="W781" s="29">
        <f t="shared" si="25"/>
        <v>521.9354838709678</v>
      </c>
    </row>
    <row r="782" spans="1:23" x14ac:dyDescent="0.3">
      <c r="A782" s="1" t="s">
        <v>2301</v>
      </c>
      <c r="B782" s="1" t="s">
        <v>2302</v>
      </c>
      <c r="C782" s="1" t="s">
        <v>46</v>
      </c>
      <c r="D782" s="1" t="s">
        <v>19</v>
      </c>
      <c r="E782" s="1">
        <v>2012</v>
      </c>
      <c r="F782" s="1" t="s">
        <v>100</v>
      </c>
      <c r="G782" s="1" t="s">
        <v>2303</v>
      </c>
      <c r="H782" s="1">
        <v>38</v>
      </c>
      <c r="I782" s="1" t="s">
        <v>22</v>
      </c>
      <c r="J782" s="1">
        <v>6.4</v>
      </c>
      <c r="K782" s="1">
        <v>246.6</v>
      </c>
      <c r="L782" s="1" t="s">
        <v>171</v>
      </c>
      <c r="M782" s="1" t="s">
        <v>146</v>
      </c>
      <c r="N782" s="1" t="s">
        <v>43</v>
      </c>
      <c r="O782" s="1">
        <v>4</v>
      </c>
      <c r="P782" s="1">
        <v>147</v>
      </c>
      <c r="Q782" s="1">
        <v>247.8</v>
      </c>
      <c r="R782" s="8" t="str">
        <f>_xlfn.IFS(J782&gt;=8,"Hit",J782&gt;=6,"Average",J782&lt;6,"Flop")</f>
        <v>Average</v>
      </c>
      <c r="S782" s="9" t="str">
        <f>_xlfn.IFS(K782&gt;=400,"Blockbuster",K782&gt;=200,"Popular",K782&lt;200,"Normal")</f>
        <v>Popular</v>
      </c>
      <c r="T782" s="10" t="str">
        <f>IF(OR(I782="PG",I782="G"),"Yes","No")</f>
        <v>No</v>
      </c>
      <c r="U782" s="11" t="str">
        <f>IF(P782&gt;=100,"High","Low")</f>
        <v>High</v>
      </c>
      <c r="V782" s="28">
        <f t="shared" si="24"/>
        <v>100.80000000000001</v>
      </c>
      <c r="W782" s="29">
        <f t="shared" si="25"/>
        <v>168.57142857142858</v>
      </c>
    </row>
    <row r="783" spans="1:23" x14ac:dyDescent="0.3">
      <c r="A783" s="1" t="s">
        <v>2304</v>
      </c>
      <c r="B783" s="1" t="s">
        <v>2305</v>
      </c>
      <c r="C783" s="1" t="s">
        <v>18</v>
      </c>
      <c r="D783" s="1" t="s">
        <v>82</v>
      </c>
      <c r="E783" s="1">
        <v>2001</v>
      </c>
      <c r="F783" s="1" t="s">
        <v>20</v>
      </c>
      <c r="G783" s="1" t="s">
        <v>802</v>
      </c>
      <c r="H783" s="1">
        <v>171</v>
      </c>
      <c r="I783" s="1" t="s">
        <v>31</v>
      </c>
      <c r="J783" s="1">
        <v>4.9000000000000004</v>
      </c>
      <c r="K783" s="1">
        <v>160</v>
      </c>
      <c r="L783" s="1" t="s">
        <v>32</v>
      </c>
      <c r="M783" s="1" t="s">
        <v>157</v>
      </c>
      <c r="N783" s="1" t="s">
        <v>91</v>
      </c>
      <c r="O783" s="1"/>
      <c r="P783" s="1">
        <v>88</v>
      </c>
      <c r="Q783" s="1">
        <v>319.7</v>
      </c>
      <c r="R783" s="8" t="str">
        <f>_xlfn.IFS(J783&gt;=8,"Hit",J783&gt;=6,"Average",J783&lt;6,"Flop")</f>
        <v>Flop</v>
      </c>
      <c r="S783" s="9" t="str">
        <f>_xlfn.IFS(K783&gt;=400,"Blockbuster",K783&gt;=200,"Popular",K783&lt;200,"Normal")</f>
        <v>Normal</v>
      </c>
      <c r="T783" s="10" t="str">
        <f>IF(OR(I783="PG",I783="G"),"Yes","No")</f>
        <v>No</v>
      </c>
      <c r="U783" s="11" t="str">
        <f>IF(P783&gt;=100,"High","Low")</f>
        <v>Low</v>
      </c>
      <c r="V783" s="28">
        <f t="shared" si="24"/>
        <v>231.7</v>
      </c>
      <c r="W783" s="29">
        <f t="shared" si="25"/>
        <v>363.2954545454545</v>
      </c>
    </row>
    <row r="784" spans="1:23" x14ac:dyDescent="0.3">
      <c r="A784" s="1" t="s">
        <v>2306</v>
      </c>
      <c r="B784" s="1" t="s">
        <v>2307</v>
      </c>
      <c r="C784" s="1" t="s">
        <v>18</v>
      </c>
      <c r="D784" s="1" t="s">
        <v>82</v>
      </c>
      <c r="E784" s="1">
        <v>2023</v>
      </c>
      <c r="F784" s="1" t="s">
        <v>122</v>
      </c>
      <c r="G784" s="1" t="s">
        <v>1515</v>
      </c>
      <c r="H784" s="1">
        <v>161</v>
      </c>
      <c r="I784" s="1" t="s">
        <v>31</v>
      </c>
      <c r="J784" s="1">
        <v>7.1</v>
      </c>
      <c r="K784" s="1">
        <v>313.39999999999998</v>
      </c>
      <c r="L784" s="1" t="s">
        <v>65</v>
      </c>
      <c r="M784" s="1" t="s">
        <v>146</v>
      </c>
      <c r="N784" s="1" t="s">
        <v>43</v>
      </c>
      <c r="O784" s="1"/>
      <c r="P784" s="1">
        <v>181</v>
      </c>
      <c r="Q784" s="1">
        <v>786</v>
      </c>
      <c r="R784" s="8" t="str">
        <f>_xlfn.IFS(J784&gt;=8,"Hit",J784&gt;=6,"Average",J784&lt;6,"Flop")</f>
        <v>Average</v>
      </c>
      <c r="S784" s="9" t="str">
        <f>_xlfn.IFS(K784&gt;=400,"Blockbuster",K784&gt;=200,"Popular",K784&lt;200,"Normal")</f>
        <v>Popular</v>
      </c>
      <c r="T784" s="10" t="str">
        <f>IF(OR(I784="PG",I784="G"),"Yes","No")</f>
        <v>No</v>
      </c>
      <c r="U784" s="11" t="str">
        <f>IF(P784&gt;=100,"High","Low")</f>
        <v>High</v>
      </c>
      <c r="V784" s="28">
        <f t="shared" si="24"/>
        <v>605</v>
      </c>
      <c r="W784" s="29">
        <f t="shared" si="25"/>
        <v>434.25414364640886</v>
      </c>
    </row>
    <row r="785" spans="1:23" x14ac:dyDescent="0.3">
      <c r="A785" s="1" t="s">
        <v>2308</v>
      </c>
      <c r="B785" s="1" t="s">
        <v>2309</v>
      </c>
      <c r="C785" s="1" t="s">
        <v>18</v>
      </c>
      <c r="D785" s="1" t="s">
        <v>19</v>
      </c>
      <c r="E785" s="1">
        <v>2012</v>
      </c>
      <c r="F785" s="1" t="s">
        <v>20</v>
      </c>
      <c r="G785" s="1" t="s">
        <v>2310</v>
      </c>
      <c r="H785" s="1">
        <v>96</v>
      </c>
      <c r="I785" s="1" t="s">
        <v>40</v>
      </c>
      <c r="J785" s="1">
        <v>9.6</v>
      </c>
      <c r="K785" s="1">
        <v>553.9</v>
      </c>
      <c r="L785" s="1" t="s">
        <v>90</v>
      </c>
      <c r="M785" s="1" t="s">
        <v>157</v>
      </c>
      <c r="N785" s="1" t="s">
        <v>60</v>
      </c>
      <c r="O785" s="1"/>
      <c r="P785" s="1">
        <v>17</v>
      </c>
      <c r="Q785" s="1">
        <v>39.1</v>
      </c>
      <c r="R785" s="8" t="str">
        <f>_xlfn.IFS(J785&gt;=8,"Hit",J785&gt;=6,"Average",J785&lt;6,"Flop")</f>
        <v>Hit</v>
      </c>
      <c r="S785" s="9" t="str">
        <f>_xlfn.IFS(K785&gt;=400,"Blockbuster",K785&gt;=200,"Popular",K785&lt;200,"Normal")</f>
        <v>Blockbuster</v>
      </c>
      <c r="T785" s="10" t="str">
        <f>IF(OR(I785="PG",I785="G"),"Yes","No")</f>
        <v>Yes</v>
      </c>
      <c r="U785" s="11" t="str">
        <f>IF(P785&gt;=100,"High","Low")</f>
        <v>Low</v>
      </c>
      <c r="V785" s="28">
        <f t="shared" si="24"/>
        <v>22.1</v>
      </c>
      <c r="W785" s="29">
        <f t="shared" si="25"/>
        <v>230.00000000000003</v>
      </c>
    </row>
    <row r="786" spans="1:23" x14ac:dyDescent="0.3">
      <c r="A786" s="1" t="s">
        <v>2311</v>
      </c>
      <c r="B786" s="1" t="s">
        <v>2312</v>
      </c>
      <c r="C786" s="1" t="s">
        <v>18</v>
      </c>
      <c r="D786" s="1" t="s">
        <v>28</v>
      </c>
      <c r="E786" s="1">
        <v>2002</v>
      </c>
      <c r="F786" s="1" t="s">
        <v>76</v>
      </c>
      <c r="G786" s="1" t="s">
        <v>2313</v>
      </c>
      <c r="H786" s="1">
        <v>116</v>
      </c>
      <c r="I786" s="1" t="s">
        <v>50</v>
      </c>
      <c r="J786" s="1">
        <v>9.5</v>
      </c>
      <c r="K786" s="1">
        <v>314.5</v>
      </c>
      <c r="L786" s="1" t="s">
        <v>32</v>
      </c>
      <c r="M786" s="1" t="s">
        <v>33</v>
      </c>
      <c r="N786" s="1" t="s">
        <v>128</v>
      </c>
      <c r="O786" s="1"/>
      <c r="P786" s="1">
        <v>154</v>
      </c>
      <c r="Q786" s="1">
        <v>250.2</v>
      </c>
      <c r="R786" s="8" t="str">
        <f>_xlfn.IFS(J786&gt;=8,"Hit",J786&gt;=6,"Average",J786&lt;6,"Flop")</f>
        <v>Hit</v>
      </c>
      <c r="S786" s="9" t="str">
        <f>_xlfn.IFS(K786&gt;=400,"Blockbuster",K786&gt;=200,"Popular",K786&lt;200,"Normal")</f>
        <v>Popular</v>
      </c>
      <c r="T786" s="10" t="str">
        <f>IF(OR(I786="PG",I786="G"),"Yes","No")</f>
        <v>Yes</v>
      </c>
      <c r="U786" s="11" t="str">
        <f>IF(P786&gt;=100,"High","Low")</f>
        <v>High</v>
      </c>
      <c r="V786" s="28">
        <f t="shared" si="24"/>
        <v>96.199999999999989</v>
      </c>
      <c r="W786" s="29">
        <f t="shared" si="25"/>
        <v>162.46753246753244</v>
      </c>
    </row>
    <row r="787" spans="1:23" x14ac:dyDescent="0.3">
      <c r="A787" s="1" t="s">
        <v>2314</v>
      </c>
      <c r="B787" s="1" t="s">
        <v>2315</v>
      </c>
      <c r="C787" s="1" t="s">
        <v>46</v>
      </c>
      <c r="D787" s="1" t="s">
        <v>47</v>
      </c>
      <c r="E787" s="1">
        <v>2024</v>
      </c>
      <c r="F787" s="1" t="s">
        <v>95</v>
      </c>
      <c r="G787" s="1" t="s">
        <v>1427</v>
      </c>
      <c r="H787" s="1">
        <v>58</v>
      </c>
      <c r="I787" s="1" t="s">
        <v>110</v>
      </c>
      <c r="J787" s="1">
        <v>8.6999999999999993</v>
      </c>
      <c r="K787" s="1">
        <v>522.20000000000005</v>
      </c>
      <c r="L787" s="1" t="s">
        <v>90</v>
      </c>
      <c r="M787" s="1" t="s">
        <v>146</v>
      </c>
      <c r="N787" s="1" t="s">
        <v>60</v>
      </c>
      <c r="O787" s="1">
        <v>4</v>
      </c>
      <c r="P787" s="1">
        <v>110</v>
      </c>
      <c r="Q787" s="1">
        <v>213.5</v>
      </c>
      <c r="R787" s="8" t="str">
        <f>_xlfn.IFS(J787&gt;=8,"Hit",J787&gt;=6,"Average",J787&lt;6,"Flop")</f>
        <v>Hit</v>
      </c>
      <c r="S787" s="9" t="str">
        <f>_xlfn.IFS(K787&gt;=400,"Blockbuster",K787&gt;=200,"Popular",K787&lt;200,"Normal")</f>
        <v>Blockbuster</v>
      </c>
      <c r="T787" s="10" t="str">
        <f>IF(OR(I787="PG",I787="G"),"Yes","No")</f>
        <v>No</v>
      </c>
      <c r="U787" s="11" t="str">
        <f>IF(P787&gt;=100,"High","Low")</f>
        <v>High</v>
      </c>
      <c r="V787" s="28">
        <f t="shared" si="24"/>
        <v>103.5</v>
      </c>
      <c r="W787" s="29">
        <f t="shared" si="25"/>
        <v>194.09090909090909</v>
      </c>
    </row>
    <row r="788" spans="1:23" x14ac:dyDescent="0.3">
      <c r="A788" s="1" t="s">
        <v>2316</v>
      </c>
      <c r="B788" s="1" t="s">
        <v>2317</v>
      </c>
      <c r="C788" s="1" t="s">
        <v>18</v>
      </c>
      <c r="D788" s="1" t="s">
        <v>94</v>
      </c>
      <c r="E788" s="1">
        <v>2022</v>
      </c>
      <c r="F788" s="1" t="s">
        <v>76</v>
      </c>
      <c r="G788" s="1" t="s">
        <v>2318</v>
      </c>
      <c r="H788" s="1">
        <v>145</v>
      </c>
      <c r="I788" s="1" t="s">
        <v>50</v>
      </c>
      <c r="J788" s="1">
        <v>5.8</v>
      </c>
      <c r="K788" s="1">
        <v>193.5</v>
      </c>
      <c r="L788" s="1" t="s">
        <v>23</v>
      </c>
      <c r="M788" s="1" t="s">
        <v>33</v>
      </c>
      <c r="N788" s="1" t="s">
        <v>25</v>
      </c>
      <c r="O788" s="1"/>
      <c r="P788" s="1">
        <v>187</v>
      </c>
      <c r="Q788" s="1">
        <v>1139</v>
      </c>
      <c r="R788" s="8" t="str">
        <f>_xlfn.IFS(J788&gt;=8,"Hit",J788&gt;=6,"Average",J788&lt;6,"Flop")</f>
        <v>Flop</v>
      </c>
      <c r="S788" s="9" t="str">
        <f>_xlfn.IFS(K788&gt;=400,"Blockbuster",K788&gt;=200,"Popular",K788&lt;200,"Normal")</f>
        <v>Normal</v>
      </c>
      <c r="T788" s="10" t="str">
        <f>IF(OR(I788="PG",I788="G"),"Yes","No")</f>
        <v>Yes</v>
      </c>
      <c r="U788" s="11" t="str">
        <f>IF(P788&gt;=100,"High","Low")</f>
        <v>High</v>
      </c>
      <c r="V788" s="28">
        <f t="shared" si="24"/>
        <v>952</v>
      </c>
      <c r="W788" s="29">
        <f t="shared" si="25"/>
        <v>609.09090909090912</v>
      </c>
    </row>
    <row r="789" spans="1:23" x14ac:dyDescent="0.3">
      <c r="A789" s="1" t="s">
        <v>2319</v>
      </c>
      <c r="B789" s="1" t="s">
        <v>2320</v>
      </c>
      <c r="C789" s="1" t="s">
        <v>46</v>
      </c>
      <c r="D789" s="1" t="s">
        <v>58</v>
      </c>
      <c r="E789" s="1">
        <v>2002</v>
      </c>
      <c r="F789" s="1" t="s">
        <v>95</v>
      </c>
      <c r="G789" s="1" t="s">
        <v>2321</v>
      </c>
      <c r="H789" s="1">
        <v>46</v>
      </c>
      <c r="I789" s="1" t="s">
        <v>31</v>
      </c>
      <c r="J789" s="1">
        <v>6.8</v>
      </c>
      <c r="K789" s="1">
        <v>6.8</v>
      </c>
      <c r="L789" s="1" t="s">
        <v>71</v>
      </c>
      <c r="M789" s="1" t="s">
        <v>97</v>
      </c>
      <c r="N789" s="1" t="s">
        <v>86</v>
      </c>
      <c r="O789" s="1">
        <v>3</v>
      </c>
      <c r="P789" s="1">
        <v>81</v>
      </c>
      <c r="Q789" s="1">
        <v>206.6</v>
      </c>
      <c r="R789" s="8" t="str">
        <f>_xlfn.IFS(J789&gt;=8,"Hit",J789&gt;=6,"Average",J789&lt;6,"Flop")</f>
        <v>Average</v>
      </c>
      <c r="S789" s="9" t="str">
        <f>_xlfn.IFS(K789&gt;=400,"Blockbuster",K789&gt;=200,"Popular",K789&lt;200,"Normal")</f>
        <v>Normal</v>
      </c>
      <c r="T789" s="10" t="str">
        <f>IF(OR(I789="PG",I789="G"),"Yes","No")</f>
        <v>No</v>
      </c>
      <c r="U789" s="11" t="str">
        <f>IF(P789&gt;=100,"High","Low")</f>
        <v>Low</v>
      </c>
      <c r="V789" s="28">
        <f t="shared" si="24"/>
        <v>125.6</v>
      </c>
      <c r="W789" s="29">
        <f t="shared" si="25"/>
        <v>255.06172839506172</v>
      </c>
    </row>
    <row r="790" spans="1:23" x14ac:dyDescent="0.3">
      <c r="A790" s="1" t="s">
        <v>2322</v>
      </c>
      <c r="B790" s="1" t="s">
        <v>2323</v>
      </c>
      <c r="C790" s="1" t="s">
        <v>46</v>
      </c>
      <c r="D790" s="1" t="s">
        <v>94</v>
      </c>
      <c r="E790" s="1">
        <v>2012</v>
      </c>
      <c r="F790" s="1" t="s">
        <v>95</v>
      </c>
      <c r="G790" s="1" t="s">
        <v>2324</v>
      </c>
      <c r="H790" s="1">
        <v>49</v>
      </c>
      <c r="I790" s="1" t="s">
        <v>40</v>
      </c>
      <c r="J790" s="1">
        <v>7.1</v>
      </c>
      <c r="K790" s="1">
        <v>578.79999999999995</v>
      </c>
      <c r="L790" s="1" t="s">
        <v>171</v>
      </c>
      <c r="M790" s="1" t="s">
        <v>146</v>
      </c>
      <c r="N790" s="1" t="s">
        <v>67</v>
      </c>
      <c r="O790" s="1">
        <v>5</v>
      </c>
      <c r="P790" s="1">
        <v>152</v>
      </c>
      <c r="Q790" s="1">
        <v>694.5</v>
      </c>
      <c r="R790" s="8" t="str">
        <f>_xlfn.IFS(J790&gt;=8,"Hit",J790&gt;=6,"Average",J790&lt;6,"Flop")</f>
        <v>Average</v>
      </c>
      <c r="S790" s="9" t="str">
        <f>_xlfn.IFS(K790&gt;=400,"Blockbuster",K790&gt;=200,"Popular",K790&lt;200,"Normal")</f>
        <v>Blockbuster</v>
      </c>
      <c r="T790" s="10" t="str">
        <f>IF(OR(I790="PG",I790="G"),"Yes","No")</f>
        <v>Yes</v>
      </c>
      <c r="U790" s="11" t="str">
        <f>IF(P790&gt;=100,"High","Low")</f>
        <v>High</v>
      </c>
      <c r="V790" s="28">
        <f t="shared" si="24"/>
        <v>542.5</v>
      </c>
      <c r="W790" s="29">
        <f t="shared" si="25"/>
        <v>456.90789473684214</v>
      </c>
    </row>
    <row r="791" spans="1:23" x14ac:dyDescent="0.3">
      <c r="A791" s="1" t="s">
        <v>2325</v>
      </c>
      <c r="B791" s="1" t="s">
        <v>2326</v>
      </c>
      <c r="C791" s="1" t="s">
        <v>46</v>
      </c>
      <c r="D791" s="1" t="s">
        <v>19</v>
      </c>
      <c r="E791" s="1">
        <v>2023</v>
      </c>
      <c r="F791" s="1" t="s">
        <v>20</v>
      </c>
      <c r="G791" s="1" t="s">
        <v>2327</v>
      </c>
      <c r="H791" s="1">
        <v>50</v>
      </c>
      <c r="I791" s="1" t="s">
        <v>50</v>
      </c>
      <c r="J791" s="1">
        <v>7.8</v>
      </c>
      <c r="K791" s="1">
        <v>266.2</v>
      </c>
      <c r="L791" s="1" t="s">
        <v>32</v>
      </c>
      <c r="M791" s="1" t="s">
        <v>66</v>
      </c>
      <c r="N791" s="1" t="s">
        <v>60</v>
      </c>
      <c r="O791" s="1">
        <v>7</v>
      </c>
      <c r="P791" s="1">
        <v>140</v>
      </c>
      <c r="Q791" s="1">
        <v>200.9</v>
      </c>
      <c r="R791" s="8" t="str">
        <f>_xlfn.IFS(J791&gt;=8,"Hit",J791&gt;=6,"Average",J791&lt;6,"Flop")</f>
        <v>Average</v>
      </c>
      <c r="S791" s="9" t="str">
        <f>_xlfn.IFS(K791&gt;=400,"Blockbuster",K791&gt;=200,"Popular",K791&lt;200,"Normal")</f>
        <v>Popular</v>
      </c>
      <c r="T791" s="10" t="str">
        <f>IF(OR(I791="PG",I791="G"),"Yes","No")</f>
        <v>Yes</v>
      </c>
      <c r="U791" s="11" t="str">
        <f>IF(P791&gt;=100,"High","Low")</f>
        <v>High</v>
      </c>
      <c r="V791" s="28">
        <f t="shared" si="24"/>
        <v>60.900000000000006</v>
      </c>
      <c r="W791" s="29">
        <f t="shared" si="25"/>
        <v>143.5</v>
      </c>
    </row>
    <row r="792" spans="1:23" x14ac:dyDescent="0.3">
      <c r="A792" s="1" t="s">
        <v>2328</v>
      </c>
      <c r="B792" s="1" t="s">
        <v>2329</v>
      </c>
      <c r="C792" s="1" t="s">
        <v>18</v>
      </c>
      <c r="D792" s="1" t="s">
        <v>47</v>
      </c>
      <c r="E792" s="1">
        <v>2000</v>
      </c>
      <c r="F792" s="1" t="s">
        <v>83</v>
      </c>
      <c r="G792" s="1" t="s">
        <v>2330</v>
      </c>
      <c r="H792" s="1">
        <v>180</v>
      </c>
      <c r="I792" s="1" t="s">
        <v>50</v>
      </c>
      <c r="J792" s="1">
        <v>8.8000000000000007</v>
      </c>
      <c r="K792" s="1">
        <v>427.5</v>
      </c>
      <c r="L792" s="1" t="s">
        <v>90</v>
      </c>
      <c r="M792" s="1" t="s">
        <v>78</v>
      </c>
      <c r="N792" s="1" t="s">
        <v>128</v>
      </c>
      <c r="O792" s="1"/>
      <c r="P792" s="1">
        <v>39</v>
      </c>
      <c r="Q792" s="1">
        <v>196.7</v>
      </c>
      <c r="R792" s="8" t="str">
        <f>_xlfn.IFS(J792&gt;=8,"Hit",J792&gt;=6,"Average",J792&lt;6,"Flop")</f>
        <v>Hit</v>
      </c>
      <c r="S792" s="9" t="str">
        <f>_xlfn.IFS(K792&gt;=400,"Blockbuster",K792&gt;=200,"Popular",K792&lt;200,"Normal")</f>
        <v>Blockbuster</v>
      </c>
      <c r="T792" s="10" t="str">
        <f>IF(OR(I792="PG",I792="G"),"Yes","No")</f>
        <v>Yes</v>
      </c>
      <c r="U792" s="11" t="str">
        <f>IF(P792&gt;=100,"High","Low")</f>
        <v>Low</v>
      </c>
      <c r="V792" s="28">
        <f t="shared" si="24"/>
        <v>157.69999999999999</v>
      </c>
      <c r="W792" s="29">
        <f t="shared" si="25"/>
        <v>504.35897435897436</v>
      </c>
    </row>
    <row r="793" spans="1:23" x14ac:dyDescent="0.3">
      <c r="A793" s="1" t="s">
        <v>2331</v>
      </c>
      <c r="B793" s="1" t="s">
        <v>2332</v>
      </c>
      <c r="C793" s="1" t="s">
        <v>18</v>
      </c>
      <c r="D793" s="1" t="s">
        <v>58</v>
      </c>
      <c r="E793" s="1">
        <v>2023</v>
      </c>
      <c r="F793" s="1" t="s">
        <v>181</v>
      </c>
      <c r="G793" s="1" t="s">
        <v>2333</v>
      </c>
      <c r="H793" s="1">
        <v>166</v>
      </c>
      <c r="I793" s="1" t="s">
        <v>50</v>
      </c>
      <c r="J793" s="1">
        <v>7.2</v>
      </c>
      <c r="K793" s="1">
        <v>16</v>
      </c>
      <c r="L793" s="1" t="s">
        <v>65</v>
      </c>
      <c r="M793" s="1" t="s">
        <v>106</v>
      </c>
      <c r="N793" s="1" t="s">
        <v>43</v>
      </c>
      <c r="O793" s="1"/>
      <c r="P793" s="1">
        <v>36</v>
      </c>
      <c r="Q793" s="1">
        <v>155</v>
      </c>
      <c r="R793" s="8" t="str">
        <f>_xlfn.IFS(J793&gt;=8,"Hit",J793&gt;=6,"Average",J793&lt;6,"Flop")</f>
        <v>Average</v>
      </c>
      <c r="S793" s="9" t="str">
        <f>_xlfn.IFS(K793&gt;=400,"Blockbuster",K793&gt;=200,"Popular",K793&lt;200,"Normal")</f>
        <v>Normal</v>
      </c>
      <c r="T793" s="10" t="str">
        <f>IF(OR(I793="PG",I793="G"),"Yes","No")</f>
        <v>Yes</v>
      </c>
      <c r="U793" s="11" t="str">
        <f>IF(P793&gt;=100,"High","Low")</f>
        <v>Low</v>
      </c>
      <c r="V793" s="28">
        <f t="shared" si="24"/>
        <v>119</v>
      </c>
      <c r="W793" s="29">
        <f t="shared" si="25"/>
        <v>430.55555555555554</v>
      </c>
    </row>
    <row r="794" spans="1:23" x14ac:dyDescent="0.3">
      <c r="A794" s="1" t="s">
        <v>2334</v>
      </c>
      <c r="B794" s="1" t="s">
        <v>2335</v>
      </c>
      <c r="C794" s="1" t="s">
        <v>46</v>
      </c>
      <c r="D794" s="1" t="s">
        <v>37</v>
      </c>
      <c r="E794" s="1">
        <v>2016</v>
      </c>
      <c r="F794" s="1" t="s">
        <v>83</v>
      </c>
      <c r="G794" s="1" t="s">
        <v>2336</v>
      </c>
      <c r="H794" s="1">
        <v>49</v>
      </c>
      <c r="I794" s="1" t="s">
        <v>40</v>
      </c>
      <c r="J794" s="1">
        <v>6.9</v>
      </c>
      <c r="K794" s="1">
        <v>288.89999999999998</v>
      </c>
      <c r="L794" s="1" t="s">
        <v>32</v>
      </c>
      <c r="M794" s="1" t="s">
        <v>124</v>
      </c>
      <c r="N794" s="1" t="s">
        <v>153</v>
      </c>
      <c r="O794" s="1">
        <v>8</v>
      </c>
      <c r="P794" s="1">
        <v>59</v>
      </c>
      <c r="Q794" s="1">
        <v>314.5</v>
      </c>
      <c r="R794" s="8" t="str">
        <f>_xlfn.IFS(J794&gt;=8,"Hit",J794&gt;=6,"Average",J794&lt;6,"Flop")</f>
        <v>Average</v>
      </c>
      <c r="S794" s="9" t="str">
        <f>_xlfn.IFS(K794&gt;=400,"Blockbuster",K794&gt;=200,"Popular",K794&lt;200,"Normal")</f>
        <v>Popular</v>
      </c>
      <c r="T794" s="10" t="str">
        <f>IF(OR(I794="PG",I794="G"),"Yes","No")</f>
        <v>Yes</v>
      </c>
      <c r="U794" s="11" t="str">
        <f>IF(P794&gt;=100,"High","Low")</f>
        <v>Low</v>
      </c>
      <c r="V794" s="28">
        <f t="shared" si="24"/>
        <v>255.5</v>
      </c>
      <c r="W794" s="29">
        <f t="shared" si="25"/>
        <v>533.05084745762713</v>
      </c>
    </row>
    <row r="795" spans="1:23" x14ac:dyDescent="0.3">
      <c r="A795" s="1" t="s">
        <v>2337</v>
      </c>
      <c r="B795" s="1" t="s">
        <v>2338</v>
      </c>
      <c r="C795" s="1" t="s">
        <v>18</v>
      </c>
      <c r="D795" s="1" t="s">
        <v>75</v>
      </c>
      <c r="E795" s="1">
        <v>2020</v>
      </c>
      <c r="F795" s="1" t="s">
        <v>122</v>
      </c>
      <c r="G795" s="1" t="s">
        <v>2206</v>
      </c>
      <c r="H795" s="1">
        <v>109</v>
      </c>
      <c r="I795" s="1" t="s">
        <v>31</v>
      </c>
      <c r="J795" s="1">
        <v>7.8</v>
      </c>
      <c r="K795" s="1">
        <v>189.2</v>
      </c>
      <c r="L795" s="1" t="s">
        <v>23</v>
      </c>
      <c r="M795" s="1" t="s">
        <v>97</v>
      </c>
      <c r="N795" s="1" t="s">
        <v>34</v>
      </c>
      <c r="O795" s="1"/>
      <c r="P795" s="1">
        <v>24</v>
      </c>
      <c r="Q795" s="1">
        <v>92.4</v>
      </c>
      <c r="R795" s="8" t="str">
        <f>_xlfn.IFS(J795&gt;=8,"Hit",J795&gt;=6,"Average",J795&lt;6,"Flop")</f>
        <v>Average</v>
      </c>
      <c r="S795" s="9" t="str">
        <f>_xlfn.IFS(K795&gt;=400,"Blockbuster",K795&gt;=200,"Popular",K795&lt;200,"Normal")</f>
        <v>Normal</v>
      </c>
      <c r="T795" s="10" t="str">
        <f>IF(OR(I795="PG",I795="G"),"Yes","No")</f>
        <v>No</v>
      </c>
      <c r="U795" s="11" t="str">
        <f>IF(P795&gt;=100,"High","Low")</f>
        <v>Low</v>
      </c>
      <c r="V795" s="28">
        <f t="shared" si="24"/>
        <v>68.400000000000006</v>
      </c>
      <c r="W795" s="29">
        <f t="shared" si="25"/>
        <v>385</v>
      </c>
    </row>
    <row r="796" spans="1:23" x14ac:dyDescent="0.3">
      <c r="A796" s="1" t="s">
        <v>2339</v>
      </c>
      <c r="B796" s="1" t="s">
        <v>2340</v>
      </c>
      <c r="C796" s="1" t="s">
        <v>46</v>
      </c>
      <c r="D796" s="1" t="s">
        <v>47</v>
      </c>
      <c r="E796" s="1">
        <v>2010</v>
      </c>
      <c r="F796" s="1" t="s">
        <v>76</v>
      </c>
      <c r="G796" s="1" t="s">
        <v>2341</v>
      </c>
      <c r="H796" s="1">
        <v>33</v>
      </c>
      <c r="I796" s="1" t="s">
        <v>50</v>
      </c>
      <c r="J796" s="1">
        <v>4.5</v>
      </c>
      <c r="K796" s="1">
        <v>218.9</v>
      </c>
      <c r="L796" s="1" t="s">
        <v>65</v>
      </c>
      <c r="M796" s="1" t="s">
        <v>97</v>
      </c>
      <c r="N796" s="1" t="s">
        <v>79</v>
      </c>
      <c r="O796" s="1">
        <v>8</v>
      </c>
      <c r="P796" s="1">
        <v>37</v>
      </c>
      <c r="Q796" s="1">
        <v>234.2</v>
      </c>
      <c r="R796" s="8" t="str">
        <f>_xlfn.IFS(J796&gt;=8,"Hit",J796&gt;=6,"Average",J796&lt;6,"Flop")</f>
        <v>Flop</v>
      </c>
      <c r="S796" s="9" t="str">
        <f>_xlfn.IFS(K796&gt;=400,"Blockbuster",K796&gt;=200,"Popular",K796&lt;200,"Normal")</f>
        <v>Popular</v>
      </c>
      <c r="T796" s="10" t="str">
        <f>IF(OR(I796="PG",I796="G"),"Yes","No")</f>
        <v>Yes</v>
      </c>
      <c r="U796" s="11" t="str">
        <f>IF(P796&gt;=100,"High","Low")</f>
        <v>Low</v>
      </c>
      <c r="V796" s="28">
        <f t="shared" si="24"/>
        <v>197.2</v>
      </c>
      <c r="W796" s="29">
        <f t="shared" si="25"/>
        <v>632.97297297297291</v>
      </c>
    </row>
    <row r="797" spans="1:23" x14ac:dyDescent="0.3">
      <c r="A797" s="1" t="s">
        <v>2342</v>
      </c>
      <c r="B797" s="1" t="s">
        <v>2343</v>
      </c>
      <c r="C797" s="1" t="s">
        <v>46</v>
      </c>
      <c r="D797" s="1" t="s">
        <v>94</v>
      </c>
      <c r="E797" s="1">
        <v>2015</v>
      </c>
      <c r="F797" s="1" t="s">
        <v>76</v>
      </c>
      <c r="G797" s="1" t="s">
        <v>846</v>
      </c>
      <c r="H797" s="1">
        <v>40</v>
      </c>
      <c r="I797" s="1" t="s">
        <v>22</v>
      </c>
      <c r="J797" s="1">
        <v>8.6</v>
      </c>
      <c r="K797" s="1">
        <v>200.1</v>
      </c>
      <c r="L797" s="1" t="s">
        <v>90</v>
      </c>
      <c r="M797" s="1" t="s">
        <v>111</v>
      </c>
      <c r="N797" s="1" t="s">
        <v>25</v>
      </c>
      <c r="O797" s="1">
        <v>1</v>
      </c>
      <c r="P797" s="1">
        <v>48</v>
      </c>
      <c r="Q797" s="1">
        <v>203.5</v>
      </c>
      <c r="R797" s="8" t="str">
        <f>_xlfn.IFS(J797&gt;=8,"Hit",J797&gt;=6,"Average",J797&lt;6,"Flop")</f>
        <v>Hit</v>
      </c>
      <c r="S797" s="9" t="str">
        <f>_xlfn.IFS(K797&gt;=400,"Blockbuster",K797&gt;=200,"Popular",K797&lt;200,"Normal")</f>
        <v>Popular</v>
      </c>
      <c r="T797" s="10" t="str">
        <f>IF(OR(I797="PG",I797="G"),"Yes","No")</f>
        <v>No</v>
      </c>
      <c r="U797" s="11" t="str">
        <f>IF(P797&gt;=100,"High","Low")</f>
        <v>Low</v>
      </c>
      <c r="V797" s="28">
        <f t="shared" si="24"/>
        <v>155.5</v>
      </c>
      <c r="W797" s="29">
        <f t="shared" si="25"/>
        <v>423.95833333333331</v>
      </c>
    </row>
    <row r="798" spans="1:23" x14ac:dyDescent="0.3">
      <c r="A798" s="1" t="s">
        <v>2344</v>
      </c>
      <c r="B798" s="1" t="s">
        <v>2345</v>
      </c>
      <c r="C798" s="1" t="s">
        <v>18</v>
      </c>
      <c r="D798" s="1" t="s">
        <v>19</v>
      </c>
      <c r="E798" s="1">
        <v>2002</v>
      </c>
      <c r="F798" s="1" t="s">
        <v>122</v>
      </c>
      <c r="G798" s="1" t="s">
        <v>2346</v>
      </c>
      <c r="H798" s="1">
        <v>85</v>
      </c>
      <c r="I798" s="1" t="s">
        <v>22</v>
      </c>
      <c r="J798" s="1">
        <v>5.2</v>
      </c>
      <c r="K798" s="1">
        <v>195.1</v>
      </c>
      <c r="L798" s="1" t="s">
        <v>71</v>
      </c>
      <c r="M798" s="1" t="s">
        <v>132</v>
      </c>
      <c r="N798" s="1" t="s">
        <v>79</v>
      </c>
      <c r="O798" s="1"/>
      <c r="P798" s="1">
        <v>55</v>
      </c>
      <c r="Q798" s="1">
        <v>91.7</v>
      </c>
      <c r="R798" s="8" t="str">
        <f>_xlfn.IFS(J798&gt;=8,"Hit",J798&gt;=6,"Average",J798&lt;6,"Flop")</f>
        <v>Flop</v>
      </c>
      <c r="S798" s="9" t="str">
        <f>_xlfn.IFS(K798&gt;=400,"Blockbuster",K798&gt;=200,"Popular",K798&lt;200,"Normal")</f>
        <v>Normal</v>
      </c>
      <c r="T798" s="10" t="str">
        <f>IF(OR(I798="PG",I798="G"),"Yes","No")</f>
        <v>No</v>
      </c>
      <c r="U798" s="11" t="str">
        <f>IF(P798&gt;=100,"High","Low")</f>
        <v>Low</v>
      </c>
      <c r="V798" s="28">
        <f t="shared" si="24"/>
        <v>36.700000000000003</v>
      </c>
      <c r="W798" s="29">
        <f t="shared" si="25"/>
        <v>166.72727272727272</v>
      </c>
    </row>
    <row r="799" spans="1:23" x14ac:dyDescent="0.3">
      <c r="A799" s="1" t="s">
        <v>2347</v>
      </c>
      <c r="B799" s="1" t="s">
        <v>2348</v>
      </c>
      <c r="C799" s="1" t="s">
        <v>46</v>
      </c>
      <c r="D799" s="1" t="s">
        <v>75</v>
      </c>
      <c r="E799" s="1">
        <v>2023</v>
      </c>
      <c r="F799" s="1" t="s">
        <v>100</v>
      </c>
      <c r="G799" s="1" t="s">
        <v>2349</v>
      </c>
      <c r="H799" s="1">
        <v>31</v>
      </c>
      <c r="I799" s="1" t="s">
        <v>110</v>
      </c>
      <c r="J799" s="1">
        <v>9.1999999999999993</v>
      </c>
      <c r="K799" s="1">
        <v>15.3</v>
      </c>
      <c r="L799" s="1" t="s">
        <v>65</v>
      </c>
      <c r="M799" s="1" t="s">
        <v>33</v>
      </c>
      <c r="N799" s="1" t="s">
        <v>60</v>
      </c>
      <c r="O799" s="1">
        <v>7</v>
      </c>
      <c r="P799" s="1">
        <v>181</v>
      </c>
      <c r="Q799" s="1">
        <v>422.3</v>
      </c>
      <c r="R799" s="8" t="str">
        <f>_xlfn.IFS(J799&gt;=8,"Hit",J799&gt;=6,"Average",J799&lt;6,"Flop")</f>
        <v>Hit</v>
      </c>
      <c r="S799" s="9" t="str">
        <f>_xlfn.IFS(K799&gt;=400,"Blockbuster",K799&gt;=200,"Popular",K799&lt;200,"Normal")</f>
        <v>Normal</v>
      </c>
      <c r="T799" s="10" t="str">
        <f>IF(OR(I799="PG",I799="G"),"Yes","No")</f>
        <v>No</v>
      </c>
      <c r="U799" s="11" t="str">
        <f>IF(P799&gt;=100,"High","Low")</f>
        <v>High</v>
      </c>
      <c r="V799" s="28">
        <f t="shared" si="24"/>
        <v>241.3</v>
      </c>
      <c r="W799" s="29">
        <f t="shared" si="25"/>
        <v>233.31491712707182</v>
      </c>
    </row>
    <row r="800" spans="1:23" x14ac:dyDescent="0.3">
      <c r="A800" s="1" t="s">
        <v>2350</v>
      </c>
      <c r="B800" s="1" t="s">
        <v>2351</v>
      </c>
      <c r="C800" s="1" t="s">
        <v>18</v>
      </c>
      <c r="D800" s="1" t="s">
        <v>94</v>
      </c>
      <c r="E800" s="1">
        <v>2004</v>
      </c>
      <c r="F800" s="1" t="s">
        <v>20</v>
      </c>
      <c r="G800" s="1" t="s">
        <v>2352</v>
      </c>
      <c r="H800" s="1">
        <v>144</v>
      </c>
      <c r="I800" s="1" t="s">
        <v>50</v>
      </c>
      <c r="J800" s="1">
        <v>4.9000000000000004</v>
      </c>
      <c r="K800" s="1">
        <v>421.9</v>
      </c>
      <c r="L800" s="1" t="s">
        <v>65</v>
      </c>
      <c r="M800" s="1" t="s">
        <v>66</v>
      </c>
      <c r="N800" s="1" t="s">
        <v>91</v>
      </c>
      <c r="O800" s="1"/>
      <c r="P800" s="1">
        <v>190</v>
      </c>
      <c r="Q800" s="1">
        <v>1111.0999999999999</v>
      </c>
      <c r="R800" s="8" t="str">
        <f>_xlfn.IFS(J800&gt;=8,"Hit",J800&gt;=6,"Average",J800&lt;6,"Flop")</f>
        <v>Flop</v>
      </c>
      <c r="S800" s="9" t="str">
        <f>_xlfn.IFS(K800&gt;=400,"Blockbuster",K800&gt;=200,"Popular",K800&lt;200,"Normal")</f>
        <v>Blockbuster</v>
      </c>
      <c r="T800" s="10" t="str">
        <f>IF(OR(I800="PG",I800="G"),"Yes","No")</f>
        <v>Yes</v>
      </c>
      <c r="U800" s="11" t="str">
        <f>IF(P800&gt;=100,"High","Low")</f>
        <v>High</v>
      </c>
      <c r="V800" s="28">
        <f t="shared" si="24"/>
        <v>921.09999999999991</v>
      </c>
      <c r="W800" s="29">
        <f t="shared" si="25"/>
        <v>584.78947368421052</v>
      </c>
    </row>
    <row r="801" spans="1:23" x14ac:dyDescent="0.3">
      <c r="A801" s="1" t="s">
        <v>2353</v>
      </c>
      <c r="B801" s="1" t="s">
        <v>2354</v>
      </c>
      <c r="C801" s="1" t="s">
        <v>46</v>
      </c>
      <c r="D801" s="1" t="s">
        <v>117</v>
      </c>
      <c r="E801" s="1">
        <v>2007</v>
      </c>
      <c r="F801" s="1" t="s">
        <v>20</v>
      </c>
      <c r="G801" s="1" t="s">
        <v>2355</v>
      </c>
      <c r="H801" s="1">
        <v>49</v>
      </c>
      <c r="I801" s="1" t="s">
        <v>50</v>
      </c>
      <c r="J801" s="1">
        <v>6.6</v>
      </c>
      <c r="K801" s="1">
        <v>13.2</v>
      </c>
      <c r="L801" s="1" t="s">
        <v>41</v>
      </c>
      <c r="M801" s="1" t="s">
        <v>124</v>
      </c>
      <c r="N801" s="1" t="s">
        <v>79</v>
      </c>
      <c r="O801" s="1">
        <v>1</v>
      </c>
      <c r="P801" s="1">
        <v>169</v>
      </c>
      <c r="Q801" s="1">
        <v>835.3</v>
      </c>
      <c r="R801" s="8" t="str">
        <f>_xlfn.IFS(J801&gt;=8,"Hit",J801&gt;=6,"Average",J801&lt;6,"Flop")</f>
        <v>Average</v>
      </c>
      <c r="S801" s="9" t="str">
        <f>_xlfn.IFS(K801&gt;=400,"Blockbuster",K801&gt;=200,"Popular",K801&lt;200,"Normal")</f>
        <v>Normal</v>
      </c>
      <c r="T801" s="10" t="str">
        <f>IF(OR(I801="PG",I801="G"),"Yes","No")</f>
        <v>Yes</v>
      </c>
      <c r="U801" s="11" t="str">
        <f>IF(P801&gt;=100,"High","Low")</f>
        <v>High</v>
      </c>
      <c r="V801" s="28">
        <f t="shared" si="24"/>
        <v>666.3</v>
      </c>
      <c r="W801" s="29">
        <f t="shared" si="25"/>
        <v>494.26035502958581</v>
      </c>
    </row>
    <row r="802" spans="1:23" x14ac:dyDescent="0.3">
      <c r="A802" s="1" t="s">
        <v>2356</v>
      </c>
      <c r="B802" s="1" t="s">
        <v>2357</v>
      </c>
      <c r="C802" s="1" t="s">
        <v>46</v>
      </c>
      <c r="D802" s="1" t="s">
        <v>37</v>
      </c>
      <c r="E802" s="1">
        <v>2021</v>
      </c>
      <c r="F802" s="1" t="s">
        <v>38</v>
      </c>
      <c r="G802" s="1" t="s">
        <v>2358</v>
      </c>
      <c r="H802" s="1">
        <v>32</v>
      </c>
      <c r="I802" s="1" t="s">
        <v>22</v>
      </c>
      <c r="J802" s="1">
        <v>8.6</v>
      </c>
      <c r="K802" s="1">
        <v>435.4</v>
      </c>
      <c r="L802" s="1" t="s">
        <v>171</v>
      </c>
      <c r="M802" s="1" t="s">
        <v>132</v>
      </c>
      <c r="N802" s="1" t="s">
        <v>34</v>
      </c>
      <c r="O802" s="1">
        <v>1</v>
      </c>
      <c r="P802" s="1">
        <v>79</v>
      </c>
      <c r="Q802" s="1">
        <v>227.4</v>
      </c>
      <c r="R802" s="8" t="str">
        <f>_xlfn.IFS(J802&gt;=8,"Hit",J802&gt;=6,"Average",J802&lt;6,"Flop")</f>
        <v>Hit</v>
      </c>
      <c r="S802" s="9" t="str">
        <f>_xlfn.IFS(K802&gt;=400,"Blockbuster",K802&gt;=200,"Popular",K802&lt;200,"Normal")</f>
        <v>Blockbuster</v>
      </c>
      <c r="T802" s="10" t="str">
        <f>IF(OR(I802="PG",I802="G"),"Yes","No")</f>
        <v>No</v>
      </c>
      <c r="U802" s="11" t="str">
        <f>IF(P802&gt;=100,"High","Low")</f>
        <v>Low</v>
      </c>
      <c r="V802" s="28">
        <f t="shared" si="24"/>
        <v>148.4</v>
      </c>
      <c r="W802" s="29">
        <f t="shared" si="25"/>
        <v>287.84810126582283</v>
      </c>
    </row>
    <row r="803" spans="1:23" x14ac:dyDescent="0.3">
      <c r="A803" s="1" t="s">
        <v>2359</v>
      </c>
      <c r="B803" s="1" t="s">
        <v>2360</v>
      </c>
      <c r="C803" s="1" t="s">
        <v>18</v>
      </c>
      <c r="D803" s="1" t="s">
        <v>28</v>
      </c>
      <c r="E803" s="1">
        <v>2007</v>
      </c>
      <c r="F803" s="1" t="s">
        <v>20</v>
      </c>
      <c r="G803" s="1" t="s">
        <v>2361</v>
      </c>
      <c r="H803" s="1">
        <v>114</v>
      </c>
      <c r="I803" s="1" t="s">
        <v>110</v>
      </c>
      <c r="J803" s="1">
        <v>5.3</v>
      </c>
      <c r="K803" s="1">
        <v>559.1</v>
      </c>
      <c r="L803" s="1" t="s">
        <v>171</v>
      </c>
      <c r="M803" s="1" t="s">
        <v>146</v>
      </c>
      <c r="N803" s="1" t="s">
        <v>34</v>
      </c>
      <c r="O803" s="1"/>
      <c r="P803" s="1">
        <v>67</v>
      </c>
      <c r="Q803" s="1">
        <v>202.4</v>
      </c>
      <c r="R803" s="8" t="str">
        <f>_xlfn.IFS(J803&gt;=8,"Hit",J803&gt;=6,"Average",J803&lt;6,"Flop")</f>
        <v>Flop</v>
      </c>
      <c r="S803" s="9" t="str">
        <f>_xlfn.IFS(K803&gt;=400,"Blockbuster",K803&gt;=200,"Popular",K803&lt;200,"Normal")</f>
        <v>Blockbuster</v>
      </c>
      <c r="T803" s="10" t="str">
        <f>IF(OR(I803="PG",I803="G"),"Yes","No")</f>
        <v>No</v>
      </c>
      <c r="U803" s="11" t="str">
        <f>IF(P803&gt;=100,"High","Low")</f>
        <v>Low</v>
      </c>
      <c r="V803" s="28">
        <f t="shared" si="24"/>
        <v>135.4</v>
      </c>
      <c r="W803" s="29">
        <f t="shared" si="25"/>
        <v>302.08955223880599</v>
      </c>
    </row>
    <row r="804" spans="1:23" x14ac:dyDescent="0.3">
      <c r="A804" s="1" t="s">
        <v>2362</v>
      </c>
      <c r="B804" s="1" t="s">
        <v>2363</v>
      </c>
      <c r="C804" s="1" t="s">
        <v>46</v>
      </c>
      <c r="D804" s="1" t="s">
        <v>63</v>
      </c>
      <c r="E804" s="1">
        <v>2000</v>
      </c>
      <c r="F804" s="1" t="s">
        <v>29</v>
      </c>
      <c r="G804" s="1" t="s">
        <v>2364</v>
      </c>
      <c r="H804" s="1">
        <v>47</v>
      </c>
      <c r="I804" s="1" t="s">
        <v>31</v>
      </c>
      <c r="J804" s="1">
        <v>8.6999999999999993</v>
      </c>
      <c r="K804" s="1">
        <v>379.8</v>
      </c>
      <c r="L804" s="1" t="s">
        <v>23</v>
      </c>
      <c r="M804" s="1" t="s">
        <v>33</v>
      </c>
      <c r="N804" s="1" t="s">
        <v>34</v>
      </c>
      <c r="O804" s="1">
        <v>8</v>
      </c>
      <c r="P804" s="1">
        <v>179</v>
      </c>
      <c r="Q804" s="1">
        <v>874.3</v>
      </c>
      <c r="R804" s="8" t="str">
        <f>_xlfn.IFS(J804&gt;=8,"Hit",J804&gt;=6,"Average",J804&lt;6,"Flop")</f>
        <v>Hit</v>
      </c>
      <c r="S804" s="9" t="str">
        <f>_xlfn.IFS(K804&gt;=400,"Blockbuster",K804&gt;=200,"Popular",K804&lt;200,"Normal")</f>
        <v>Popular</v>
      </c>
      <c r="T804" s="10" t="str">
        <f>IF(OR(I804="PG",I804="G"),"Yes","No")</f>
        <v>No</v>
      </c>
      <c r="U804" s="11" t="str">
        <f>IF(P804&gt;=100,"High","Low")</f>
        <v>High</v>
      </c>
      <c r="V804" s="28">
        <f t="shared" si="24"/>
        <v>695.3</v>
      </c>
      <c r="W804" s="29">
        <f t="shared" si="25"/>
        <v>488.43575418994413</v>
      </c>
    </row>
    <row r="805" spans="1:23" x14ac:dyDescent="0.3">
      <c r="A805" s="1" t="s">
        <v>2365</v>
      </c>
      <c r="B805" s="1" t="s">
        <v>2366</v>
      </c>
      <c r="C805" s="1" t="s">
        <v>18</v>
      </c>
      <c r="D805" s="1" t="s">
        <v>82</v>
      </c>
      <c r="E805" s="1">
        <v>2005</v>
      </c>
      <c r="F805" s="1" t="s">
        <v>122</v>
      </c>
      <c r="G805" s="1" t="s">
        <v>2367</v>
      </c>
      <c r="H805" s="1">
        <v>160</v>
      </c>
      <c r="I805" s="1" t="s">
        <v>50</v>
      </c>
      <c r="J805" s="1">
        <v>6.2</v>
      </c>
      <c r="K805" s="1">
        <v>488</v>
      </c>
      <c r="L805" s="1" t="s">
        <v>90</v>
      </c>
      <c r="M805" s="1" t="s">
        <v>78</v>
      </c>
      <c r="N805" s="1" t="s">
        <v>67</v>
      </c>
      <c r="O805" s="1"/>
      <c r="P805" s="1">
        <v>179</v>
      </c>
      <c r="Q805" s="1">
        <v>1044.8</v>
      </c>
      <c r="R805" s="8" t="str">
        <f>_xlfn.IFS(J805&gt;=8,"Hit",J805&gt;=6,"Average",J805&lt;6,"Flop")</f>
        <v>Average</v>
      </c>
      <c r="S805" s="9" t="str">
        <f>_xlfn.IFS(K805&gt;=400,"Blockbuster",K805&gt;=200,"Popular",K805&lt;200,"Normal")</f>
        <v>Blockbuster</v>
      </c>
      <c r="T805" s="10" t="str">
        <f>IF(OR(I805="PG",I805="G"),"Yes","No")</f>
        <v>Yes</v>
      </c>
      <c r="U805" s="11" t="str">
        <f>IF(P805&gt;=100,"High","Low")</f>
        <v>High</v>
      </c>
      <c r="V805" s="28">
        <f t="shared" si="24"/>
        <v>865.8</v>
      </c>
      <c r="W805" s="29">
        <f t="shared" si="25"/>
        <v>583.68715083798884</v>
      </c>
    </row>
    <row r="806" spans="1:23" x14ac:dyDescent="0.3">
      <c r="A806" s="1" t="s">
        <v>2368</v>
      </c>
      <c r="B806" s="1" t="s">
        <v>2369</v>
      </c>
      <c r="C806" s="1" t="s">
        <v>46</v>
      </c>
      <c r="D806" s="1" t="s">
        <v>37</v>
      </c>
      <c r="E806" s="1">
        <v>2021</v>
      </c>
      <c r="F806" s="1" t="s">
        <v>76</v>
      </c>
      <c r="G806" s="1" t="s">
        <v>2370</v>
      </c>
      <c r="H806" s="1">
        <v>60</v>
      </c>
      <c r="I806" s="1" t="s">
        <v>50</v>
      </c>
      <c r="J806" s="1">
        <v>7.1</v>
      </c>
      <c r="K806" s="1">
        <v>96</v>
      </c>
      <c r="L806" s="1" t="s">
        <v>71</v>
      </c>
      <c r="M806" s="1" t="s">
        <v>54</v>
      </c>
      <c r="N806" s="1" t="s">
        <v>67</v>
      </c>
      <c r="O806" s="1">
        <v>4</v>
      </c>
      <c r="P806" s="1">
        <v>175</v>
      </c>
      <c r="Q806" s="1">
        <v>531.1</v>
      </c>
      <c r="R806" s="8" t="str">
        <f>_xlfn.IFS(J806&gt;=8,"Hit",J806&gt;=6,"Average",J806&lt;6,"Flop")</f>
        <v>Average</v>
      </c>
      <c r="S806" s="9" t="str">
        <f>_xlfn.IFS(K806&gt;=400,"Blockbuster",K806&gt;=200,"Popular",K806&lt;200,"Normal")</f>
        <v>Normal</v>
      </c>
      <c r="T806" s="10" t="str">
        <f>IF(OR(I806="PG",I806="G"),"Yes","No")</f>
        <v>Yes</v>
      </c>
      <c r="U806" s="11" t="str">
        <f>IF(P806&gt;=100,"High","Low")</f>
        <v>High</v>
      </c>
      <c r="V806" s="28">
        <f t="shared" si="24"/>
        <v>356.1</v>
      </c>
      <c r="W806" s="29">
        <f t="shared" si="25"/>
        <v>303.48571428571432</v>
      </c>
    </row>
    <row r="807" spans="1:23" x14ac:dyDescent="0.3">
      <c r="A807" s="1" t="s">
        <v>2371</v>
      </c>
      <c r="B807" s="1" t="s">
        <v>2372</v>
      </c>
      <c r="C807" s="1" t="s">
        <v>18</v>
      </c>
      <c r="D807" s="1" t="s">
        <v>19</v>
      </c>
      <c r="E807" s="1">
        <v>2003</v>
      </c>
      <c r="F807" s="1" t="s">
        <v>181</v>
      </c>
      <c r="G807" s="1" t="s">
        <v>2373</v>
      </c>
      <c r="H807" s="1">
        <v>168</v>
      </c>
      <c r="I807" s="1" t="s">
        <v>22</v>
      </c>
      <c r="J807" s="1">
        <v>6.9</v>
      </c>
      <c r="K807" s="1">
        <v>325.5</v>
      </c>
      <c r="L807" s="1" t="s">
        <v>71</v>
      </c>
      <c r="M807" s="1" t="s">
        <v>33</v>
      </c>
      <c r="N807" s="1" t="s">
        <v>158</v>
      </c>
      <c r="O807" s="1"/>
      <c r="P807" s="1">
        <v>79</v>
      </c>
      <c r="Q807" s="1">
        <v>234.8</v>
      </c>
      <c r="R807" s="8" t="str">
        <f>_xlfn.IFS(J807&gt;=8,"Hit",J807&gt;=6,"Average",J807&lt;6,"Flop")</f>
        <v>Average</v>
      </c>
      <c r="S807" s="9" t="str">
        <f>_xlfn.IFS(K807&gt;=400,"Blockbuster",K807&gt;=200,"Popular",K807&lt;200,"Normal")</f>
        <v>Popular</v>
      </c>
      <c r="T807" s="10" t="str">
        <f>IF(OR(I807="PG",I807="G"),"Yes","No")</f>
        <v>No</v>
      </c>
      <c r="U807" s="11" t="str">
        <f>IF(P807&gt;=100,"High","Low")</f>
        <v>Low</v>
      </c>
      <c r="V807" s="28">
        <f t="shared" si="24"/>
        <v>155.80000000000001</v>
      </c>
      <c r="W807" s="29">
        <f t="shared" si="25"/>
        <v>297.21518987341773</v>
      </c>
    </row>
    <row r="808" spans="1:23" x14ac:dyDescent="0.3">
      <c r="A808" s="1" t="s">
        <v>2374</v>
      </c>
      <c r="B808" s="1" t="s">
        <v>2375</v>
      </c>
      <c r="C808" s="1" t="s">
        <v>46</v>
      </c>
      <c r="D808" s="1" t="s">
        <v>47</v>
      </c>
      <c r="E808" s="1">
        <v>2001</v>
      </c>
      <c r="F808" s="1" t="s">
        <v>38</v>
      </c>
      <c r="G808" s="1" t="s">
        <v>2376</v>
      </c>
      <c r="H808" s="1">
        <v>53</v>
      </c>
      <c r="I808" s="1" t="s">
        <v>22</v>
      </c>
      <c r="J808" s="1">
        <v>5.6</v>
      </c>
      <c r="K808" s="1">
        <v>208.2</v>
      </c>
      <c r="L808" s="1" t="s">
        <v>23</v>
      </c>
      <c r="M808" s="1" t="s">
        <v>42</v>
      </c>
      <c r="N808" s="1" t="s">
        <v>119</v>
      </c>
      <c r="O808" s="1">
        <v>7</v>
      </c>
      <c r="P808" s="1">
        <v>102</v>
      </c>
      <c r="Q808" s="1">
        <v>577.9</v>
      </c>
      <c r="R808" s="8" t="str">
        <f>_xlfn.IFS(J808&gt;=8,"Hit",J808&gt;=6,"Average",J808&lt;6,"Flop")</f>
        <v>Flop</v>
      </c>
      <c r="S808" s="9" t="str">
        <f>_xlfn.IFS(K808&gt;=400,"Blockbuster",K808&gt;=200,"Popular",K808&lt;200,"Normal")</f>
        <v>Popular</v>
      </c>
      <c r="T808" s="10" t="str">
        <f>IF(OR(I808="PG",I808="G"),"Yes","No")</f>
        <v>No</v>
      </c>
      <c r="U808" s="11" t="str">
        <f>IF(P808&gt;=100,"High","Low")</f>
        <v>High</v>
      </c>
      <c r="V808" s="28">
        <f t="shared" si="24"/>
        <v>475.9</v>
      </c>
      <c r="W808" s="29">
        <f t="shared" si="25"/>
        <v>566.56862745098033</v>
      </c>
    </row>
    <row r="809" spans="1:23" x14ac:dyDescent="0.3">
      <c r="A809" s="1" t="s">
        <v>2377</v>
      </c>
      <c r="B809" s="1" t="s">
        <v>2378</v>
      </c>
      <c r="C809" s="1" t="s">
        <v>46</v>
      </c>
      <c r="D809" s="1" t="s">
        <v>37</v>
      </c>
      <c r="E809" s="1">
        <v>2008</v>
      </c>
      <c r="F809" s="1" t="s">
        <v>48</v>
      </c>
      <c r="G809" s="1" t="s">
        <v>2379</v>
      </c>
      <c r="H809" s="1">
        <v>32</v>
      </c>
      <c r="I809" s="1" t="s">
        <v>22</v>
      </c>
      <c r="J809" s="1">
        <v>5.2</v>
      </c>
      <c r="K809" s="1">
        <v>559.29999999999995</v>
      </c>
      <c r="L809" s="1" t="s">
        <v>171</v>
      </c>
      <c r="M809" s="1" t="s">
        <v>124</v>
      </c>
      <c r="N809" s="1" t="s">
        <v>158</v>
      </c>
      <c r="O809" s="1">
        <v>3</v>
      </c>
      <c r="P809" s="1">
        <v>148</v>
      </c>
      <c r="Q809" s="1">
        <v>601.79999999999995</v>
      </c>
      <c r="R809" s="8" t="str">
        <f>_xlfn.IFS(J809&gt;=8,"Hit",J809&gt;=6,"Average",J809&lt;6,"Flop")</f>
        <v>Flop</v>
      </c>
      <c r="S809" s="9" t="str">
        <f>_xlfn.IFS(K809&gt;=400,"Blockbuster",K809&gt;=200,"Popular",K809&lt;200,"Normal")</f>
        <v>Blockbuster</v>
      </c>
      <c r="T809" s="10" t="str">
        <f>IF(OR(I809="PG",I809="G"),"Yes","No")</f>
        <v>No</v>
      </c>
      <c r="U809" s="11" t="str">
        <f>IF(P809&gt;=100,"High","Low")</f>
        <v>High</v>
      </c>
      <c r="V809" s="28">
        <f t="shared" si="24"/>
        <v>453.79999999999995</v>
      </c>
      <c r="W809" s="29">
        <f t="shared" si="25"/>
        <v>406.62162162162161</v>
      </c>
    </row>
    <row r="810" spans="1:23" x14ac:dyDescent="0.3">
      <c r="A810" s="1" t="s">
        <v>2380</v>
      </c>
      <c r="B810" s="1" t="s">
        <v>2381</v>
      </c>
      <c r="C810" s="1" t="s">
        <v>46</v>
      </c>
      <c r="D810" s="1" t="s">
        <v>19</v>
      </c>
      <c r="E810" s="1">
        <v>2020</v>
      </c>
      <c r="F810" s="1" t="s">
        <v>76</v>
      </c>
      <c r="G810" s="1" t="s">
        <v>393</v>
      </c>
      <c r="H810" s="1">
        <v>59</v>
      </c>
      <c r="I810" s="1" t="s">
        <v>22</v>
      </c>
      <c r="J810" s="1">
        <v>8.6</v>
      </c>
      <c r="K810" s="1">
        <v>155.9</v>
      </c>
      <c r="L810" s="1" t="s">
        <v>90</v>
      </c>
      <c r="M810" s="1" t="s">
        <v>78</v>
      </c>
      <c r="N810" s="1" t="s">
        <v>25</v>
      </c>
      <c r="O810" s="1">
        <v>1</v>
      </c>
      <c r="P810" s="1">
        <v>188</v>
      </c>
      <c r="Q810" s="1">
        <v>910.7</v>
      </c>
      <c r="R810" s="8" t="str">
        <f>_xlfn.IFS(J810&gt;=8,"Hit",J810&gt;=6,"Average",J810&lt;6,"Flop")</f>
        <v>Hit</v>
      </c>
      <c r="S810" s="9" t="str">
        <f>_xlfn.IFS(K810&gt;=400,"Blockbuster",K810&gt;=200,"Popular",K810&lt;200,"Normal")</f>
        <v>Normal</v>
      </c>
      <c r="T810" s="10" t="str">
        <f>IF(OR(I810="PG",I810="G"),"Yes","No")</f>
        <v>No</v>
      </c>
      <c r="U810" s="11" t="str">
        <f>IF(P810&gt;=100,"High","Low")</f>
        <v>High</v>
      </c>
      <c r="V810" s="28">
        <f t="shared" si="24"/>
        <v>722.7</v>
      </c>
      <c r="W810" s="29">
        <f t="shared" si="25"/>
        <v>484.41489361702128</v>
      </c>
    </row>
    <row r="811" spans="1:23" x14ac:dyDescent="0.3">
      <c r="A811" s="1" t="s">
        <v>2382</v>
      </c>
      <c r="B811" s="1" t="s">
        <v>2383</v>
      </c>
      <c r="C811" s="1" t="s">
        <v>46</v>
      </c>
      <c r="D811" s="1" t="s">
        <v>28</v>
      </c>
      <c r="E811" s="1">
        <v>2017</v>
      </c>
      <c r="F811" s="1" t="s">
        <v>20</v>
      </c>
      <c r="G811" s="1" t="s">
        <v>1905</v>
      </c>
      <c r="H811" s="1">
        <v>43</v>
      </c>
      <c r="I811" s="1" t="s">
        <v>50</v>
      </c>
      <c r="J811" s="1">
        <v>5.3</v>
      </c>
      <c r="K811" s="1">
        <v>97.5</v>
      </c>
      <c r="L811" s="1" t="s">
        <v>71</v>
      </c>
      <c r="M811" s="1" t="s">
        <v>146</v>
      </c>
      <c r="N811" s="1" t="s">
        <v>67</v>
      </c>
      <c r="O811" s="1">
        <v>6</v>
      </c>
      <c r="P811" s="1">
        <v>109</v>
      </c>
      <c r="Q811" s="1">
        <v>475.9</v>
      </c>
      <c r="R811" s="8" t="str">
        <f>_xlfn.IFS(J811&gt;=8,"Hit",J811&gt;=6,"Average",J811&lt;6,"Flop")</f>
        <v>Flop</v>
      </c>
      <c r="S811" s="9" t="str">
        <f>_xlfn.IFS(K811&gt;=400,"Blockbuster",K811&gt;=200,"Popular",K811&lt;200,"Normal")</f>
        <v>Normal</v>
      </c>
      <c r="T811" s="10" t="str">
        <f>IF(OR(I811="PG",I811="G"),"Yes","No")</f>
        <v>Yes</v>
      </c>
      <c r="U811" s="11" t="str">
        <f>IF(P811&gt;=100,"High","Low")</f>
        <v>High</v>
      </c>
      <c r="V811" s="28">
        <f t="shared" si="24"/>
        <v>366.9</v>
      </c>
      <c r="W811" s="29">
        <f t="shared" si="25"/>
        <v>436.60550458715591</v>
      </c>
    </row>
    <row r="812" spans="1:23" x14ac:dyDescent="0.3">
      <c r="A812" s="1" t="s">
        <v>2384</v>
      </c>
      <c r="B812" s="1" t="s">
        <v>2385</v>
      </c>
      <c r="C812" s="1" t="s">
        <v>18</v>
      </c>
      <c r="D812" s="1" t="s">
        <v>63</v>
      </c>
      <c r="E812" s="1">
        <v>2006</v>
      </c>
      <c r="F812" s="1" t="s">
        <v>83</v>
      </c>
      <c r="G812" s="1" t="s">
        <v>2386</v>
      </c>
      <c r="H812" s="1">
        <v>140</v>
      </c>
      <c r="I812" s="1" t="s">
        <v>31</v>
      </c>
      <c r="J812" s="1">
        <v>9.3000000000000007</v>
      </c>
      <c r="K812" s="1">
        <v>34.299999999999997</v>
      </c>
      <c r="L812" s="1" t="s">
        <v>71</v>
      </c>
      <c r="M812" s="1" t="s">
        <v>106</v>
      </c>
      <c r="N812" s="1" t="s">
        <v>128</v>
      </c>
      <c r="O812" s="1"/>
      <c r="P812" s="1">
        <v>12</v>
      </c>
      <c r="Q812" s="1">
        <v>17.600000000000001</v>
      </c>
      <c r="R812" s="8" t="str">
        <f>_xlfn.IFS(J812&gt;=8,"Hit",J812&gt;=6,"Average",J812&lt;6,"Flop")</f>
        <v>Hit</v>
      </c>
      <c r="S812" s="9" t="str">
        <f>_xlfn.IFS(K812&gt;=400,"Blockbuster",K812&gt;=200,"Popular",K812&lt;200,"Normal")</f>
        <v>Normal</v>
      </c>
      <c r="T812" s="10" t="str">
        <f>IF(OR(I812="PG",I812="G"),"Yes","No")</f>
        <v>No</v>
      </c>
      <c r="U812" s="11" t="str">
        <f>IF(P812&gt;=100,"High","Low")</f>
        <v>Low</v>
      </c>
      <c r="V812" s="28">
        <f t="shared" si="24"/>
        <v>5.6000000000000014</v>
      </c>
      <c r="W812" s="29">
        <f t="shared" si="25"/>
        <v>146.66666666666669</v>
      </c>
    </row>
    <row r="813" spans="1:23" x14ac:dyDescent="0.3">
      <c r="A813" s="1" t="s">
        <v>2387</v>
      </c>
      <c r="B813" s="1" t="s">
        <v>2388</v>
      </c>
      <c r="C813" s="1" t="s">
        <v>18</v>
      </c>
      <c r="D813" s="1" t="s">
        <v>28</v>
      </c>
      <c r="E813" s="1">
        <v>2002</v>
      </c>
      <c r="F813" s="1" t="s">
        <v>38</v>
      </c>
      <c r="G813" s="1" t="s">
        <v>2389</v>
      </c>
      <c r="H813" s="1">
        <v>119</v>
      </c>
      <c r="I813" s="1" t="s">
        <v>31</v>
      </c>
      <c r="J813" s="1">
        <v>6.6</v>
      </c>
      <c r="K813" s="1">
        <v>566</v>
      </c>
      <c r="L813" s="1" t="s">
        <v>41</v>
      </c>
      <c r="M813" s="1" t="s">
        <v>157</v>
      </c>
      <c r="N813" s="1" t="s">
        <v>158</v>
      </c>
      <c r="O813" s="1"/>
      <c r="P813" s="1">
        <v>95</v>
      </c>
      <c r="Q813" s="1">
        <v>541.4</v>
      </c>
      <c r="R813" s="8" t="str">
        <f>_xlfn.IFS(J813&gt;=8,"Hit",J813&gt;=6,"Average",J813&lt;6,"Flop")</f>
        <v>Average</v>
      </c>
      <c r="S813" s="9" t="str">
        <f>_xlfn.IFS(K813&gt;=400,"Blockbuster",K813&gt;=200,"Popular",K813&lt;200,"Normal")</f>
        <v>Blockbuster</v>
      </c>
      <c r="T813" s="10" t="str">
        <f>IF(OR(I813="PG",I813="G"),"Yes","No")</f>
        <v>No</v>
      </c>
      <c r="U813" s="11" t="str">
        <f>IF(P813&gt;=100,"High","Low")</f>
        <v>Low</v>
      </c>
      <c r="V813" s="28">
        <f t="shared" si="24"/>
        <v>446.4</v>
      </c>
      <c r="W813" s="29">
        <f t="shared" si="25"/>
        <v>569.8947368421052</v>
      </c>
    </row>
    <row r="814" spans="1:23" x14ac:dyDescent="0.3">
      <c r="A814" s="1" t="s">
        <v>2390</v>
      </c>
      <c r="B814" s="1" t="s">
        <v>2391</v>
      </c>
      <c r="C814" s="1" t="s">
        <v>46</v>
      </c>
      <c r="D814" s="1" t="s">
        <v>117</v>
      </c>
      <c r="E814" s="1">
        <v>2001</v>
      </c>
      <c r="F814" s="1" t="s">
        <v>76</v>
      </c>
      <c r="G814" s="1" t="s">
        <v>2392</v>
      </c>
      <c r="H814" s="1">
        <v>59</v>
      </c>
      <c r="I814" s="1" t="s">
        <v>31</v>
      </c>
      <c r="J814" s="1">
        <v>7.2</v>
      </c>
      <c r="K814" s="1">
        <v>72.8</v>
      </c>
      <c r="L814" s="1" t="s">
        <v>71</v>
      </c>
      <c r="M814" s="1" t="s">
        <v>42</v>
      </c>
      <c r="N814" s="1" t="s">
        <v>60</v>
      </c>
      <c r="O814" s="1">
        <v>8</v>
      </c>
      <c r="P814" s="1">
        <v>120</v>
      </c>
      <c r="Q814" s="1">
        <v>221.5</v>
      </c>
      <c r="R814" s="8" t="str">
        <f>_xlfn.IFS(J814&gt;=8,"Hit",J814&gt;=6,"Average",J814&lt;6,"Flop")</f>
        <v>Average</v>
      </c>
      <c r="S814" s="9" t="str">
        <f>_xlfn.IFS(K814&gt;=400,"Blockbuster",K814&gt;=200,"Popular",K814&lt;200,"Normal")</f>
        <v>Normal</v>
      </c>
      <c r="T814" s="10" t="str">
        <f>IF(OR(I814="PG",I814="G"),"Yes","No")</f>
        <v>No</v>
      </c>
      <c r="U814" s="11" t="str">
        <f>IF(P814&gt;=100,"High","Low")</f>
        <v>High</v>
      </c>
      <c r="V814" s="28">
        <f t="shared" si="24"/>
        <v>101.5</v>
      </c>
      <c r="W814" s="29">
        <f t="shared" si="25"/>
        <v>184.58333333333334</v>
      </c>
    </row>
    <row r="815" spans="1:23" x14ac:dyDescent="0.3">
      <c r="A815" s="1" t="s">
        <v>2393</v>
      </c>
      <c r="B815" s="1" t="s">
        <v>2394</v>
      </c>
      <c r="C815" s="1" t="s">
        <v>46</v>
      </c>
      <c r="D815" s="1" t="s">
        <v>82</v>
      </c>
      <c r="E815" s="1">
        <v>2020</v>
      </c>
      <c r="F815" s="1" t="s">
        <v>181</v>
      </c>
      <c r="G815" s="1" t="s">
        <v>2395</v>
      </c>
      <c r="H815" s="1">
        <v>47</v>
      </c>
      <c r="I815" s="1" t="s">
        <v>22</v>
      </c>
      <c r="J815" s="1">
        <v>8</v>
      </c>
      <c r="K815" s="1">
        <v>130.69999999999999</v>
      </c>
      <c r="L815" s="1" t="s">
        <v>71</v>
      </c>
      <c r="M815" s="1" t="s">
        <v>111</v>
      </c>
      <c r="N815" s="1" t="s">
        <v>91</v>
      </c>
      <c r="O815" s="1">
        <v>8</v>
      </c>
      <c r="P815" s="1">
        <v>122</v>
      </c>
      <c r="Q815" s="1">
        <v>398.4</v>
      </c>
      <c r="R815" s="8" t="str">
        <f>_xlfn.IFS(J815&gt;=8,"Hit",J815&gt;=6,"Average",J815&lt;6,"Flop")</f>
        <v>Hit</v>
      </c>
      <c r="S815" s="9" t="str">
        <f>_xlfn.IFS(K815&gt;=400,"Blockbuster",K815&gt;=200,"Popular",K815&lt;200,"Normal")</f>
        <v>Normal</v>
      </c>
      <c r="T815" s="10" t="str">
        <f>IF(OR(I815="PG",I815="G"),"Yes","No")</f>
        <v>No</v>
      </c>
      <c r="U815" s="11" t="str">
        <f>IF(P815&gt;=100,"High","Low")</f>
        <v>High</v>
      </c>
      <c r="V815" s="28">
        <f t="shared" si="24"/>
        <v>276.39999999999998</v>
      </c>
      <c r="W815" s="29">
        <f t="shared" si="25"/>
        <v>326.55737704918033</v>
      </c>
    </row>
    <row r="816" spans="1:23" x14ac:dyDescent="0.3">
      <c r="A816" s="1" t="s">
        <v>2396</v>
      </c>
      <c r="B816" s="1" t="s">
        <v>2397</v>
      </c>
      <c r="C816" s="1" t="s">
        <v>46</v>
      </c>
      <c r="D816" s="1" t="s">
        <v>28</v>
      </c>
      <c r="E816" s="1">
        <v>2015</v>
      </c>
      <c r="F816" s="1" t="s">
        <v>29</v>
      </c>
      <c r="G816" s="1" t="s">
        <v>2398</v>
      </c>
      <c r="H816" s="1">
        <v>49</v>
      </c>
      <c r="I816" s="1" t="s">
        <v>40</v>
      </c>
      <c r="J816" s="1">
        <v>7.7</v>
      </c>
      <c r="K816" s="1">
        <v>497.5</v>
      </c>
      <c r="L816" s="1" t="s">
        <v>71</v>
      </c>
      <c r="M816" s="1" t="s">
        <v>42</v>
      </c>
      <c r="N816" s="1" t="s">
        <v>55</v>
      </c>
      <c r="O816" s="1">
        <v>7</v>
      </c>
      <c r="P816" s="1">
        <v>146</v>
      </c>
      <c r="Q816" s="1">
        <v>915.3</v>
      </c>
      <c r="R816" s="8" t="str">
        <f>_xlfn.IFS(J816&gt;=8,"Hit",J816&gt;=6,"Average",J816&lt;6,"Flop")</f>
        <v>Average</v>
      </c>
      <c r="S816" s="9" t="str">
        <f>_xlfn.IFS(K816&gt;=400,"Blockbuster",K816&gt;=200,"Popular",K816&lt;200,"Normal")</f>
        <v>Blockbuster</v>
      </c>
      <c r="T816" s="10" t="str">
        <f>IF(OR(I816="PG",I816="G"),"Yes","No")</f>
        <v>Yes</v>
      </c>
      <c r="U816" s="11" t="str">
        <f>IF(P816&gt;=100,"High","Low")</f>
        <v>High</v>
      </c>
      <c r="V816" s="28">
        <f t="shared" si="24"/>
        <v>769.3</v>
      </c>
      <c r="W816" s="29">
        <f t="shared" si="25"/>
        <v>626.91780821917803</v>
      </c>
    </row>
    <row r="817" spans="1:23" x14ac:dyDescent="0.3">
      <c r="A817" s="1" t="s">
        <v>2399</v>
      </c>
      <c r="B817" s="1" t="s">
        <v>2400</v>
      </c>
      <c r="C817" s="1" t="s">
        <v>18</v>
      </c>
      <c r="D817" s="1" t="s">
        <v>94</v>
      </c>
      <c r="E817" s="1">
        <v>2013</v>
      </c>
      <c r="F817" s="1" t="s">
        <v>38</v>
      </c>
      <c r="G817" s="1" t="s">
        <v>2401</v>
      </c>
      <c r="H817" s="1">
        <v>98</v>
      </c>
      <c r="I817" s="1" t="s">
        <v>22</v>
      </c>
      <c r="J817" s="1">
        <v>5.0999999999999996</v>
      </c>
      <c r="K817" s="1">
        <v>561.70000000000005</v>
      </c>
      <c r="L817" s="1" t="s">
        <v>41</v>
      </c>
      <c r="M817" s="1" t="s">
        <v>33</v>
      </c>
      <c r="N817" s="1" t="s">
        <v>34</v>
      </c>
      <c r="O817" s="1"/>
      <c r="P817" s="1">
        <v>45</v>
      </c>
      <c r="Q817" s="1">
        <v>125.2</v>
      </c>
      <c r="R817" s="8" t="str">
        <f>_xlfn.IFS(J817&gt;=8,"Hit",J817&gt;=6,"Average",J817&lt;6,"Flop")</f>
        <v>Flop</v>
      </c>
      <c r="S817" s="9" t="str">
        <f>_xlfn.IFS(K817&gt;=400,"Blockbuster",K817&gt;=200,"Popular",K817&lt;200,"Normal")</f>
        <v>Blockbuster</v>
      </c>
      <c r="T817" s="10" t="str">
        <f>IF(OR(I817="PG",I817="G"),"Yes","No")</f>
        <v>No</v>
      </c>
      <c r="U817" s="11" t="str">
        <f>IF(P817&gt;=100,"High","Low")</f>
        <v>Low</v>
      </c>
      <c r="V817" s="28">
        <f t="shared" si="24"/>
        <v>80.2</v>
      </c>
      <c r="W817" s="29">
        <f t="shared" si="25"/>
        <v>278.22222222222223</v>
      </c>
    </row>
    <row r="818" spans="1:23" x14ac:dyDescent="0.3">
      <c r="A818" s="1" t="s">
        <v>2402</v>
      </c>
      <c r="B818" s="1" t="s">
        <v>2403</v>
      </c>
      <c r="C818" s="1" t="s">
        <v>46</v>
      </c>
      <c r="D818" s="1" t="s">
        <v>141</v>
      </c>
      <c r="E818" s="1">
        <v>2020</v>
      </c>
      <c r="F818" s="1" t="s">
        <v>38</v>
      </c>
      <c r="G818" s="1" t="s">
        <v>2404</v>
      </c>
      <c r="H818" s="1">
        <v>39</v>
      </c>
      <c r="I818" s="1" t="s">
        <v>31</v>
      </c>
      <c r="J818" s="1">
        <v>9.1</v>
      </c>
      <c r="K818" s="1">
        <v>384.1</v>
      </c>
      <c r="L818" s="1" t="s">
        <v>90</v>
      </c>
      <c r="M818" s="1" t="s">
        <v>132</v>
      </c>
      <c r="N818" s="1" t="s">
        <v>178</v>
      </c>
      <c r="O818" s="1">
        <v>1</v>
      </c>
      <c r="P818" s="1">
        <v>107</v>
      </c>
      <c r="Q818" s="1">
        <v>564.1</v>
      </c>
      <c r="R818" s="8" t="str">
        <f>_xlfn.IFS(J818&gt;=8,"Hit",J818&gt;=6,"Average",J818&lt;6,"Flop")</f>
        <v>Hit</v>
      </c>
      <c r="S818" s="9" t="str">
        <f>_xlfn.IFS(K818&gt;=400,"Blockbuster",K818&gt;=200,"Popular",K818&lt;200,"Normal")</f>
        <v>Popular</v>
      </c>
      <c r="T818" s="10" t="str">
        <f>IF(OR(I818="PG",I818="G"),"Yes","No")</f>
        <v>No</v>
      </c>
      <c r="U818" s="11" t="str">
        <f>IF(P818&gt;=100,"High","Low")</f>
        <v>High</v>
      </c>
      <c r="V818" s="28">
        <f t="shared" si="24"/>
        <v>457.1</v>
      </c>
      <c r="W818" s="29">
        <f t="shared" si="25"/>
        <v>527.19626168224295</v>
      </c>
    </row>
    <row r="819" spans="1:23" x14ac:dyDescent="0.3">
      <c r="A819" s="1" t="s">
        <v>2405</v>
      </c>
      <c r="B819" s="1" t="s">
        <v>2406</v>
      </c>
      <c r="C819" s="1" t="s">
        <v>46</v>
      </c>
      <c r="D819" s="1" t="s">
        <v>75</v>
      </c>
      <c r="E819" s="1">
        <v>2022</v>
      </c>
      <c r="F819" s="1" t="s">
        <v>29</v>
      </c>
      <c r="G819" s="1" t="s">
        <v>2407</v>
      </c>
      <c r="H819" s="1">
        <v>50</v>
      </c>
      <c r="I819" s="1" t="s">
        <v>110</v>
      </c>
      <c r="J819" s="1">
        <v>6.4</v>
      </c>
      <c r="K819" s="1">
        <v>588</v>
      </c>
      <c r="L819" s="1" t="s">
        <v>41</v>
      </c>
      <c r="M819" s="1" t="s">
        <v>124</v>
      </c>
      <c r="N819" s="1" t="s">
        <v>119</v>
      </c>
      <c r="O819" s="1">
        <v>4</v>
      </c>
      <c r="P819" s="1">
        <v>97</v>
      </c>
      <c r="Q819" s="1">
        <v>169.6</v>
      </c>
      <c r="R819" s="8" t="str">
        <f>_xlfn.IFS(J819&gt;=8,"Hit",J819&gt;=6,"Average",J819&lt;6,"Flop")</f>
        <v>Average</v>
      </c>
      <c r="S819" s="9" t="str">
        <f>_xlfn.IFS(K819&gt;=400,"Blockbuster",K819&gt;=200,"Popular",K819&lt;200,"Normal")</f>
        <v>Blockbuster</v>
      </c>
      <c r="T819" s="10" t="str">
        <f>IF(OR(I819="PG",I819="G"),"Yes","No")</f>
        <v>No</v>
      </c>
      <c r="U819" s="11" t="str">
        <f>IF(P819&gt;=100,"High","Low")</f>
        <v>Low</v>
      </c>
      <c r="V819" s="28">
        <f t="shared" si="24"/>
        <v>72.599999999999994</v>
      </c>
      <c r="W819" s="29">
        <f t="shared" si="25"/>
        <v>174.84536082474227</v>
      </c>
    </row>
    <row r="820" spans="1:23" x14ac:dyDescent="0.3">
      <c r="A820" s="1" t="s">
        <v>2408</v>
      </c>
      <c r="B820" s="1" t="s">
        <v>2409</v>
      </c>
      <c r="C820" s="1" t="s">
        <v>18</v>
      </c>
      <c r="D820" s="1" t="s">
        <v>141</v>
      </c>
      <c r="E820" s="1">
        <v>2014</v>
      </c>
      <c r="F820" s="1" t="s">
        <v>38</v>
      </c>
      <c r="G820" s="1" t="s">
        <v>2145</v>
      </c>
      <c r="H820" s="1">
        <v>121</v>
      </c>
      <c r="I820" s="1" t="s">
        <v>110</v>
      </c>
      <c r="J820" s="1">
        <v>6.5</v>
      </c>
      <c r="K820" s="1">
        <v>180.6</v>
      </c>
      <c r="L820" s="1" t="s">
        <v>32</v>
      </c>
      <c r="M820" s="1" t="s">
        <v>33</v>
      </c>
      <c r="N820" s="1" t="s">
        <v>119</v>
      </c>
      <c r="O820" s="1"/>
      <c r="P820" s="1">
        <v>5</v>
      </c>
      <c r="Q820" s="1">
        <v>24</v>
      </c>
      <c r="R820" s="8" t="str">
        <f>_xlfn.IFS(J820&gt;=8,"Hit",J820&gt;=6,"Average",J820&lt;6,"Flop")</f>
        <v>Average</v>
      </c>
      <c r="S820" s="9" t="str">
        <f>_xlfn.IFS(K820&gt;=400,"Blockbuster",K820&gt;=200,"Popular",K820&lt;200,"Normal")</f>
        <v>Normal</v>
      </c>
      <c r="T820" s="10" t="str">
        <f>IF(OR(I820="PG",I820="G"),"Yes","No")</f>
        <v>No</v>
      </c>
      <c r="U820" s="11" t="str">
        <f>IF(P820&gt;=100,"High","Low")</f>
        <v>Low</v>
      </c>
      <c r="V820" s="28">
        <f t="shared" si="24"/>
        <v>19</v>
      </c>
      <c r="W820" s="29">
        <f t="shared" si="25"/>
        <v>480</v>
      </c>
    </row>
    <row r="821" spans="1:23" x14ac:dyDescent="0.3">
      <c r="A821" s="1" t="s">
        <v>2410</v>
      </c>
      <c r="B821" s="1" t="s">
        <v>2411</v>
      </c>
      <c r="C821" s="1" t="s">
        <v>18</v>
      </c>
      <c r="D821" s="1" t="s">
        <v>63</v>
      </c>
      <c r="E821" s="1">
        <v>2015</v>
      </c>
      <c r="F821" s="1" t="s">
        <v>181</v>
      </c>
      <c r="G821" s="1" t="s">
        <v>1902</v>
      </c>
      <c r="H821" s="1">
        <v>180</v>
      </c>
      <c r="I821" s="1" t="s">
        <v>50</v>
      </c>
      <c r="J821" s="1">
        <v>4.8</v>
      </c>
      <c r="K821" s="1">
        <v>267.39999999999998</v>
      </c>
      <c r="L821" s="1" t="s">
        <v>65</v>
      </c>
      <c r="M821" s="1" t="s">
        <v>146</v>
      </c>
      <c r="N821" s="1" t="s">
        <v>60</v>
      </c>
      <c r="O821" s="1"/>
      <c r="P821" s="1">
        <v>134</v>
      </c>
      <c r="Q821" s="1">
        <v>378.8</v>
      </c>
      <c r="R821" s="8" t="str">
        <f>_xlfn.IFS(J821&gt;=8,"Hit",J821&gt;=6,"Average",J821&lt;6,"Flop")</f>
        <v>Flop</v>
      </c>
      <c r="S821" s="9" t="str">
        <f>_xlfn.IFS(K821&gt;=400,"Blockbuster",K821&gt;=200,"Popular",K821&lt;200,"Normal")</f>
        <v>Popular</v>
      </c>
      <c r="T821" s="10" t="str">
        <f>IF(OR(I821="PG",I821="G"),"Yes","No")</f>
        <v>Yes</v>
      </c>
      <c r="U821" s="11" t="str">
        <f>IF(P821&gt;=100,"High","Low")</f>
        <v>High</v>
      </c>
      <c r="V821" s="28">
        <f t="shared" si="24"/>
        <v>244.8</v>
      </c>
      <c r="W821" s="29">
        <f t="shared" si="25"/>
        <v>282.68656716417911</v>
      </c>
    </row>
    <row r="822" spans="1:23" x14ac:dyDescent="0.3">
      <c r="A822" s="1" t="s">
        <v>2412</v>
      </c>
      <c r="B822" s="1" t="s">
        <v>2413</v>
      </c>
      <c r="C822" s="1" t="s">
        <v>46</v>
      </c>
      <c r="D822" s="1" t="s">
        <v>47</v>
      </c>
      <c r="E822" s="1">
        <v>2022</v>
      </c>
      <c r="F822" s="1" t="s">
        <v>29</v>
      </c>
      <c r="G822" s="1" t="s">
        <v>2414</v>
      </c>
      <c r="H822" s="1">
        <v>37</v>
      </c>
      <c r="I822" s="1" t="s">
        <v>110</v>
      </c>
      <c r="J822" s="1">
        <v>5.4</v>
      </c>
      <c r="K822" s="1">
        <v>69.900000000000006</v>
      </c>
      <c r="L822" s="1" t="s">
        <v>41</v>
      </c>
      <c r="M822" s="1" t="s">
        <v>54</v>
      </c>
      <c r="N822" s="1" t="s">
        <v>86</v>
      </c>
      <c r="O822" s="1">
        <v>8</v>
      </c>
      <c r="P822" s="1">
        <v>5</v>
      </c>
      <c r="Q822" s="1">
        <v>10.6</v>
      </c>
      <c r="R822" s="8" t="str">
        <f>_xlfn.IFS(J822&gt;=8,"Hit",J822&gt;=6,"Average",J822&lt;6,"Flop")</f>
        <v>Flop</v>
      </c>
      <c r="S822" s="9" t="str">
        <f>_xlfn.IFS(K822&gt;=400,"Blockbuster",K822&gt;=200,"Popular",K822&lt;200,"Normal")</f>
        <v>Normal</v>
      </c>
      <c r="T822" s="10" t="str">
        <f>IF(OR(I822="PG",I822="G"),"Yes","No")</f>
        <v>No</v>
      </c>
      <c r="U822" s="11" t="str">
        <f>IF(P822&gt;=100,"High","Low")</f>
        <v>Low</v>
      </c>
      <c r="V822" s="28">
        <f t="shared" si="24"/>
        <v>5.6</v>
      </c>
      <c r="W822" s="29">
        <f t="shared" si="25"/>
        <v>212</v>
      </c>
    </row>
    <row r="823" spans="1:23" x14ac:dyDescent="0.3">
      <c r="A823" s="1" t="s">
        <v>2415</v>
      </c>
      <c r="B823" s="1" t="s">
        <v>2416</v>
      </c>
      <c r="C823" s="1" t="s">
        <v>46</v>
      </c>
      <c r="D823" s="1" t="s">
        <v>63</v>
      </c>
      <c r="E823" s="1">
        <v>2000</v>
      </c>
      <c r="F823" s="1" t="s">
        <v>29</v>
      </c>
      <c r="G823" s="1" t="s">
        <v>2417</v>
      </c>
      <c r="H823" s="1">
        <v>59</v>
      </c>
      <c r="I823" s="1" t="s">
        <v>110</v>
      </c>
      <c r="J823" s="1">
        <v>8.9</v>
      </c>
      <c r="K823" s="1">
        <v>326.10000000000002</v>
      </c>
      <c r="L823" s="1" t="s">
        <v>65</v>
      </c>
      <c r="M823" s="1" t="s">
        <v>72</v>
      </c>
      <c r="N823" s="1" t="s">
        <v>119</v>
      </c>
      <c r="O823" s="1">
        <v>2</v>
      </c>
      <c r="P823" s="1">
        <v>194</v>
      </c>
      <c r="Q823" s="1">
        <v>623.1</v>
      </c>
      <c r="R823" s="8" t="str">
        <f>_xlfn.IFS(J823&gt;=8,"Hit",J823&gt;=6,"Average",J823&lt;6,"Flop")</f>
        <v>Hit</v>
      </c>
      <c r="S823" s="9" t="str">
        <f>_xlfn.IFS(K823&gt;=400,"Blockbuster",K823&gt;=200,"Popular",K823&lt;200,"Normal")</f>
        <v>Popular</v>
      </c>
      <c r="T823" s="10" t="str">
        <f>IF(OR(I823="PG",I823="G"),"Yes","No")</f>
        <v>No</v>
      </c>
      <c r="U823" s="11" t="str">
        <f>IF(P823&gt;=100,"High","Low")</f>
        <v>High</v>
      </c>
      <c r="V823" s="28">
        <f t="shared" si="24"/>
        <v>429.1</v>
      </c>
      <c r="W823" s="29">
        <f t="shared" si="25"/>
        <v>321.18556701030928</v>
      </c>
    </row>
    <row r="824" spans="1:23" x14ac:dyDescent="0.3">
      <c r="A824" s="1" t="s">
        <v>2418</v>
      </c>
      <c r="B824" s="1" t="s">
        <v>2419</v>
      </c>
      <c r="C824" s="1" t="s">
        <v>46</v>
      </c>
      <c r="D824" s="1" t="s">
        <v>94</v>
      </c>
      <c r="E824" s="1">
        <v>2005</v>
      </c>
      <c r="F824" s="1" t="s">
        <v>48</v>
      </c>
      <c r="G824" s="1" t="s">
        <v>2420</v>
      </c>
      <c r="H824" s="1">
        <v>47</v>
      </c>
      <c r="I824" s="1" t="s">
        <v>50</v>
      </c>
      <c r="J824" s="1">
        <v>8.6999999999999993</v>
      </c>
      <c r="K824" s="1">
        <v>449.1</v>
      </c>
      <c r="L824" s="1" t="s">
        <v>90</v>
      </c>
      <c r="M824" s="1" t="s">
        <v>97</v>
      </c>
      <c r="N824" s="1" t="s">
        <v>128</v>
      </c>
      <c r="O824" s="1">
        <v>3</v>
      </c>
      <c r="P824" s="1">
        <v>130</v>
      </c>
      <c r="Q824" s="1">
        <v>237.7</v>
      </c>
      <c r="R824" s="8" t="str">
        <f>_xlfn.IFS(J824&gt;=8,"Hit",J824&gt;=6,"Average",J824&lt;6,"Flop")</f>
        <v>Hit</v>
      </c>
      <c r="S824" s="9" t="str">
        <f>_xlfn.IFS(K824&gt;=400,"Blockbuster",K824&gt;=200,"Popular",K824&lt;200,"Normal")</f>
        <v>Blockbuster</v>
      </c>
      <c r="T824" s="10" t="str">
        <f>IF(OR(I824="PG",I824="G"),"Yes","No")</f>
        <v>Yes</v>
      </c>
      <c r="U824" s="11" t="str">
        <f>IF(P824&gt;=100,"High","Low")</f>
        <v>High</v>
      </c>
      <c r="V824" s="28">
        <f t="shared" si="24"/>
        <v>107.69999999999999</v>
      </c>
      <c r="W824" s="29">
        <f t="shared" si="25"/>
        <v>182.84615384615384</v>
      </c>
    </row>
    <row r="825" spans="1:23" x14ac:dyDescent="0.3">
      <c r="A825" s="1" t="s">
        <v>2421</v>
      </c>
      <c r="B825" s="1" t="s">
        <v>2422</v>
      </c>
      <c r="C825" s="1" t="s">
        <v>46</v>
      </c>
      <c r="D825" s="1" t="s">
        <v>37</v>
      </c>
      <c r="E825" s="1">
        <v>2009</v>
      </c>
      <c r="F825" s="1" t="s">
        <v>20</v>
      </c>
      <c r="G825" s="1" t="s">
        <v>1280</v>
      </c>
      <c r="H825" s="1">
        <v>36</v>
      </c>
      <c r="I825" s="1" t="s">
        <v>110</v>
      </c>
      <c r="J825" s="1">
        <v>9.1999999999999993</v>
      </c>
      <c r="K825" s="1">
        <v>203.5</v>
      </c>
      <c r="L825" s="1" t="s">
        <v>71</v>
      </c>
      <c r="M825" s="1" t="s">
        <v>24</v>
      </c>
      <c r="N825" s="1" t="s">
        <v>128</v>
      </c>
      <c r="O825" s="1">
        <v>7</v>
      </c>
      <c r="P825" s="1">
        <v>100</v>
      </c>
      <c r="Q825" s="1">
        <v>630.9</v>
      </c>
      <c r="R825" s="8" t="str">
        <f>_xlfn.IFS(J825&gt;=8,"Hit",J825&gt;=6,"Average",J825&lt;6,"Flop")</f>
        <v>Hit</v>
      </c>
      <c r="S825" s="9" t="str">
        <f>_xlfn.IFS(K825&gt;=400,"Blockbuster",K825&gt;=200,"Popular",K825&lt;200,"Normal")</f>
        <v>Popular</v>
      </c>
      <c r="T825" s="10" t="str">
        <f>IF(OR(I825="PG",I825="G"),"Yes","No")</f>
        <v>No</v>
      </c>
      <c r="U825" s="11" t="str">
        <f>IF(P825&gt;=100,"High","Low")</f>
        <v>High</v>
      </c>
      <c r="V825" s="28">
        <f t="shared" si="24"/>
        <v>530.9</v>
      </c>
      <c r="W825" s="29">
        <f t="shared" si="25"/>
        <v>630.9</v>
      </c>
    </row>
    <row r="826" spans="1:23" x14ac:dyDescent="0.3">
      <c r="A826" s="1" t="s">
        <v>2423</v>
      </c>
      <c r="B826" s="1" t="s">
        <v>2424</v>
      </c>
      <c r="C826" s="1" t="s">
        <v>46</v>
      </c>
      <c r="D826" s="1" t="s">
        <v>141</v>
      </c>
      <c r="E826" s="1">
        <v>2007</v>
      </c>
      <c r="F826" s="1" t="s">
        <v>29</v>
      </c>
      <c r="G826" s="1" t="s">
        <v>2425</v>
      </c>
      <c r="H826" s="1">
        <v>47</v>
      </c>
      <c r="I826" s="1" t="s">
        <v>22</v>
      </c>
      <c r="J826" s="1">
        <v>5</v>
      </c>
      <c r="K826" s="1">
        <v>418.7</v>
      </c>
      <c r="L826" s="1" t="s">
        <v>71</v>
      </c>
      <c r="M826" s="1" t="s">
        <v>42</v>
      </c>
      <c r="N826" s="1" t="s">
        <v>158</v>
      </c>
      <c r="O826" s="1">
        <v>2</v>
      </c>
      <c r="P826" s="1">
        <v>25</v>
      </c>
      <c r="Q826" s="1">
        <v>68.2</v>
      </c>
      <c r="R826" s="8" t="str">
        <f>_xlfn.IFS(J826&gt;=8,"Hit",J826&gt;=6,"Average",J826&lt;6,"Flop")</f>
        <v>Flop</v>
      </c>
      <c r="S826" s="9" t="str">
        <f>_xlfn.IFS(K826&gt;=400,"Blockbuster",K826&gt;=200,"Popular",K826&lt;200,"Normal")</f>
        <v>Blockbuster</v>
      </c>
      <c r="T826" s="10" t="str">
        <f>IF(OR(I826="PG",I826="G"),"Yes","No")</f>
        <v>No</v>
      </c>
      <c r="U826" s="11" t="str">
        <f>IF(P826&gt;=100,"High","Low")</f>
        <v>Low</v>
      </c>
      <c r="V826" s="28">
        <f t="shared" si="24"/>
        <v>43.2</v>
      </c>
      <c r="W826" s="29">
        <f t="shared" si="25"/>
        <v>272.8</v>
      </c>
    </row>
    <row r="827" spans="1:23" x14ac:dyDescent="0.3">
      <c r="A827" s="1" t="s">
        <v>2426</v>
      </c>
      <c r="B827" s="1" t="s">
        <v>2427</v>
      </c>
      <c r="C827" s="1" t="s">
        <v>46</v>
      </c>
      <c r="D827" s="1" t="s">
        <v>37</v>
      </c>
      <c r="E827" s="1">
        <v>2021</v>
      </c>
      <c r="F827" s="1" t="s">
        <v>38</v>
      </c>
      <c r="G827" s="1" t="s">
        <v>2428</v>
      </c>
      <c r="H827" s="1">
        <v>32</v>
      </c>
      <c r="I827" s="1" t="s">
        <v>40</v>
      </c>
      <c r="J827" s="1">
        <v>6.2</v>
      </c>
      <c r="K827" s="1">
        <v>325.2</v>
      </c>
      <c r="L827" s="1" t="s">
        <v>65</v>
      </c>
      <c r="M827" s="1" t="s">
        <v>146</v>
      </c>
      <c r="N827" s="1" t="s">
        <v>60</v>
      </c>
      <c r="O827" s="1">
        <v>6</v>
      </c>
      <c r="P827" s="1">
        <v>105</v>
      </c>
      <c r="Q827" s="1">
        <v>192.2</v>
      </c>
      <c r="R827" s="8" t="str">
        <f>_xlfn.IFS(J827&gt;=8,"Hit",J827&gt;=6,"Average",J827&lt;6,"Flop")</f>
        <v>Average</v>
      </c>
      <c r="S827" s="9" t="str">
        <f>_xlfn.IFS(K827&gt;=400,"Blockbuster",K827&gt;=200,"Popular",K827&lt;200,"Normal")</f>
        <v>Popular</v>
      </c>
      <c r="T827" s="10" t="str">
        <f>IF(OR(I827="PG",I827="G"),"Yes","No")</f>
        <v>Yes</v>
      </c>
      <c r="U827" s="11" t="str">
        <f>IF(P827&gt;=100,"High","Low")</f>
        <v>High</v>
      </c>
      <c r="V827" s="28">
        <f t="shared" si="24"/>
        <v>87.199999999999989</v>
      </c>
      <c r="W827" s="29">
        <f t="shared" si="25"/>
        <v>183.04761904761904</v>
      </c>
    </row>
    <row r="828" spans="1:23" x14ac:dyDescent="0.3">
      <c r="A828" s="1" t="s">
        <v>2429</v>
      </c>
      <c r="B828" s="1" t="s">
        <v>2430</v>
      </c>
      <c r="C828" s="1" t="s">
        <v>46</v>
      </c>
      <c r="D828" s="1" t="s">
        <v>82</v>
      </c>
      <c r="E828" s="1">
        <v>2015</v>
      </c>
      <c r="F828" s="1" t="s">
        <v>38</v>
      </c>
      <c r="G828" s="1" t="s">
        <v>1722</v>
      </c>
      <c r="H828" s="1">
        <v>30</v>
      </c>
      <c r="I828" s="1" t="s">
        <v>50</v>
      </c>
      <c r="J828" s="1">
        <v>8.9</v>
      </c>
      <c r="K828" s="1">
        <v>370.4</v>
      </c>
      <c r="L828" s="1" t="s">
        <v>41</v>
      </c>
      <c r="M828" s="1" t="s">
        <v>157</v>
      </c>
      <c r="N828" s="1" t="s">
        <v>43</v>
      </c>
      <c r="O828" s="1">
        <v>5</v>
      </c>
      <c r="P828" s="1">
        <v>106</v>
      </c>
      <c r="Q828" s="1">
        <v>180.4</v>
      </c>
      <c r="R828" s="8" t="str">
        <f>_xlfn.IFS(J828&gt;=8,"Hit",J828&gt;=6,"Average",J828&lt;6,"Flop")</f>
        <v>Hit</v>
      </c>
      <c r="S828" s="9" t="str">
        <f>_xlfn.IFS(K828&gt;=400,"Blockbuster",K828&gt;=200,"Popular",K828&lt;200,"Normal")</f>
        <v>Popular</v>
      </c>
      <c r="T828" s="10" t="str">
        <f>IF(OR(I828="PG",I828="G"),"Yes","No")</f>
        <v>Yes</v>
      </c>
      <c r="U828" s="11" t="str">
        <f>IF(P828&gt;=100,"High","Low")</f>
        <v>High</v>
      </c>
      <c r="V828" s="28">
        <f t="shared" si="24"/>
        <v>74.400000000000006</v>
      </c>
      <c r="W828" s="29">
        <f t="shared" si="25"/>
        <v>170.18867924528303</v>
      </c>
    </row>
    <row r="829" spans="1:23" x14ac:dyDescent="0.3">
      <c r="A829" s="1" t="s">
        <v>2431</v>
      </c>
      <c r="B829" s="1" t="s">
        <v>2432</v>
      </c>
      <c r="C829" s="1" t="s">
        <v>46</v>
      </c>
      <c r="D829" s="1" t="s">
        <v>82</v>
      </c>
      <c r="E829" s="1">
        <v>2011</v>
      </c>
      <c r="F829" s="1" t="s">
        <v>181</v>
      </c>
      <c r="G829" s="1" t="s">
        <v>2433</v>
      </c>
      <c r="H829" s="1">
        <v>41</v>
      </c>
      <c r="I829" s="1" t="s">
        <v>22</v>
      </c>
      <c r="J829" s="1">
        <v>8.6</v>
      </c>
      <c r="K829" s="1">
        <v>196.3</v>
      </c>
      <c r="L829" s="1" t="s">
        <v>23</v>
      </c>
      <c r="M829" s="1" t="s">
        <v>106</v>
      </c>
      <c r="N829" s="1" t="s">
        <v>178</v>
      </c>
      <c r="O829" s="1">
        <v>8</v>
      </c>
      <c r="P829" s="1">
        <v>59</v>
      </c>
      <c r="Q829" s="1">
        <v>355.8</v>
      </c>
      <c r="R829" s="8" t="str">
        <f>_xlfn.IFS(J829&gt;=8,"Hit",J829&gt;=6,"Average",J829&lt;6,"Flop")</f>
        <v>Hit</v>
      </c>
      <c r="S829" s="9" t="str">
        <f>_xlfn.IFS(K829&gt;=400,"Blockbuster",K829&gt;=200,"Popular",K829&lt;200,"Normal")</f>
        <v>Normal</v>
      </c>
      <c r="T829" s="10" t="str">
        <f>IF(OR(I829="PG",I829="G"),"Yes","No")</f>
        <v>No</v>
      </c>
      <c r="U829" s="11" t="str">
        <f>IF(P829&gt;=100,"High","Low")</f>
        <v>Low</v>
      </c>
      <c r="V829" s="28">
        <f t="shared" si="24"/>
        <v>296.8</v>
      </c>
      <c r="W829" s="29">
        <f t="shared" si="25"/>
        <v>603.05084745762713</v>
      </c>
    </row>
    <row r="830" spans="1:23" x14ac:dyDescent="0.3">
      <c r="A830" s="1" t="s">
        <v>2434</v>
      </c>
      <c r="B830" s="1" t="s">
        <v>2435</v>
      </c>
      <c r="C830" s="1" t="s">
        <v>46</v>
      </c>
      <c r="D830" s="1" t="s">
        <v>37</v>
      </c>
      <c r="E830" s="1">
        <v>2011</v>
      </c>
      <c r="F830" s="1" t="s">
        <v>38</v>
      </c>
      <c r="G830" s="1" t="s">
        <v>2436</v>
      </c>
      <c r="H830" s="1">
        <v>45</v>
      </c>
      <c r="I830" s="1" t="s">
        <v>50</v>
      </c>
      <c r="J830" s="1">
        <v>8.9</v>
      </c>
      <c r="K830" s="1">
        <v>56.2</v>
      </c>
      <c r="L830" s="1" t="s">
        <v>90</v>
      </c>
      <c r="M830" s="1" t="s">
        <v>146</v>
      </c>
      <c r="N830" s="1" t="s">
        <v>25</v>
      </c>
      <c r="O830" s="1">
        <v>5</v>
      </c>
      <c r="P830" s="1">
        <v>89</v>
      </c>
      <c r="Q830" s="1">
        <v>418.9</v>
      </c>
      <c r="R830" s="8" t="str">
        <f>_xlfn.IFS(J830&gt;=8,"Hit",J830&gt;=6,"Average",J830&lt;6,"Flop")</f>
        <v>Hit</v>
      </c>
      <c r="S830" s="9" t="str">
        <f>_xlfn.IFS(K830&gt;=400,"Blockbuster",K830&gt;=200,"Popular",K830&lt;200,"Normal")</f>
        <v>Normal</v>
      </c>
      <c r="T830" s="10" t="str">
        <f>IF(OR(I830="PG",I830="G"),"Yes","No")</f>
        <v>Yes</v>
      </c>
      <c r="U830" s="11" t="str">
        <f>IF(P830&gt;=100,"High","Low")</f>
        <v>Low</v>
      </c>
      <c r="V830" s="28">
        <f t="shared" si="24"/>
        <v>329.9</v>
      </c>
      <c r="W830" s="29">
        <f t="shared" si="25"/>
        <v>470.67415730337075</v>
      </c>
    </row>
    <row r="831" spans="1:23" x14ac:dyDescent="0.3">
      <c r="A831" s="1" t="s">
        <v>2437</v>
      </c>
      <c r="B831" s="1" t="s">
        <v>2438</v>
      </c>
      <c r="C831" s="1" t="s">
        <v>46</v>
      </c>
      <c r="D831" s="1" t="s">
        <v>19</v>
      </c>
      <c r="E831" s="1">
        <v>2023</v>
      </c>
      <c r="F831" s="1" t="s">
        <v>48</v>
      </c>
      <c r="G831" s="1" t="s">
        <v>455</v>
      </c>
      <c r="H831" s="1">
        <v>45</v>
      </c>
      <c r="I831" s="1" t="s">
        <v>31</v>
      </c>
      <c r="J831" s="1">
        <v>8.6</v>
      </c>
      <c r="K831" s="1">
        <v>376.2</v>
      </c>
      <c r="L831" s="1" t="s">
        <v>23</v>
      </c>
      <c r="M831" s="1" t="s">
        <v>24</v>
      </c>
      <c r="N831" s="1" t="s">
        <v>67</v>
      </c>
      <c r="O831" s="1">
        <v>6</v>
      </c>
      <c r="P831" s="1">
        <v>149</v>
      </c>
      <c r="Q831" s="1">
        <v>579</v>
      </c>
      <c r="R831" s="8" t="str">
        <f>_xlfn.IFS(J831&gt;=8,"Hit",J831&gt;=6,"Average",J831&lt;6,"Flop")</f>
        <v>Hit</v>
      </c>
      <c r="S831" s="9" t="str">
        <f>_xlfn.IFS(K831&gt;=400,"Blockbuster",K831&gt;=200,"Popular",K831&lt;200,"Normal")</f>
        <v>Popular</v>
      </c>
      <c r="T831" s="10" t="str">
        <f>IF(OR(I831="PG",I831="G"),"Yes","No")</f>
        <v>No</v>
      </c>
      <c r="U831" s="11" t="str">
        <f>IF(P831&gt;=100,"High","Low")</f>
        <v>High</v>
      </c>
      <c r="V831" s="28">
        <f t="shared" si="24"/>
        <v>430</v>
      </c>
      <c r="W831" s="29">
        <f t="shared" si="25"/>
        <v>388.59060402684565</v>
      </c>
    </row>
    <row r="832" spans="1:23" x14ac:dyDescent="0.3">
      <c r="A832" s="1" t="s">
        <v>2439</v>
      </c>
      <c r="B832" s="1" t="s">
        <v>2440</v>
      </c>
      <c r="C832" s="1" t="s">
        <v>46</v>
      </c>
      <c r="D832" s="1" t="s">
        <v>94</v>
      </c>
      <c r="E832" s="1">
        <v>2023</v>
      </c>
      <c r="F832" s="1" t="s">
        <v>29</v>
      </c>
      <c r="G832" s="1" t="s">
        <v>1862</v>
      </c>
      <c r="H832" s="1">
        <v>54</v>
      </c>
      <c r="I832" s="1" t="s">
        <v>50</v>
      </c>
      <c r="J832" s="1">
        <v>6.1</v>
      </c>
      <c r="K832" s="1">
        <v>326.7</v>
      </c>
      <c r="L832" s="1" t="s">
        <v>90</v>
      </c>
      <c r="M832" s="1" t="s">
        <v>124</v>
      </c>
      <c r="N832" s="1" t="s">
        <v>102</v>
      </c>
      <c r="O832" s="1">
        <v>8</v>
      </c>
      <c r="P832" s="1">
        <v>22</v>
      </c>
      <c r="Q832" s="1">
        <v>80.2</v>
      </c>
      <c r="R832" s="8" t="str">
        <f>_xlfn.IFS(J832&gt;=8,"Hit",J832&gt;=6,"Average",J832&lt;6,"Flop")</f>
        <v>Average</v>
      </c>
      <c r="S832" s="9" t="str">
        <f>_xlfn.IFS(K832&gt;=400,"Blockbuster",K832&gt;=200,"Popular",K832&lt;200,"Normal")</f>
        <v>Popular</v>
      </c>
      <c r="T832" s="10" t="str">
        <f>IF(OR(I832="PG",I832="G"),"Yes","No")</f>
        <v>Yes</v>
      </c>
      <c r="U832" s="11" t="str">
        <f>IF(P832&gt;=100,"High","Low")</f>
        <v>Low</v>
      </c>
      <c r="V832" s="28">
        <f t="shared" si="24"/>
        <v>58.2</v>
      </c>
      <c r="W832" s="29">
        <f t="shared" si="25"/>
        <v>364.54545454545456</v>
      </c>
    </row>
    <row r="833" spans="1:23" x14ac:dyDescent="0.3">
      <c r="A833" s="1" t="s">
        <v>2441</v>
      </c>
      <c r="B833" s="1" t="s">
        <v>2442</v>
      </c>
      <c r="C833" s="1" t="s">
        <v>46</v>
      </c>
      <c r="D833" s="1" t="s">
        <v>28</v>
      </c>
      <c r="E833" s="1">
        <v>2014</v>
      </c>
      <c r="F833" s="1" t="s">
        <v>122</v>
      </c>
      <c r="G833" s="1" t="s">
        <v>2443</v>
      </c>
      <c r="H833" s="1">
        <v>47</v>
      </c>
      <c r="I833" s="1" t="s">
        <v>31</v>
      </c>
      <c r="J833" s="1">
        <v>7.9</v>
      </c>
      <c r="K833" s="1">
        <v>458.5</v>
      </c>
      <c r="L833" s="1" t="s">
        <v>41</v>
      </c>
      <c r="M833" s="1" t="s">
        <v>66</v>
      </c>
      <c r="N833" s="1" t="s">
        <v>178</v>
      </c>
      <c r="O833" s="1">
        <v>7</v>
      </c>
      <c r="P833" s="1">
        <v>53</v>
      </c>
      <c r="Q833" s="1">
        <v>220.2</v>
      </c>
      <c r="R833" s="8" t="str">
        <f>_xlfn.IFS(J833&gt;=8,"Hit",J833&gt;=6,"Average",J833&lt;6,"Flop")</f>
        <v>Average</v>
      </c>
      <c r="S833" s="9" t="str">
        <f>_xlfn.IFS(K833&gt;=400,"Blockbuster",K833&gt;=200,"Popular",K833&lt;200,"Normal")</f>
        <v>Blockbuster</v>
      </c>
      <c r="T833" s="10" t="str">
        <f>IF(OR(I833="PG",I833="G"),"Yes","No")</f>
        <v>No</v>
      </c>
      <c r="U833" s="11" t="str">
        <f>IF(P833&gt;=100,"High","Low")</f>
        <v>Low</v>
      </c>
      <c r="V833" s="28">
        <f t="shared" si="24"/>
        <v>167.2</v>
      </c>
      <c r="W833" s="29">
        <f t="shared" si="25"/>
        <v>415.47169811320759</v>
      </c>
    </row>
    <row r="834" spans="1:23" x14ac:dyDescent="0.3">
      <c r="A834" s="1" t="s">
        <v>2444</v>
      </c>
      <c r="B834" s="1" t="s">
        <v>2445</v>
      </c>
      <c r="C834" s="1" t="s">
        <v>46</v>
      </c>
      <c r="D834" s="1" t="s">
        <v>63</v>
      </c>
      <c r="E834" s="1">
        <v>2006</v>
      </c>
      <c r="F834" s="1" t="s">
        <v>48</v>
      </c>
      <c r="G834" s="1" t="s">
        <v>2446</v>
      </c>
      <c r="H834" s="1">
        <v>40</v>
      </c>
      <c r="I834" s="1" t="s">
        <v>22</v>
      </c>
      <c r="J834" s="1">
        <v>7.2</v>
      </c>
      <c r="K834" s="1">
        <v>131.5</v>
      </c>
      <c r="L834" s="1" t="s">
        <v>41</v>
      </c>
      <c r="M834" s="1" t="s">
        <v>106</v>
      </c>
      <c r="N834" s="1" t="s">
        <v>178</v>
      </c>
      <c r="O834" s="1">
        <v>8</v>
      </c>
      <c r="P834" s="1">
        <v>52</v>
      </c>
      <c r="Q834" s="1">
        <v>202.5</v>
      </c>
      <c r="R834" s="8" t="str">
        <f>_xlfn.IFS(J834&gt;=8,"Hit",J834&gt;=6,"Average",J834&lt;6,"Flop")</f>
        <v>Average</v>
      </c>
      <c r="S834" s="9" t="str">
        <f>_xlfn.IFS(K834&gt;=400,"Blockbuster",K834&gt;=200,"Popular",K834&lt;200,"Normal")</f>
        <v>Normal</v>
      </c>
      <c r="T834" s="10" t="str">
        <f>IF(OR(I834="PG",I834="G"),"Yes","No")</f>
        <v>No</v>
      </c>
      <c r="U834" s="11" t="str">
        <f>IF(P834&gt;=100,"High","Low")</f>
        <v>Low</v>
      </c>
      <c r="V834" s="28">
        <f t="shared" si="24"/>
        <v>150.5</v>
      </c>
      <c r="W834" s="29">
        <f t="shared" si="25"/>
        <v>389.42307692307691</v>
      </c>
    </row>
    <row r="835" spans="1:23" x14ac:dyDescent="0.3">
      <c r="A835" s="1" t="s">
        <v>2447</v>
      </c>
      <c r="B835" s="1" t="s">
        <v>2448</v>
      </c>
      <c r="C835" s="1" t="s">
        <v>46</v>
      </c>
      <c r="D835" s="1" t="s">
        <v>28</v>
      </c>
      <c r="E835" s="1">
        <v>2010</v>
      </c>
      <c r="F835" s="1" t="s">
        <v>20</v>
      </c>
      <c r="G835" s="1" t="s">
        <v>2449</v>
      </c>
      <c r="H835" s="1">
        <v>48</v>
      </c>
      <c r="I835" s="1" t="s">
        <v>22</v>
      </c>
      <c r="J835" s="1">
        <v>7.4</v>
      </c>
      <c r="K835" s="1">
        <v>191.1</v>
      </c>
      <c r="L835" s="1" t="s">
        <v>41</v>
      </c>
      <c r="M835" s="1" t="s">
        <v>106</v>
      </c>
      <c r="N835" s="1" t="s">
        <v>34</v>
      </c>
      <c r="O835" s="1">
        <v>3</v>
      </c>
      <c r="P835" s="1">
        <v>147</v>
      </c>
      <c r="Q835" s="1">
        <v>605.6</v>
      </c>
      <c r="R835" s="8" t="str">
        <f>_xlfn.IFS(J835&gt;=8,"Hit",J835&gt;=6,"Average",J835&lt;6,"Flop")</f>
        <v>Average</v>
      </c>
      <c r="S835" s="9" t="str">
        <f>_xlfn.IFS(K835&gt;=400,"Blockbuster",K835&gt;=200,"Popular",K835&lt;200,"Normal")</f>
        <v>Normal</v>
      </c>
      <c r="T835" s="10" t="str">
        <f>IF(OR(I835="PG",I835="G"),"Yes","No")</f>
        <v>No</v>
      </c>
      <c r="U835" s="11" t="str">
        <f>IF(P835&gt;=100,"High","Low")</f>
        <v>High</v>
      </c>
      <c r="V835" s="28">
        <f t="shared" ref="V835:V898" si="26">Q835-P835</f>
        <v>458.6</v>
      </c>
      <c r="W835" s="29">
        <f t="shared" ref="W835:W898" si="27">(Q835/P835)*100</f>
        <v>411.97278911564626</v>
      </c>
    </row>
    <row r="836" spans="1:23" x14ac:dyDescent="0.3">
      <c r="A836" s="1" t="s">
        <v>2450</v>
      </c>
      <c r="B836" s="1" t="s">
        <v>2451</v>
      </c>
      <c r="C836" s="1" t="s">
        <v>46</v>
      </c>
      <c r="D836" s="1" t="s">
        <v>94</v>
      </c>
      <c r="E836" s="1">
        <v>2018</v>
      </c>
      <c r="F836" s="1" t="s">
        <v>181</v>
      </c>
      <c r="G836" s="1" t="s">
        <v>2452</v>
      </c>
      <c r="H836" s="1">
        <v>39</v>
      </c>
      <c r="I836" s="1" t="s">
        <v>40</v>
      </c>
      <c r="J836" s="1">
        <v>5.5</v>
      </c>
      <c r="K836" s="1">
        <v>53.2</v>
      </c>
      <c r="L836" s="1" t="s">
        <v>171</v>
      </c>
      <c r="M836" s="1" t="s">
        <v>72</v>
      </c>
      <c r="N836" s="1" t="s">
        <v>43</v>
      </c>
      <c r="O836" s="1">
        <v>5</v>
      </c>
      <c r="P836" s="1">
        <v>62</v>
      </c>
      <c r="Q836" s="1">
        <v>225.6</v>
      </c>
      <c r="R836" s="8" t="str">
        <f>_xlfn.IFS(J836&gt;=8,"Hit",J836&gt;=6,"Average",J836&lt;6,"Flop")</f>
        <v>Flop</v>
      </c>
      <c r="S836" s="9" t="str">
        <f>_xlfn.IFS(K836&gt;=400,"Blockbuster",K836&gt;=200,"Popular",K836&lt;200,"Normal")</f>
        <v>Normal</v>
      </c>
      <c r="T836" s="10" t="str">
        <f>IF(OR(I836="PG",I836="G"),"Yes","No")</f>
        <v>Yes</v>
      </c>
      <c r="U836" s="11" t="str">
        <f>IF(P836&gt;=100,"High","Low")</f>
        <v>Low</v>
      </c>
      <c r="V836" s="28">
        <f t="shared" si="26"/>
        <v>163.6</v>
      </c>
      <c r="W836" s="29">
        <f t="shared" si="27"/>
        <v>363.87096774193549</v>
      </c>
    </row>
    <row r="837" spans="1:23" x14ac:dyDescent="0.3">
      <c r="A837" s="1" t="s">
        <v>2453</v>
      </c>
      <c r="B837" s="1" t="s">
        <v>2454</v>
      </c>
      <c r="C837" s="1" t="s">
        <v>18</v>
      </c>
      <c r="D837" s="1" t="s">
        <v>63</v>
      </c>
      <c r="E837" s="1">
        <v>2003</v>
      </c>
      <c r="F837" s="1" t="s">
        <v>76</v>
      </c>
      <c r="G837" s="1" t="s">
        <v>2455</v>
      </c>
      <c r="H837" s="1">
        <v>112</v>
      </c>
      <c r="I837" s="1" t="s">
        <v>31</v>
      </c>
      <c r="J837" s="1">
        <v>5.3</v>
      </c>
      <c r="K837" s="1">
        <v>439.2</v>
      </c>
      <c r="L837" s="1" t="s">
        <v>90</v>
      </c>
      <c r="M837" s="1" t="s">
        <v>85</v>
      </c>
      <c r="N837" s="1" t="s">
        <v>158</v>
      </c>
      <c r="O837" s="1"/>
      <c r="P837" s="1">
        <v>195</v>
      </c>
      <c r="Q837" s="1">
        <v>851.3</v>
      </c>
      <c r="R837" s="8" t="str">
        <f>_xlfn.IFS(J837&gt;=8,"Hit",J837&gt;=6,"Average",J837&lt;6,"Flop")</f>
        <v>Flop</v>
      </c>
      <c r="S837" s="9" t="str">
        <f>_xlfn.IFS(K837&gt;=400,"Blockbuster",K837&gt;=200,"Popular",K837&lt;200,"Normal")</f>
        <v>Blockbuster</v>
      </c>
      <c r="T837" s="10" t="str">
        <f>IF(OR(I837="PG",I837="G"),"Yes","No")</f>
        <v>No</v>
      </c>
      <c r="U837" s="11" t="str">
        <f>IF(P837&gt;=100,"High","Low")</f>
        <v>High</v>
      </c>
      <c r="V837" s="28">
        <f t="shared" si="26"/>
        <v>656.3</v>
      </c>
      <c r="W837" s="29">
        <f t="shared" si="27"/>
        <v>436.56410256410254</v>
      </c>
    </row>
    <row r="838" spans="1:23" x14ac:dyDescent="0.3">
      <c r="A838" s="1" t="s">
        <v>2456</v>
      </c>
      <c r="B838" s="1" t="s">
        <v>2457</v>
      </c>
      <c r="C838" s="1" t="s">
        <v>18</v>
      </c>
      <c r="D838" s="1" t="s">
        <v>19</v>
      </c>
      <c r="E838" s="1">
        <v>2021</v>
      </c>
      <c r="F838" s="1" t="s">
        <v>29</v>
      </c>
      <c r="G838" s="1" t="s">
        <v>2458</v>
      </c>
      <c r="H838" s="1">
        <v>159</v>
      </c>
      <c r="I838" s="1" t="s">
        <v>31</v>
      </c>
      <c r="J838" s="1">
        <v>6.2</v>
      </c>
      <c r="K838" s="1">
        <v>12.7</v>
      </c>
      <c r="L838" s="1" t="s">
        <v>65</v>
      </c>
      <c r="M838" s="1" t="s">
        <v>106</v>
      </c>
      <c r="N838" s="1" t="s">
        <v>153</v>
      </c>
      <c r="O838" s="1"/>
      <c r="P838" s="1">
        <v>126</v>
      </c>
      <c r="Q838" s="1">
        <v>566.20000000000005</v>
      </c>
      <c r="R838" s="8" t="str">
        <f>_xlfn.IFS(J838&gt;=8,"Hit",J838&gt;=6,"Average",J838&lt;6,"Flop")</f>
        <v>Average</v>
      </c>
      <c r="S838" s="9" t="str">
        <f>_xlfn.IFS(K838&gt;=400,"Blockbuster",K838&gt;=200,"Popular",K838&lt;200,"Normal")</f>
        <v>Normal</v>
      </c>
      <c r="T838" s="10" t="str">
        <f>IF(OR(I838="PG",I838="G"),"Yes","No")</f>
        <v>No</v>
      </c>
      <c r="U838" s="11" t="str">
        <f>IF(P838&gt;=100,"High","Low")</f>
        <v>High</v>
      </c>
      <c r="V838" s="28">
        <f t="shared" si="26"/>
        <v>440.20000000000005</v>
      </c>
      <c r="W838" s="29">
        <f t="shared" si="27"/>
        <v>449.3650793650794</v>
      </c>
    </row>
    <row r="839" spans="1:23" x14ac:dyDescent="0.3">
      <c r="A839" s="1" t="s">
        <v>2459</v>
      </c>
      <c r="B839" s="1" t="s">
        <v>2460</v>
      </c>
      <c r="C839" s="1" t="s">
        <v>18</v>
      </c>
      <c r="D839" s="1" t="s">
        <v>117</v>
      </c>
      <c r="E839" s="1">
        <v>2024</v>
      </c>
      <c r="F839" s="1" t="s">
        <v>95</v>
      </c>
      <c r="G839" s="1" t="s">
        <v>2461</v>
      </c>
      <c r="H839" s="1">
        <v>96</v>
      </c>
      <c r="I839" s="1" t="s">
        <v>31</v>
      </c>
      <c r="J839" s="1">
        <v>6.2</v>
      </c>
      <c r="K839" s="1">
        <v>25.4</v>
      </c>
      <c r="L839" s="1" t="s">
        <v>90</v>
      </c>
      <c r="M839" s="1" t="s">
        <v>97</v>
      </c>
      <c r="N839" s="1" t="s">
        <v>153</v>
      </c>
      <c r="O839" s="1"/>
      <c r="P839" s="1">
        <v>32</v>
      </c>
      <c r="Q839" s="1">
        <v>172.2</v>
      </c>
      <c r="R839" s="8" t="str">
        <f>_xlfn.IFS(J839&gt;=8,"Hit",J839&gt;=6,"Average",J839&lt;6,"Flop")</f>
        <v>Average</v>
      </c>
      <c r="S839" s="9" t="str">
        <f>_xlfn.IFS(K839&gt;=400,"Blockbuster",K839&gt;=200,"Popular",K839&lt;200,"Normal")</f>
        <v>Normal</v>
      </c>
      <c r="T839" s="10" t="str">
        <f>IF(OR(I839="PG",I839="G"),"Yes","No")</f>
        <v>No</v>
      </c>
      <c r="U839" s="11" t="str">
        <f>IF(P839&gt;=100,"High","Low")</f>
        <v>Low</v>
      </c>
      <c r="V839" s="28">
        <f t="shared" si="26"/>
        <v>140.19999999999999</v>
      </c>
      <c r="W839" s="29">
        <f t="shared" si="27"/>
        <v>538.125</v>
      </c>
    </row>
    <row r="840" spans="1:23" x14ac:dyDescent="0.3">
      <c r="A840" s="1" t="s">
        <v>2462</v>
      </c>
      <c r="B840" s="1" t="s">
        <v>2463</v>
      </c>
      <c r="C840" s="1" t="s">
        <v>18</v>
      </c>
      <c r="D840" s="1" t="s">
        <v>82</v>
      </c>
      <c r="E840" s="1">
        <v>2006</v>
      </c>
      <c r="F840" s="1" t="s">
        <v>181</v>
      </c>
      <c r="G840" s="1" t="s">
        <v>2464</v>
      </c>
      <c r="H840" s="1">
        <v>145</v>
      </c>
      <c r="I840" s="1" t="s">
        <v>50</v>
      </c>
      <c r="J840" s="1">
        <v>5</v>
      </c>
      <c r="K840" s="1">
        <v>390.4</v>
      </c>
      <c r="L840" s="1" t="s">
        <v>171</v>
      </c>
      <c r="M840" s="1" t="s">
        <v>72</v>
      </c>
      <c r="N840" s="1" t="s">
        <v>158</v>
      </c>
      <c r="O840" s="1"/>
      <c r="P840" s="1">
        <v>190</v>
      </c>
      <c r="Q840" s="1">
        <v>1100.5</v>
      </c>
      <c r="R840" s="8" t="str">
        <f>_xlfn.IFS(J840&gt;=8,"Hit",J840&gt;=6,"Average",J840&lt;6,"Flop")</f>
        <v>Flop</v>
      </c>
      <c r="S840" s="9" t="str">
        <f>_xlfn.IFS(K840&gt;=400,"Blockbuster",K840&gt;=200,"Popular",K840&lt;200,"Normal")</f>
        <v>Popular</v>
      </c>
      <c r="T840" s="10" t="str">
        <f>IF(OR(I840="PG",I840="G"),"Yes","No")</f>
        <v>Yes</v>
      </c>
      <c r="U840" s="11" t="str">
        <f>IF(P840&gt;=100,"High","Low")</f>
        <v>High</v>
      </c>
      <c r="V840" s="28">
        <f t="shared" si="26"/>
        <v>910.5</v>
      </c>
      <c r="W840" s="29">
        <f t="shared" si="27"/>
        <v>579.21052631578948</v>
      </c>
    </row>
    <row r="841" spans="1:23" x14ac:dyDescent="0.3">
      <c r="A841" s="1" t="s">
        <v>2465</v>
      </c>
      <c r="B841" s="1" t="s">
        <v>2466</v>
      </c>
      <c r="C841" s="1" t="s">
        <v>18</v>
      </c>
      <c r="D841" s="1" t="s">
        <v>19</v>
      </c>
      <c r="E841" s="1">
        <v>2001</v>
      </c>
      <c r="F841" s="1" t="s">
        <v>100</v>
      </c>
      <c r="G841" s="1" t="s">
        <v>2467</v>
      </c>
      <c r="H841" s="1">
        <v>93</v>
      </c>
      <c r="I841" s="1" t="s">
        <v>22</v>
      </c>
      <c r="J841" s="1">
        <v>9.1999999999999993</v>
      </c>
      <c r="K841" s="1">
        <v>525.5</v>
      </c>
      <c r="L841" s="1" t="s">
        <v>65</v>
      </c>
      <c r="M841" s="1" t="s">
        <v>33</v>
      </c>
      <c r="N841" s="1" t="s">
        <v>25</v>
      </c>
      <c r="O841" s="1"/>
      <c r="P841" s="1">
        <v>66</v>
      </c>
      <c r="Q841" s="1">
        <v>251.3</v>
      </c>
      <c r="R841" s="8" t="str">
        <f>_xlfn.IFS(J841&gt;=8,"Hit",J841&gt;=6,"Average",J841&lt;6,"Flop")</f>
        <v>Hit</v>
      </c>
      <c r="S841" s="9" t="str">
        <f>_xlfn.IFS(K841&gt;=400,"Blockbuster",K841&gt;=200,"Popular",K841&lt;200,"Normal")</f>
        <v>Blockbuster</v>
      </c>
      <c r="T841" s="10" t="str">
        <f>IF(OR(I841="PG",I841="G"),"Yes","No")</f>
        <v>No</v>
      </c>
      <c r="U841" s="11" t="str">
        <f>IF(P841&gt;=100,"High","Low")</f>
        <v>Low</v>
      </c>
      <c r="V841" s="28">
        <f t="shared" si="26"/>
        <v>185.3</v>
      </c>
      <c r="W841" s="29">
        <f t="shared" si="27"/>
        <v>380.75757575757575</v>
      </c>
    </row>
    <row r="842" spans="1:23" x14ac:dyDescent="0.3">
      <c r="A842" s="1" t="s">
        <v>2468</v>
      </c>
      <c r="B842" s="1" t="s">
        <v>2469</v>
      </c>
      <c r="C842" s="1" t="s">
        <v>18</v>
      </c>
      <c r="D842" s="1" t="s">
        <v>58</v>
      </c>
      <c r="E842" s="1">
        <v>2009</v>
      </c>
      <c r="F842" s="1" t="s">
        <v>20</v>
      </c>
      <c r="G842" s="1" t="s">
        <v>2470</v>
      </c>
      <c r="H842" s="1">
        <v>94</v>
      </c>
      <c r="I842" s="1" t="s">
        <v>31</v>
      </c>
      <c r="J842" s="1">
        <v>8.1</v>
      </c>
      <c r="K842" s="1">
        <v>303.8</v>
      </c>
      <c r="L842" s="1" t="s">
        <v>90</v>
      </c>
      <c r="M842" s="1" t="s">
        <v>24</v>
      </c>
      <c r="N842" s="1" t="s">
        <v>25</v>
      </c>
      <c r="O842" s="1"/>
      <c r="P842" s="1">
        <v>26</v>
      </c>
      <c r="Q842" s="1">
        <v>48.3</v>
      </c>
      <c r="R842" s="8" t="str">
        <f>_xlfn.IFS(J842&gt;=8,"Hit",J842&gt;=6,"Average",J842&lt;6,"Flop")</f>
        <v>Hit</v>
      </c>
      <c r="S842" s="9" t="str">
        <f>_xlfn.IFS(K842&gt;=400,"Blockbuster",K842&gt;=200,"Popular",K842&lt;200,"Normal")</f>
        <v>Popular</v>
      </c>
      <c r="T842" s="10" t="str">
        <f>IF(OR(I842="PG",I842="G"),"Yes","No")</f>
        <v>No</v>
      </c>
      <c r="U842" s="11" t="str">
        <f>IF(P842&gt;=100,"High","Low")</f>
        <v>Low</v>
      </c>
      <c r="V842" s="28">
        <f t="shared" si="26"/>
        <v>22.299999999999997</v>
      </c>
      <c r="W842" s="29">
        <f t="shared" si="27"/>
        <v>185.76923076923075</v>
      </c>
    </row>
    <row r="843" spans="1:23" x14ac:dyDescent="0.3">
      <c r="A843" s="1" t="s">
        <v>2471</v>
      </c>
      <c r="B843" s="1" t="s">
        <v>2472</v>
      </c>
      <c r="C843" s="1" t="s">
        <v>46</v>
      </c>
      <c r="D843" s="1" t="s">
        <v>63</v>
      </c>
      <c r="E843" s="1">
        <v>2004</v>
      </c>
      <c r="F843" s="1" t="s">
        <v>181</v>
      </c>
      <c r="G843" s="1" t="s">
        <v>2473</v>
      </c>
      <c r="H843" s="1">
        <v>54</v>
      </c>
      <c r="I843" s="1" t="s">
        <v>22</v>
      </c>
      <c r="J843" s="1">
        <v>7.7</v>
      </c>
      <c r="K843" s="1">
        <v>539.70000000000005</v>
      </c>
      <c r="L843" s="1" t="s">
        <v>65</v>
      </c>
      <c r="M843" s="1" t="s">
        <v>54</v>
      </c>
      <c r="N843" s="1" t="s">
        <v>158</v>
      </c>
      <c r="O843" s="1">
        <v>3</v>
      </c>
      <c r="P843" s="1">
        <v>158</v>
      </c>
      <c r="Q843" s="1">
        <v>718</v>
      </c>
      <c r="R843" s="8" t="str">
        <f>_xlfn.IFS(J843&gt;=8,"Hit",J843&gt;=6,"Average",J843&lt;6,"Flop")</f>
        <v>Average</v>
      </c>
      <c r="S843" s="9" t="str">
        <f>_xlfn.IFS(K843&gt;=400,"Blockbuster",K843&gt;=200,"Popular",K843&lt;200,"Normal")</f>
        <v>Blockbuster</v>
      </c>
      <c r="T843" s="10" t="str">
        <f>IF(OR(I843="PG",I843="G"),"Yes","No")</f>
        <v>No</v>
      </c>
      <c r="U843" s="11" t="str">
        <f>IF(P843&gt;=100,"High","Low")</f>
        <v>High</v>
      </c>
      <c r="V843" s="28">
        <f t="shared" si="26"/>
        <v>560</v>
      </c>
      <c r="W843" s="29">
        <f t="shared" si="27"/>
        <v>454.43037974683546</v>
      </c>
    </row>
    <row r="844" spans="1:23" x14ac:dyDescent="0.3">
      <c r="A844" s="1" t="s">
        <v>2474</v>
      </c>
      <c r="B844" s="1" t="s">
        <v>2475</v>
      </c>
      <c r="C844" s="1" t="s">
        <v>18</v>
      </c>
      <c r="D844" s="1" t="s">
        <v>63</v>
      </c>
      <c r="E844" s="1">
        <v>2002</v>
      </c>
      <c r="F844" s="1" t="s">
        <v>38</v>
      </c>
      <c r="G844" s="1" t="s">
        <v>2476</v>
      </c>
      <c r="H844" s="1">
        <v>107</v>
      </c>
      <c r="I844" s="1" t="s">
        <v>110</v>
      </c>
      <c r="J844" s="1">
        <v>9</v>
      </c>
      <c r="K844" s="1">
        <v>459.9</v>
      </c>
      <c r="L844" s="1" t="s">
        <v>90</v>
      </c>
      <c r="M844" s="1" t="s">
        <v>72</v>
      </c>
      <c r="N844" s="1" t="s">
        <v>128</v>
      </c>
      <c r="O844" s="1"/>
      <c r="P844" s="1">
        <v>128</v>
      </c>
      <c r="Q844" s="1">
        <v>374.5</v>
      </c>
      <c r="R844" s="8" t="str">
        <f>_xlfn.IFS(J844&gt;=8,"Hit",J844&gt;=6,"Average",J844&lt;6,"Flop")</f>
        <v>Hit</v>
      </c>
      <c r="S844" s="9" t="str">
        <f>_xlfn.IFS(K844&gt;=400,"Blockbuster",K844&gt;=200,"Popular",K844&lt;200,"Normal")</f>
        <v>Blockbuster</v>
      </c>
      <c r="T844" s="10" t="str">
        <f>IF(OR(I844="PG",I844="G"),"Yes","No")</f>
        <v>No</v>
      </c>
      <c r="U844" s="11" t="str">
        <f>IF(P844&gt;=100,"High","Low")</f>
        <v>High</v>
      </c>
      <c r="V844" s="28">
        <f t="shared" si="26"/>
        <v>246.5</v>
      </c>
      <c r="W844" s="29">
        <f t="shared" si="27"/>
        <v>292.578125</v>
      </c>
    </row>
    <row r="845" spans="1:23" x14ac:dyDescent="0.3">
      <c r="A845" s="1" t="s">
        <v>2477</v>
      </c>
      <c r="B845" s="1" t="s">
        <v>2478</v>
      </c>
      <c r="C845" s="1" t="s">
        <v>46</v>
      </c>
      <c r="D845" s="1" t="s">
        <v>82</v>
      </c>
      <c r="E845" s="1">
        <v>2008</v>
      </c>
      <c r="F845" s="1" t="s">
        <v>181</v>
      </c>
      <c r="G845" s="1" t="s">
        <v>2479</v>
      </c>
      <c r="H845" s="1">
        <v>49</v>
      </c>
      <c r="I845" s="1" t="s">
        <v>31</v>
      </c>
      <c r="J845" s="1">
        <v>7.4</v>
      </c>
      <c r="K845" s="1">
        <v>41.7</v>
      </c>
      <c r="L845" s="1" t="s">
        <v>65</v>
      </c>
      <c r="M845" s="1" t="s">
        <v>24</v>
      </c>
      <c r="N845" s="1" t="s">
        <v>43</v>
      </c>
      <c r="O845" s="1">
        <v>4</v>
      </c>
      <c r="P845" s="1">
        <v>163</v>
      </c>
      <c r="Q845" s="1">
        <v>1058.5999999999999</v>
      </c>
      <c r="R845" s="8" t="str">
        <f>_xlfn.IFS(J845&gt;=8,"Hit",J845&gt;=6,"Average",J845&lt;6,"Flop")</f>
        <v>Average</v>
      </c>
      <c r="S845" s="9" t="str">
        <f>_xlfn.IFS(K845&gt;=400,"Blockbuster",K845&gt;=200,"Popular",K845&lt;200,"Normal")</f>
        <v>Normal</v>
      </c>
      <c r="T845" s="10" t="str">
        <f>IF(OR(I845="PG",I845="G"),"Yes","No")</f>
        <v>No</v>
      </c>
      <c r="U845" s="11" t="str">
        <f>IF(P845&gt;=100,"High","Low")</f>
        <v>High</v>
      </c>
      <c r="V845" s="28">
        <f t="shared" si="26"/>
        <v>895.59999999999991</v>
      </c>
      <c r="W845" s="29">
        <f t="shared" si="27"/>
        <v>649.44785276073617</v>
      </c>
    </row>
    <row r="846" spans="1:23" x14ac:dyDescent="0.3">
      <c r="A846" s="1" t="s">
        <v>2480</v>
      </c>
      <c r="B846" s="1" t="s">
        <v>2481</v>
      </c>
      <c r="C846" s="1" t="s">
        <v>46</v>
      </c>
      <c r="D846" s="1" t="s">
        <v>82</v>
      </c>
      <c r="E846" s="1">
        <v>2020</v>
      </c>
      <c r="F846" s="1" t="s">
        <v>38</v>
      </c>
      <c r="G846" s="1" t="s">
        <v>2482</v>
      </c>
      <c r="H846" s="1">
        <v>30</v>
      </c>
      <c r="I846" s="1" t="s">
        <v>50</v>
      </c>
      <c r="J846" s="1">
        <v>7</v>
      </c>
      <c r="K846" s="1">
        <v>225.9</v>
      </c>
      <c r="L846" s="1" t="s">
        <v>90</v>
      </c>
      <c r="M846" s="1" t="s">
        <v>97</v>
      </c>
      <c r="N846" s="1" t="s">
        <v>55</v>
      </c>
      <c r="O846" s="1">
        <v>5</v>
      </c>
      <c r="P846" s="1">
        <v>112</v>
      </c>
      <c r="Q846" s="1">
        <v>719.5</v>
      </c>
      <c r="R846" s="8" t="str">
        <f>_xlfn.IFS(J846&gt;=8,"Hit",J846&gt;=6,"Average",J846&lt;6,"Flop")</f>
        <v>Average</v>
      </c>
      <c r="S846" s="9" t="str">
        <f>_xlfn.IFS(K846&gt;=400,"Blockbuster",K846&gt;=200,"Popular",K846&lt;200,"Normal")</f>
        <v>Popular</v>
      </c>
      <c r="T846" s="10" t="str">
        <f>IF(OR(I846="PG",I846="G"),"Yes","No")</f>
        <v>Yes</v>
      </c>
      <c r="U846" s="11" t="str">
        <f>IF(P846&gt;=100,"High","Low")</f>
        <v>High</v>
      </c>
      <c r="V846" s="28">
        <f t="shared" si="26"/>
        <v>607.5</v>
      </c>
      <c r="W846" s="29">
        <f t="shared" si="27"/>
        <v>642.41071428571433</v>
      </c>
    </row>
    <row r="847" spans="1:23" x14ac:dyDescent="0.3">
      <c r="A847" s="1" t="s">
        <v>2483</v>
      </c>
      <c r="B847" s="1" t="s">
        <v>2484</v>
      </c>
      <c r="C847" s="1" t="s">
        <v>18</v>
      </c>
      <c r="D847" s="1" t="s">
        <v>58</v>
      </c>
      <c r="E847" s="1">
        <v>2016</v>
      </c>
      <c r="F847" s="1" t="s">
        <v>76</v>
      </c>
      <c r="G847" s="1" t="s">
        <v>2485</v>
      </c>
      <c r="H847" s="1">
        <v>173</v>
      </c>
      <c r="I847" s="1" t="s">
        <v>31</v>
      </c>
      <c r="J847" s="1">
        <v>7.4</v>
      </c>
      <c r="K847" s="1">
        <v>14.6</v>
      </c>
      <c r="L847" s="1" t="s">
        <v>171</v>
      </c>
      <c r="M847" s="1" t="s">
        <v>54</v>
      </c>
      <c r="N847" s="1" t="s">
        <v>43</v>
      </c>
      <c r="O847" s="1"/>
      <c r="P847" s="1">
        <v>43</v>
      </c>
      <c r="Q847" s="1">
        <v>231.9</v>
      </c>
      <c r="R847" s="8" t="str">
        <f>_xlfn.IFS(J847&gt;=8,"Hit",J847&gt;=6,"Average",J847&lt;6,"Flop")</f>
        <v>Average</v>
      </c>
      <c r="S847" s="9" t="str">
        <f>_xlfn.IFS(K847&gt;=400,"Blockbuster",K847&gt;=200,"Popular",K847&lt;200,"Normal")</f>
        <v>Normal</v>
      </c>
      <c r="T847" s="10" t="str">
        <f>IF(OR(I847="PG",I847="G"),"Yes","No")</f>
        <v>No</v>
      </c>
      <c r="U847" s="11" t="str">
        <f>IF(P847&gt;=100,"High","Low")</f>
        <v>Low</v>
      </c>
      <c r="V847" s="28">
        <f t="shared" si="26"/>
        <v>188.9</v>
      </c>
      <c r="W847" s="29">
        <f t="shared" si="27"/>
        <v>539.30232558139539</v>
      </c>
    </row>
    <row r="848" spans="1:23" x14ac:dyDescent="0.3">
      <c r="A848" s="1" t="s">
        <v>2486</v>
      </c>
      <c r="B848" s="1" t="s">
        <v>2487</v>
      </c>
      <c r="C848" s="1" t="s">
        <v>46</v>
      </c>
      <c r="D848" s="1" t="s">
        <v>141</v>
      </c>
      <c r="E848" s="1">
        <v>2009</v>
      </c>
      <c r="F848" s="1" t="s">
        <v>76</v>
      </c>
      <c r="G848" s="1" t="s">
        <v>2488</v>
      </c>
      <c r="H848" s="1">
        <v>49</v>
      </c>
      <c r="I848" s="1" t="s">
        <v>40</v>
      </c>
      <c r="J848" s="1">
        <v>5.0999999999999996</v>
      </c>
      <c r="K848" s="1">
        <v>409.6</v>
      </c>
      <c r="L848" s="1" t="s">
        <v>90</v>
      </c>
      <c r="M848" s="1" t="s">
        <v>106</v>
      </c>
      <c r="N848" s="1" t="s">
        <v>55</v>
      </c>
      <c r="O848" s="1">
        <v>6</v>
      </c>
      <c r="P848" s="1">
        <v>12</v>
      </c>
      <c r="Q848" s="1">
        <v>70.2</v>
      </c>
      <c r="R848" s="8" t="str">
        <f>_xlfn.IFS(J848&gt;=8,"Hit",J848&gt;=6,"Average",J848&lt;6,"Flop")</f>
        <v>Flop</v>
      </c>
      <c r="S848" s="9" t="str">
        <f>_xlfn.IFS(K848&gt;=400,"Blockbuster",K848&gt;=200,"Popular",K848&lt;200,"Normal")</f>
        <v>Blockbuster</v>
      </c>
      <c r="T848" s="10" t="str">
        <f>IF(OR(I848="PG",I848="G"),"Yes","No")</f>
        <v>Yes</v>
      </c>
      <c r="U848" s="11" t="str">
        <f>IF(P848&gt;=100,"High","Low")</f>
        <v>Low</v>
      </c>
      <c r="V848" s="28">
        <f t="shared" si="26"/>
        <v>58.2</v>
      </c>
      <c r="W848" s="29">
        <f t="shared" si="27"/>
        <v>585</v>
      </c>
    </row>
    <row r="849" spans="1:23" x14ac:dyDescent="0.3">
      <c r="A849" s="1" t="s">
        <v>2489</v>
      </c>
      <c r="B849" s="1" t="s">
        <v>2490</v>
      </c>
      <c r="C849" s="1" t="s">
        <v>46</v>
      </c>
      <c r="D849" s="1" t="s">
        <v>75</v>
      </c>
      <c r="E849" s="1">
        <v>2020</v>
      </c>
      <c r="F849" s="1" t="s">
        <v>76</v>
      </c>
      <c r="G849" s="1" t="s">
        <v>2436</v>
      </c>
      <c r="H849" s="1">
        <v>44</v>
      </c>
      <c r="I849" s="1" t="s">
        <v>40</v>
      </c>
      <c r="J849" s="1">
        <v>8.5</v>
      </c>
      <c r="K849" s="1">
        <v>376.9</v>
      </c>
      <c r="L849" s="1" t="s">
        <v>41</v>
      </c>
      <c r="M849" s="1" t="s">
        <v>33</v>
      </c>
      <c r="N849" s="1" t="s">
        <v>153</v>
      </c>
      <c r="O849" s="1">
        <v>6</v>
      </c>
      <c r="P849" s="1">
        <v>139</v>
      </c>
      <c r="Q849" s="1">
        <v>298.5</v>
      </c>
      <c r="R849" s="8" t="str">
        <f>_xlfn.IFS(J849&gt;=8,"Hit",J849&gt;=6,"Average",J849&lt;6,"Flop")</f>
        <v>Hit</v>
      </c>
      <c r="S849" s="9" t="str">
        <f>_xlfn.IFS(K849&gt;=400,"Blockbuster",K849&gt;=200,"Popular",K849&lt;200,"Normal")</f>
        <v>Popular</v>
      </c>
      <c r="T849" s="10" t="str">
        <f>IF(OR(I849="PG",I849="G"),"Yes","No")</f>
        <v>Yes</v>
      </c>
      <c r="U849" s="11" t="str">
        <f>IF(P849&gt;=100,"High","Low")</f>
        <v>High</v>
      </c>
      <c r="V849" s="28">
        <f t="shared" si="26"/>
        <v>159.5</v>
      </c>
      <c r="W849" s="29">
        <f t="shared" si="27"/>
        <v>214.74820143884892</v>
      </c>
    </row>
    <row r="850" spans="1:23" x14ac:dyDescent="0.3">
      <c r="A850" s="1" t="s">
        <v>2491</v>
      </c>
      <c r="B850" s="1" t="s">
        <v>2492</v>
      </c>
      <c r="C850" s="1" t="s">
        <v>18</v>
      </c>
      <c r="D850" s="1" t="s">
        <v>37</v>
      </c>
      <c r="E850" s="1">
        <v>2018</v>
      </c>
      <c r="F850" s="1" t="s">
        <v>83</v>
      </c>
      <c r="G850" s="1" t="s">
        <v>2493</v>
      </c>
      <c r="H850" s="1">
        <v>179</v>
      </c>
      <c r="I850" s="1" t="s">
        <v>22</v>
      </c>
      <c r="J850" s="1">
        <v>6.8</v>
      </c>
      <c r="K850" s="1">
        <v>508.9</v>
      </c>
      <c r="L850" s="1" t="s">
        <v>171</v>
      </c>
      <c r="M850" s="1" t="s">
        <v>33</v>
      </c>
      <c r="N850" s="1" t="s">
        <v>25</v>
      </c>
      <c r="O850" s="1"/>
      <c r="P850" s="1">
        <v>143</v>
      </c>
      <c r="Q850" s="1">
        <v>859.3</v>
      </c>
      <c r="R850" s="8" t="str">
        <f>_xlfn.IFS(J850&gt;=8,"Hit",J850&gt;=6,"Average",J850&lt;6,"Flop")</f>
        <v>Average</v>
      </c>
      <c r="S850" s="9" t="str">
        <f>_xlfn.IFS(K850&gt;=400,"Blockbuster",K850&gt;=200,"Popular",K850&lt;200,"Normal")</f>
        <v>Blockbuster</v>
      </c>
      <c r="T850" s="10" t="str">
        <f>IF(OR(I850="PG",I850="G"),"Yes","No")</f>
        <v>No</v>
      </c>
      <c r="U850" s="11" t="str">
        <f>IF(P850&gt;=100,"High","Low")</f>
        <v>High</v>
      </c>
      <c r="V850" s="28">
        <f t="shared" si="26"/>
        <v>716.3</v>
      </c>
      <c r="W850" s="29">
        <f t="shared" si="27"/>
        <v>600.90909090909088</v>
      </c>
    </row>
    <row r="851" spans="1:23" x14ac:dyDescent="0.3">
      <c r="A851" s="1" t="s">
        <v>2494</v>
      </c>
      <c r="B851" s="1" t="s">
        <v>2495</v>
      </c>
      <c r="C851" s="1" t="s">
        <v>18</v>
      </c>
      <c r="D851" s="1" t="s">
        <v>75</v>
      </c>
      <c r="E851" s="1">
        <v>2018</v>
      </c>
      <c r="F851" s="1" t="s">
        <v>122</v>
      </c>
      <c r="G851" s="1" t="s">
        <v>2496</v>
      </c>
      <c r="H851" s="1">
        <v>129</v>
      </c>
      <c r="I851" s="1" t="s">
        <v>110</v>
      </c>
      <c r="J851" s="1">
        <v>9.4</v>
      </c>
      <c r="K851" s="1">
        <v>363.8</v>
      </c>
      <c r="L851" s="1" t="s">
        <v>23</v>
      </c>
      <c r="M851" s="1" t="s">
        <v>66</v>
      </c>
      <c r="N851" s="1" t="s">
        <v>60</v>
      </c>
      <c r="O851" s="1"/>
      <c r="P851" s="1">
        <v>73</v>
      </c>
      <c r="Q851" s="1">
        <v>92.4</v>
      </c>
      <c r="R851" s="8" t="str">
        <f>_xlfn.IFS(J851&gt;=8,"Hit",J851&gt;=6,"Average",J851&lt;6,"Flop")</f>
        <v>Hit</v>
      </c>
      <c r="S851" s="9" t="str">
        <f>_xlfn.IFS(K851&gt;=400,"Blockbuster",K851&gt;=200,"Popular",K851&lt;200,"Normal")</f>
        <v>Popular</v>
      </c>
      <c r="T851" s="10" t="str">
        <f>IF(OR(I851="PG",I851="G"),"Yes","No")</f>
        <v>No</v>
      </c>
      <c r="U851" s="11" t="str">
        <f>IF(P851&gt;=100,"High","Low")</f>
        <v>Low</v>
      </c>
      <c r="V851" s="28">
        <f t="shared" si="26"/>
        <v>19.400000000000006</v>
      </c>
      <c r="W851" s="29">
        <f t="shared" si="27"/>
        <v>126.57534246575344</v>
      </c>
    </row>
    <row r="852" spans="1:23" x14ac:dyDescent="0.3">
      <c r="A852" s="1" t="s">
        <v>2497</v>
      </c>
      <c r="B852" s="1" t="s">
        <v>2498</v>
      </c>
      <c r="C852" s="1" t="s">
        <v>46</v>
      </c>
      <c r="D852" s="1" t="s">
        <v>28</v>
      </c>
      <c r="E852" s="1">
        <v>2001</v>
      </c>
      <c r="F852" s="1" t="s">
        <v>76</v>
      </c>
      <c r="G852" s="1" t="s">
        <v>2499</v>
      </c>
      <c r="H852" s="1">
        <v>43</v>
      </c>
      <c r="I852" s="1" t="s">
        <v>110</v>
      </c>
      <c r="J852" s="1">
        <v>5.9</v>
      </c>
      <c r="K852" s="1">
        <v>429.4</v>
      </c>
      <c r="L852" s="1" t="s">
        <v>32</v>
      </c>
      <c r="M852" s="1" t="s">
        <v>72</v>
      </c>
      <c r="N852" s="1" t="s">
        <v>102</v>
      </c>
      <c r="O852" s="1">
        <v>5</v>
      </c>
      <c r="P852" s="1">
        <v>98</v>
      </c>
      <c r="Q852" s="1">
        <v>148.1</v>
      </c>
      <c r="R852" s="8" t="str">
        <f>_xlfn.IFS(J852&gt;=8,"Hit",J852&gt;=6,"Average",J852&lt;6,"Flop")</f>
        <v>Flop</v>
      </c>
      <c r="S852" s="9" t="str">
        <f>_xlfn.IFS(K852&gt;=400,"Blockbuster",K852&gt;=200,"Popular",K852&lt;200,"Normal")</f>
        <v>Blockbuster</v>
      </c>
      <c r="T852" s="10" t="str">
        <f>IF(OR(I852="PG",I852="G"),"Yes","No")</f>
        <v>No</v>
      </c>
      <c r="U852" s="11" t="str">
        <f>IF(P852&gt;=100,"High","Low")</f>
        <v>Low</v>
      </c>
      <c r="V852" s="28">
        <f t="shared" si="26"/>
        <v>50.099999999999994</v>
      </c>
      <c r="W852" s="29">
        <f t="shared" si="27"/>
        <v>151.12244897959184</v>
      </c>
    </row>
    <row r="853" spans="1:23" x14ac:dyDescent="0.3">
      <c r="A853" s="1" t="s">
        <v>2500</v>
      </c>
      <c r="B853" s="1" t="s">
        <v>2501</v>
      </c>
      <c r="C853" s="1" t="s">
        <v>18</v>
      </c>
      <c r="D853" s="1" t="s">
        <v>117</v>
      </c>
      <c r="E853" s="1">
        <v>2000</v>
      </c>
      <c r="F853" s="1" t="s">
        <v>29</v>
      </c>
      <c r="G853" s="1" t="s">
        <v>2502</v>
      </c>
      <c r="H853" s="1">
        <v>147</v>
      </c>
      <c r="I853" s="1" t="s">
        <v>110</v>
      </c>
      <c r="J853" s="1">
        <v>6.3</v>
      </c>
      <c r="K853" s="1">
        <v>153.4</v>
      </c>
      <c r="L853" s="1" t="s">
        <v>23</v>
      </c>
      <c r="M853" s="1" t="s">
        <v>97</v>
      </c>
      <c r="N853" s="1" t="s">
        <v>158</v>
      </c>
      <c r="O853" s="1"/>
      <c r="P853" s="1">
        <v>174</v>
      </c>
      <c r="Q853" s="1">
        <v>986.3</v>
      </c>
      <c r="R853" s="8" t="str">
        <f>_xlfn.IFS(J853&gt;=8,"Hit",J853&gt;=6,"Average",J853&lt;6,"Flop")</f>
        <v>Average</v>
      </c>
      <c r="S853" s="9" t="str">
        <f>_xlfn.IFS(K853&gt;=400,"Blockbuster",K853&gt;=200,"Popular",K853&lt;200,"Normal")</f>
        <v>Normal</v>
      </c>
      <c r="T853" s="10" t="str">
        <f>IF(OR(I853="PG",I853="G"),"Yes","No")</f>
        <v>No</v>
      </c>
      <c r="U853" s="11" t="str">
        <f>IF(P853&gt;=100,"High","Low")</f>
        <v>High</v>
      </c>
      <c r="V853" s="28">
        <f t="shared" si="26"/>
        <v>812.3</v>
      </c>
      <c r="W853" s="29">
        <f t="shared" si="27"/>
        <v>566.83908045977012</v>
      </c>
    </row>
    <row r="854" spans="1:23" x14ac:dyDescent="0.3">
      <c r="A854" s="1" t="s">
        <v>2503</v>
      </c>
      <c r="B854" s="1" t="s">
        <v>2504</v>
      </c>
      <c r="C854" s="1" t="s">
        <v>18</v>
      </c>
      <c r="D854" s="1" t="s">
        <v>58</v>
      </c>
      <c r="E854" s="1">
        <v>2007</v>
      </c>
      <c r="F854" s="1" t="s">
        <v>181</v>
      </c>
      <c r="G854" s="1" t="s">
        <v>2505</v>
      </c>
      <c r="H854" s="1">
        <v>142</v>
      </c>
      <c r="I854" s="1" t="s">
        <v>31</v>
      </c>
      <c r="J854" s="1">
        <v>8.8000000000000007</v>
      </c>
      <c r="K854" s="1">
        <v>71.099999999999994</v>
      </c>
      <c r="L854" s="1" t="s">
        <v>23</v>
      </c>
      <c r="M854" s="1" t="s">
        <v>42</v>
      </c>
      <c r="N854" s="1" t="s">
        <v>34</v>
      </c>
      <c r="O854" s="1"/>
      <c r="P854" s="1">
        <v>50</v>
      </c>
      <c r="Q854" s="1">
        <v>131.69999999999999</v>
      </c>
      <c r="R854" s="8" t="str">
        <f>_xlfn.IFS(J854&gt;=8,"Hit",J854&gt;=6,"Average",J854&lt;6,"Flop")</f>
        <v>Hit</v>
      </c>
      <c r="S854" s="9" t="str">
        <f>_xlfn.IFS(K854&gt;=400,"Blockbuster",K854&gt;=200,"Popular",K854&lt;200,"Normal")</f>
        <v>Normal</v>
      </c>
      <c r="T854" s="10" t="str">
        <f>IF(OR(I854="PG",I854="G"),"Yes","No")</f>
        <v>No</v>
      </c>
      <c r="U854" s="11" t="str">
        <f>IF(P854&gt;=100,"High","Low")</f>
        <v>Low</v>
      </c>
      <c r="V854" s="28">
        <f t="shared" si="26"/>
        <v>81.699999999999989</v>
      </c>
      <c r="W854" s="29">
        <f t="shared" si="27"/>
        <v>263.39999999999998</v>
      </c>
    </row>
    <row r="855" spans="1:23" x14ac:dyDescent="0.3">
      <c r="A855" s="1" t="s">
        <v>2506</v>
      </c>
      <c r="B855" s="1" t="s">
        <v>2507</v>
      </c>
      <c r="C855" s="1" t="s">
        <v>18</v>
      </c>
      <c r="D855" s="1" t="s">
        <v>117</v>
      </c>
      <c r="E855" s="1">
        <v>2020</v>
      </c>
      <c r="F855" s="1" t="s">
        <v>100</v>
      </c>
      <c r="G855" s="1" t="s">
        <v>2508</v>
      </c>
      <c r="H855" s="1">
        <v>143</v>
      </c>
      <c r="I855" s="1" t="s">
        <v>22</v>
      </c>
      <c r="J855" s="1">
        <v>8.1</v>
      </c>
      <c r="K855" s="1">
        <v>431.1</v>
      </c>
      <c r="L855" s="1" t="s">
        <v>65</v>
      </c>
      <c r="M855" s="1" t="s">
        <v>157</v>
      </c>
      <c r="N855" s="1" t="s">
        <v>91</v>
      </c>
      <c r="O855" s="1"/>
      <c r="P855" s="1">
        <v>180</v>
      </c>
      <c r="Q855" s="1">
        <v>993.3</v>
      </c>
      <c r="R855" s="8" t="str">
        <f>_xlfn.IFS(J855&gt;=8,"Hit",J855&gt;=6,"Average",J855&lt;6,"Flop")</f>
        <v>Hit</v>
      </c>
      <c r="S855" s="9" t="str">
        <f>_xlfn.IFS(K855&gt;=400,"Blockbuster",K855&gt;=200,"Popular",K855&lt;200,"Normal")</f>
        <v>Blockbuster</v>
      </c>
      <c r="T855" s="10" t="str">
        <f>IF(OR(I855="PG",I855="G"),"Yes","No")</f>
        <v>No</v>
      </c>
      <c r="U855" s="11" t="str">
        <f>IF(P855&gt;=100,"High","Low")</f>
        <v>High</v>
      </c>
      <c r="V855" s="28">
        <f t="shared" si="26"/>
        <v>813.3</v>
      </c>
      <c r="W855" s="29">
        <f t="shared" si="27"/>
        <v>551.83333333333326</v>
      </c>
    </row>
    <row r="856" spans="1:23" x14ac:dyDescent="0.3">
      <c r="A856" s="1" t="s">
        <v>2509</v>
      </c>
      <c r="B856" s="1" t="s">
        <v>2510</v>
      </c>
      <c r="C856" s="1" t="s">
        <v>46</v>
      </c>
      <c r="D856" s="1" t="s">
        <v>58</v>
      </c>
      <c r="E856" s="1">
        <v>2000</v>
      </c>
      <c r="F856" s="1" t="s">
        <v>76</v>
      </c>
      <c r="G856" s="1" t="s">
        <v>2511</v>
      </c>
      <c r="H856" s="1">
        <v>45</v>
      </c>
      <c r="I856" s="1" t="s">
        <v>50</v>
      </c>
      <c r="J856" s="1">
        <v>5.5</v>
      </c>
      <c r="K856" s="1">
        <v>82.1</v>
      </c>
      <c r="L856" s="1" t="s">
        <v>171</v>
      </c>
      <c r="M856" s="1" t="s">
        <v>85</v>
      </c>
      <c r="N856" s="1" t="s">
        <v>25</v>
      </c>
      <c r="O856" s="1">
        <v>4</v>
      </c>
      <c r="P856" s="1">
        <v>90</v>
      </c>
      <c r="Q856" s="1">
        <v>529.6</v>
      </c>
      <c r="R856" s="8" t="str">
        <f>_xlfn.IFS(J856&gt;=8,"Hit",J856&gt;=6,"Average",J856&lt;6,"Flop")</f>
        <v>Flop</v>
      </c>
      <c r="S856" s="9" t="str">
        <f>_xlfn.IFS(K856&gt;=400,"Blockbuster",K856&gt;=200,"Popular",K856&lt;200,"Normal")</f>
        <v>Normal</v>
      </c>
      <c r="T856" s="10" t="str">
        <f>IF(OR(I856="PG",I856="G"),"Yes","No")</f>
        <v>Yes</v>
      </c>
      <c r="U856" s="11" t="str">
        <f>IF(P856&gt;=100,"High","Low")</f>
        <v>Low</v>
      </c>
      <c r="V856" s="28">
        <f t="shared" si="26"/>
        <v>439.6</v>
      </c>
      <c r="W856" s="29">
        <f t="shared" si="27"/>
        <v>588.44444444444446</v>
      </c>
    </row>
    <row r="857" spans="1:23" x14ac:dyDescent="0.3">
      <c r="A857" s="1" t="s">
        <v>2512</v>
      </c>
      <c r="B857" s="1" t="s">
        <v>2513</v>
      </c>
      <c r="C857" s="1" t="s">
        <v>46</v>
      </c>
      <c r="D857" s="1" t="s">
        <v>37</v>
      </c>
      <c r="E857" s="1">
        <v>2021</v>
      </c>
      <c r="F857" s="1" t="s">
        <v>20</v>
      </c>
      <c r="G857" s="1" t="s">
        <v>2514</v>
      </c>
      <c r="H857" s="1">
        <v>30</v>
      </c>
      <c r="I857" s="1" t="s">
        <v>31</v>
      </c>
      <c r="J857" s="1">
        <v>7.7</v>
      </c>
      <c r="K857" s="1">
        <v>579.79999999999995</v>
      </c>
      <c r="L857" s="1" t="s">
        <v>32</v>
      </c>
      <c r="M857" s="1" t="s">
        <v>78</v>
      </c>
      <c r="N857" s="1" t="s">
        <v>153</v>
      </c>
      <c r="O857" s="1">
        <v>5</v>
      </c>
      <c r="P857" s="1">
        <v>97</v>
      </c>
      <c r="Q857" s="1">
        <v>372.5</v>
      </c>
      <c r="R857" s="8" t="str">
        <f>_xlfn.IFS(J857&gt;=8,"Hit",J857&gt;=6,"Average",J857&lt;6,"Flop")</f>
        <v>Average</v>
      </c>
      <c r="S857" s="9" t="str">
        <f>_xlfn.IFS(K857&gt;=400,"Blockbuster",K857&gt;=200,"Popular",K857&lt;200,"Normal")</f>
        <v>Blockbuster</v>
      </c>
      <c r="T857" s="10" t="str">
        <f>IF(OR(I857="PG",I857="G"),"Yes","No")</f>
        <v>No</v>
      </c>
      <c r="U857" s="11" t="str">
        <f>IF(P857&gt;=100,"High","Low")</f>
        <v>Low</v>
      </c>
      <c r="V857" s="28">
        <f t="shared" si="26"/>
        <v>275.5</v>
      </c>
      <c r="W857" s="29">
        <f t="shared" si="27"/>
        <v>384.02061855670104</v>
      </c>
    </row>
    <row r="858" spans="1:23" x14ac:dyDescent="0.3">
      <c r="A858" s="1" t="s">
        <v>2515</v>
      </c>
      <c r="B858" s="1" t="s">
        <v>2516</v>
      </c>
      <c r="C858" s="1" t="s">
        <v>18</v>
      </c>
      <c r="D858" s="1" t="s">
        <v>94</v>
      </c>
      <c r="E858" s="1">
        <v>2025</v>
      </c>
      <c r="F858" s="1" t="s">
        <v>76</v>
      </c>
      <c r="G858" s="1" t="s">
        <v>2517</v>
      </c>
      <c r="H858" s="1">
        <v>161</v>
      </c>
      <c r="I858" s="1" t="s">
        <v>31</v>
      </c>
      <c r="J858" s="1">
        <v>7.3</v>
      </c>
      <c r="K858" s="1">
        <v>408.3</v>
      </c>
      <c r="L858" s="1" t="s">
        <v>171</v>
      </c>
      <c r="M858" s="1" t="s">
        <v>42</v>
      </c>
      <c r="N858" s="1" t="s">
        <v>178</v>
      </c>
      <c r="O858" s="1"/>
      <c r="P858" s="1">
        <v>164</v>
      </c>
      <c r="Q858" s="1">
        <v>659.3</v>
      </c>
      <c r="R858" s="8" t="str">
        <f>_xlfn.IFS(J858&gt;=8,"Hit",J858&gt;=6,"Average",J858&lt;6,"Flop")</f>
        <v>Average</v>
      </c>
      <c r="S858" s="9" t="str">
        <f>_xlfn.IFS(K858&gt;=400,"Blockbuster",K858&gt;=200,"Popular",K858&lt;200,"Normal")</f>
        <v>Blockbuster</v>
      </c>
      <c r="T858" s="10" t="str">
        <f>IF(OR(I858="PG",I858="G"),"Yes","No")</f>
        <v>No</v>
      </c>
      <c r="U858" s="11" t="str">
        <f>IF(P858&gt;=100,"High","Low")</f>
        <v>High</v>
      </c>
      <c r="V858" s="28">
        <f t="shared" si="26"/>
        <v>495.29999999999995</v>
      </c>
      <c r="W858" s="29">
        <f t="shared" si="27"/>
        <v>402.01219512195115</v>
      </c>
    </row>
    <row r="859" spans="1:23" x14ac:dyDescent="0.3">
      <c r="A859" s="1" t="s">
        <v>2518</v>
      </c>
      <c r="B859" s="1" t="s">
        <v>2519</v>
      </c>
      <c r="C859" s="1" t="s">
        <v>46</v>
      </c>
      <c r="D859" s="1" t="s">
        <v>58</v>
      </c>
      <c r="E859" s="1">
        <v>2022</v>
      </c>
      <c r="F859" s="1" t="s">
        <v>100</v>
      </c>
      <c r="G859" s="1" t="s">
        <v>2520</v>
      </c>
      <c r="H859" s="1">
        <v>43</v>
      </c>
      <c r="I859" s="1" t="s">
        <v>22</v>
      </c>
      <c r="J859" s="1">
        <v>5</v>
      </c>
      <c r="K859" s="1">
        <v>3</v>
      </c>
      <c r="L859" s="1" t="s">
        <v>23</v>
      </c>
      <c r="M859" s="1" t="s">
        <v>132</v>
      </c>
      <c r="N859" s="1" t="s">
        <v>128</v>
      </c>
      <c r="O859" s="1">
        <v>4</v>
      </c>
      <c r="P859" s="1">
        <v>161</v>
      </c>
      <c r="Q859" s="1">
        <v>606.79999999999995</v>
      </c>
      <c r="R859" s="8" t="str">
        <f>_xlfn.IFS(J859&gt;=8,"Hit",J859&gt;=6,"Average",J859&lt;6,"Flop")</f>
        <v>Flop</v>
      </c>
      <c r="S859" s="9" t="str">
        <f>_xlfn.IFS(K859&gt;=400,"Blockbuster",K859&gt;=200,"Popular",K859&lt;200,"Normal")</f>
        <v>Normal</v>
      </c>
      <c r="T859" s="10" t="str">
        <f>IF(OR(I859="PG",I859="G"),"Yes","No")</f>
        <v>No</v>
      </c>
      <c r="U859" s="11" t="str">
        <f>IF(P859&gt;=100,"High","Low")</f>
        <v>High</v>
      </c>
      <c r="V859" s="28">
        <f t="shared" si="26"/>
        <v>445.79999999999995</v>
      </c>
      <c r="W859" s="29">
        <f t="shared" si="27"/>
        <v>376.89440993788821</v>
      </c>
    </row>
    <row r="860" spans="1:23" x14ac:dyDescent="0.3">
      <c r="A860" s="1" t="s">
        <v>2521</v>
      </c>
      <c r="B860" s="1" t="s">
        <v>2522</v>
      </c>
      <c r="C860" s="1" t="s">
        <v>18</v>
      </c>
      <c r="D860" s="1" t="s">
        <v>37</v>
      </c>
      <c r="E860" s="1">
        <v>2025</v>
      </c>
      <c r="F860" s="1" t="s">
        <v>122</v>
      </c>
      <c r="G860" s="1" t="s">
        <v>2523</v>
      </c>
      <c r="H860" s="1">
        <v>82</v>
      </c>
      <c r="I860" s="1" t="s">
        <v>22</v>
      </c>
      <c r="J860" s="1">
        <v>7.1</v>
      </c>
      <c r="K860" s="1">
        <v>233.2</v>
      </c>
      <c r="L860" s="1" t="s">
        <v>32</v>
      </c>
      <c r="M860" s="1" t="s">
        <v>106</v>
      </c>
      <c r="N860" s="1" t="s">
        <v>119</v>
      </c>
      <c r="O860" s="1"/>
      <c r="P860" s="1">
        <v>86</v>
      </c>
      <c r="Q860" s="1">
        <v>343.5</v>
      </c>
      <c r="R860" s="8" t="str">
        <f>_xlfn.IFS(J860&gt;=8,"Hit",J860&gt;=6,"Average",J860&lt;6,"Flop")</f>
        <v>Average</v>
      </c>
      <c r="S860" s="9" t="str">
        <f>_xlfn.IFS(K860&gt;=400,"Blockbuster",K860&gt;=200,"Popular",K860&lt;200,"Normal")</f>
        <v>Popular</v>
      </c>
      <c r="T860" s="10" t="str">
        <f>IF(OR(I860="PG",I860="G"),"Yes","No")</f>
        <v>No</v>
      </c>
      <c r="U860" s="11" t="str">
        <f>IF(P860&gt;=100,"High","Low")</f>
        <v>Low</v>
      </c>
      <c r="V860" s="28">
        <f t="shared" si="26"/>
        <v>257.5</v>
      </c>
      <c r="W860" s="29">
        <f t="shared" si="27"/>
        <v>399.41860465116281</v>
      </c>
    </row>
    <row r="861" spans="1:23" x14ac:dyDescent="0.3">
      <c r="A861" s="1" t="s">
        <v>2524</v>
      </c>
      <c r="B861" s="1" t="s">
        <v>2525</v>
      </c>
      <c r="C861" s="1" t="s">
        <v>18</v>
      </c>
      <c r="D861" s="1" t="s">
        <v>58</v>
      </c>
      <c r="E861" s="1">
        <v>2009</v>
      </c>
      <c r="F861" s="1" t="s">
        <v>100</v>
      </c>
      <c r="G861" s="1" t="s">
        <v>2526</v>
      </c>
      <c r="H861" s="1">
        <v>106</v>
      </c>
      <c r="I861" s="1" t="s">
        <v>110</v>
      </c>
      <c r="J861" s="1">
        <v>7.8</v>
      </c>
      <c r="K861" s="1">
        <v>594.79999999999995</v>
      </c>
      <c r="L861" s="1" t="s">
        <v>23</v>
      </c>
      <c r="M861" s="1" t="s">
        <v>33</v>
      </c>
      <c r="N861" s="1" t="s">
        <v>128</v>
      </c>
      <c r="O861" s="1"/>
      <c r="P861" s="1">
        <v>14</v>
      </c>
      <c r="Q861" s="1">
        <v>54</v>
      </c>
      <c r="R861" s="8" t="str">
        <f>_xlfn.IFS(J861&gt;=8,"Hit",J861&gt;=6,"Average",J861&lt;6,"Flop")</f>
        <v>Average</v>
      </c>
      <c r="S861" s="9" t="str">
        <f>_xlfn.IFS(K861&gt;=400,"Blockbuster",K861&gt;=200,"Popular",K861&lt;200,"Normal")</f>
        <v>Blockbuster</v>
      </c>
      <c r="T861" s="10" t="str">
        <f>IF(OR(I861="PG",I861="G"),"Yes","No")</f>
        <v>No</v>
      </c>
      <c r="U861" s="11" t="str">
        <f>IF(P861&gt;=100,"High","Low")</f>
        <v>Low</v>
      </c>
      <c r="V861" s="28">
        <f t="shared" si="26"/>
        <v>40</v>
      </c>
      <c r="W861" s="29">
        <f t="shared" si="27"/>
        <v>385.71428571428572</v>
      </c>
    </row>
    <row r="862" spans="1:23" x14ac:dyDescent="0.3">
      <c r="A862" s="1" t="s">
        <v>2527</v>
      </c>
      <c r="B862" s="1" t="s">
        <v>2528</v>
      </c>
      <c r="C862" s="1" t="s">
        <v>46</v>
      </c>
      <c r="D862" s="1" t="s">
        <v>47</v>
      </c>
      <c r="E862" s="1">
        <v>2018</v>
      </c>
      <c r="F862" s="1" t="s">
        <v>100</v>
      </c>
      <c r="G862" s="1" t="s">
        <v>2529</v>
      </c>
      <c r="H862" s="1">
        <v>43</v>
      </c>
      <c r="I862" s="1" t="s">
        <v>40</v>
      </c>
      <c r="J862" s="1">
        <v>8</v>
      </c>
      <c r="K862" s="1">
        <v>242.4</v>
      </c>
      <c r="L862" s="1" t="s">
        <v>32</v>
      </c>
      <c r="M862" s="1" t="s">
        <v>146</v>
      </c>
      <c r="N862" s="1" t="s">
        <v>34</v>
      </c>
      <c r="O862" s="1">
        <v>1</v>
      </c>
      <c r="P862" s="1">
        <v>99</v>
      </c>
      <c r="Q862" s="1">
        <v>155.6</v>
      </c>
      <c r="R862" s="8" t="str">
        <f>_xlfn.IFS(J862&gt;=8,"Hit",J862&gt;=6,"Average",J862&lt;6,"Flop")</f>
        <v>Hit</v>
      </c>
      <c r="S862" s="9" t="str">
        <f>_xlfn.IFS(K862&gt;=400,"Blockbuster",K862&gt;=200,"Popular",K862&lt;200,"Normal")</f>
        <v>Popular</v>
      </c>
      <c r="T862" s="10" t="str">
        <f>IF(OR(I862="PG",I862="G"),"Yes","No")</f>
        <v>Yes</v>
      </c>
      <c r="U862" s="11" t="str">
        <f>IF(P862&gt;=100,"High","Low")</f>
        <v>Low</v>
      </c>
      <c r="V862" s="28">
        <f t="shared" si="26"/>
        <v>56.599999999999994</v>
      </c>
      <c r="W862" s="29">
        <f t="shared" si="27"/>
        <v>157.17171717171715</v>
      </c>
    </row>
    <row r="863" spans="1:23" x14ac:dyDescent="0.3">
      <c r="A863" s="1" t="s">
        <v>2530</v>
      </c>
      <c r="B863" s="1" t="s">
        <v>2531</v>
      </c>
      <c r="C863" s="1" t="s">
        <v>18</v>
      </c>
      <c r="D863" s="1" t="s">
        <v>58</v>
      </c>
      <c r="E863" s="1">
        <v>2023</v>
      </c>
      <c r="F863" s="1" t="s">
        <v>83</v>
      </c>
      <c r="G863" s="1" t="s">
        <v>731</v>
      </c>
      <c r="H863" s="1">
        <v>112</v>
      </c>
      <c r="I863" s="1" t="s">
        <v>40</v>
      </c>
      <c r="J863" s="1">
        <v>7.7</v>
      </c>
      <c r="K863" s="1">
        <v>584.9</v>
      </c>
      <c r="L863" s="1" t="s">
        <v>90</v>
      </c>
      <c r="M863" s="1" t="s">
        <v>132</v>
      </c>
      <c r="N863" s="1" t="s">
        <v>79</v>
      </c>
      <c r="O863" s="1"/>
      <c r="P863" s="1">
        <v>157</v>
      </c>
      <c r="Q863" s="1">
        <v>605.4</v>
      </c>
      <c r="R863" s="8" t="str">
        <f>_xlfn.IFS(J863&gt;=8,"Hit",J863&gt;=6,"Average",J863&lt;6,"Flop")</f>
        <v>Average</v>
      </c>
      <c r="S863" s="9" t="str">
        <f>_xlfn.IFS(K863&gt;=400,"Blockbuster",K863&gt;=200,"Popular",K863&lt;200,"Normal")</f>
        <v>Blockbuster</v>
      </c>
      <c r="T863" s="10" t="str">
        <f>IF(OR(I863="PG",I863="G"),"Yes","No")</f>
        <v>Yes</v>
      </c>
      <c r="U863" s="11" t="str">
        <f>IF(P863&gt;=100,"High","Low")</f>
        <v>High</v>
      </c>
      <c r="V863" s="28">
        <f t="shared" si="26"/>
        <v>448.4</v>
      </c>
      <c r="W863" s="29">
        <f t="shared" si="27"/>
        <v>385.60509554140128</v>
      </c>
    </row>
    <row r="864" spans="1:23" x14ac:dyDescent="0.3">
      <c r="A864" s="1" t="s">
        <v>2532</v>
      </c>
      <c r="B864" s="1" t="s">
        <v>2533</v>
      </c>
      <c r="C864" s="1" t="s">
        <v>46</v>
      </c>
      <c r="D864" s="1" t="s">
        <v>117</v>
      </c>
      <c r="E864" s="1">
        <v>2005</v>
      </c>
      <c r="F864" s="1" t="s">
        <v>48</v>
      </c>
      <c r="G864" s="1" t="s">
        <v>2534</v>
      </c>
      <c r="H864" s="1">
        <v>51</v>
      </c>
      <c r="I864" s="1" t="s">
        <v>110</v>
      </c>
      <c r="J864" s="1">
        <v>4.8</v>
      </c>
      <c r="K864" s="1">
        <v>46.8</v>
      </c>
      <c r="L864" s="1" t="s">
        <v>65</v>
      </c>
      <c r="M864" s="1" t="s">
        <v>132</v>
      </c>
      <c r="N864" s="1" t="s">
        <v>128</v>
      </c>
      <c r="O864" s="1">
        <v>8</v>
      </c>
      <c r="P864" s="1">
        <v>92</v>
      </c>
      <c r="Q864" s="1">
        <v>172.7</v>
      </c>
      <c r="R864" s="8" t="str">
        <f>_xlfn.IFS(J864&gt;=8,"Hit",J864&gt;=6,"Average",J864&lt;6,"Flop")</f>
        <v>Flop</v>
      </c>
      <c r="S864" s="9" t="str">
        <f>_xlfn.IFS(K864&gt;=400,"Blockbuster",K864&gt;=200,"Popular",K864&lt;200,"Normal")</f>
        <v>Normal</v>
      </c>
      <c r="T864" s="10" t="str">
        <f>IF(OR(I864="PG",I864="G"),"Yes","No")</f>
        <v>No</v>
      </c>
      <c r="U864" s="11" t="str">
        <f>IF(P864&gt;=100,"High","Low")</f>
        <v>Low</v>
      </c>
      <c r="V864" s="28">
        <f t="shared" si="26"/>
        <v>80.699999999999989</v>
      </c>
      <c r="W864" s="29">
        <f t="shared" si="27"/>
        <v>187.71739130434781</v>
      </c>
    </row>
    <row r="865" spans="1:23" x14ac:dyDescent="0.3">
      <c r="A865" s="1" t="s">
        <v>2535</v>
      </c>
      <c r="B865" s="1" t="s">
        <v>2536</v>
      </c>
      <c r="C865" s="1" t="s">
        <v>46</v>
      </c>
      <c r="D865" s="1" t="s">
        <v>63</v>
      </c>
      <c r="E865" s="1">
        <v>2021</v>
      </c>
      <c r="F865" s="1" t="s">
        <v>181</v>
      </c>
      <c r="G865" s="1" t="s">
        <v>2537</v>
      </c>
      <c r="H865" s="1">
        <v>57</v>
      </c>
      <c r="I865" s="1" t="s">
        <v>50</v>
      </c>
      <c r="J865" s="1">
        <v>7.9</v>
      </c>
      <c r="K865" s="1">
        <v>459.2</v>
      </c>
      <c r="L865" s="1" t="s">
        <v>90</v>
      </c>
      <c r="M865" s="1" t="s">
        <v>24</v>
      </c>
      <c r="N865" s="1" t="s">
        <v>128</v>
      </c>
      <c r="O865" s="1">
        <v>6</v>
      </c>
      <c r="P865" s="1">
        <v>109</v>
      </c>
      <c r="Q865" s="1">
        <v>513.1</v>
      </c>
      <c r="R865" s="8" t="str">
        <f>_xlfn.IFS(J865&gt;=8,"Hit",J865&gt;=6,"Average",J865&lt;6,"Flop")</f>
        <v>Average</v>
      </c>
      <c r="S865" s="9" t="str">
        <f>_xlfn.IFS(K865&gt;=400,"Blockbuster",K865&gt;=200,"Popular",K865&lt;200,"Normal")</f>
        <v>Blockbuster</v>
      </c>
      <c r="T865" s="10" t="str">
        <f>IF(OR(I865="PG",I865="G"),"Yes","No")</f>
        <v>Yes</v>
      </c>
      <c r="U865" s="11" t="str">
        <f>IF(P865&gt;=100,"High","Low")</f>
        <v>High</v>
      </c>
      <c r="V865" s="28">
        <f t="shared" si="26"/>
        <v>404.1</v>
      </c>
      <c r="W865" s="29">
        <f t="shared" si="27"/>
        <v>470.73394495412845</v>
      </c>
    </row>
    <row r="866" spans="1:23" x14ac:dyDescent="0.3">
      <c r="A866" s="1" t="s">
        <v>2538</v>
      </c>
      <c r="B866" s="1" t="s">
        <v>2539</v>
      </c>
      <c r="C866" s="1" t="s">
        <v>46</v>
      </c>
      <c r="D866" s="1" t="s">
        <v>58</v>
      </c>
      <c r="E866" s="1">
        <v>2008</v>
      </c>
      <c r="F866" s="1" t="s">
        <v>76</v>
      </c>
      <c r="G866" s="1" t="s">
        <v>811</v>
      </c>
      <c r="H866" s="1">
        <v>38</v>
      </c>
      <c r="I866" s="1" t="s">
        <v>50</v>
      </c>
      <c r="J866" s="1">
        <v>8.9</v>
      </c>
      <c r="K866" s="1">
        <v>219.5</v>
      </c>
      <c r="L866" s="1" t="s">
        <v>71</v>
      </c>
      <c r="M866" s="1" t="s">
        <v>85</v>
      </c>
      <c r="N866" s="1" t="s">
        <v>67</v>
      </c>
      <c r="O866" s="1">
        <v>6</v>
      </c>
      <c r="P866" s="1">
        <v>91</v>
      </c>
      <c r="Q866" s="1">
        <v>455.3</v>
      </c>
      <c r="R866" s="8" t="str">
        <f>_xlfn.IFS(J866&gt;=8,"Hit",J866&gt;=6,"Average",J866&lt;6,"Flop")</f>
        <v>Hit</v>
      </c>
      <c r="S866" s="9" t="str">
        <f>_xlfn.IFS(K866&gt;=400,"Blockbuster",K866&gt;=200,"Popular",K866&lt;200,"Normal")</f>
        <v>Popular</v>
      </c>
      <c r="T866" s="10" t="str">
        <f>IF(OR(I866="PG",I866="G"),"Yes","No")</f>
        <v>Yes</v>
      </c>
      <c r="U866" s="11" t="str">
        <f>IF(P866&gt;=100,"High","Low")</f>
        <v>Low</v>
      </c>
      <c r="V866" s="28">
        <f t="shared" si="26"/>
        <v>364.3</v>
      </c>
      <c r="W866" s="29">
        <f t="shared" si="27"/>
        <v>500.32967032967031</v>
      </c>
    </row>
    <row r="867" spans="1:23" x14ac:dyDescent="0.3">
      <c r="A867" s="1" t="s">
        <v>2540</v>
      </c>
      <c r="B867" s="1" t="s">
        <v>2541</v>
      </c>
      <c r="C867" s="1" t="s">
        <v>46</v>
      </c>
      <c r="D867" s="1" t="s">
        <v>141</v>
      </c>
      <c r="E867" s="1">
        <v>2022</v>
      </c>
      <c r="F867" s="1" t="s">
        <v>29</v>
      </c>
      <c r="G867" s="1" t="s">
        <v>2542</v>
      </c>
      <c r="H867" s="1">
        <v>59</v>
      </c>
      <c r="I867" s="1" t="s">
        <v>50</v>
      </c>
      <c r="J867" s="1">
        <v>6.1</v>
      </c>
      <c r="K867" s="1">
        <v>60.3</v>
      </c>
      <c r="L867" s="1" t="s">
        <v>23</v>
      </c>
      <c r="M867" s="1" t="s">
        <v>97</v>
      </c>
      <c r="N867" s="1" t="s">
        <v>55</v>
      </c>
      <c r="O867" s="1">
        <v>4</v>
      </c>
      <c r="P867" s="1">
        <v>67</v>
      </c>
      <c r="Q867" s="1">
        <v>83.5</v>
      </c>
      <c r="R867" s="8" t="str">
        <f>_xlfn.IFS(J867&gt;=8,"Hit",J867&gt;=6,"Average",J867&lt;6,"Flop")</f>
        <v>Average</v>
      </c>
      <c r="S867" s="9" t="str">
        <f>_xlfn.IFS(K867&gt;=400,"Blockbuster",K867&gt;=200,"Popular",K867&lt;200,"Normal")</f>
        <v>Normal</v>
      </c>
      <c r="T867" s="10" t="str">
        <f>IF(OR(I867="PG",I867="G"),"Yes","No")</f>
        <v>Yes</v>
      </c>
      <c r="U867" s="11" t="str">
        <f>IF(P867&gt;=100,"High","Low")</f>
        <v>Low</v>
      </c>
      <c r="V867" s="28">
        <f t="shared" si="26"/>
        <v>16.5</v>
      </c>
      <c r="W867" s="29">
        <f t="shared" si="27"/>
        <v>124.62686567164178</v>
      </c>
    </row>
    <row r="868" spans="1:23" x14ac:dyDescent="0.3">
      <c r="A868" s="1" t="s">
        <v>2543</v>
      </c>
      <c r="B868" s="1" t="s">
        <v>2544</v>
      </c>
      <c r="C868" s="1" t="s">
        <v>46</v>
      </c>
      <c r="D868" s="1" t="s">
        <v>63</v>
      </c>
      <c r="E868" s="1">
        <v>2008</v>
      </c>
      <c r="F868" s="1" t="s">
        <v>95</v>
      </c>
      <c r="G868" s="1" t="s">
        <v>2545</v>
      </c>
      <c r="H868" s="1">
        <v>53</v>
      </c>
      <c r="I868" s="1" t="s">
        <v>22</v>
      </c>
      <c r="J868" s="1">
        <v>4.7</v>
      </c>
      <c r="K868" s="1">
        <v>493.4</v>
      </c>
      <c r="L868" s="1" t="s">
        <v>23</v>
      </c>
      <c r="M868" s="1" t="s">
        <v>72</v>
      </c>
      <c r="N868" s="1" t="s">
        <v>25</v>
      </c>
      <c r="O868" s="1">
        <v>3</v>
      </c>
      <c r="P868" s="1">
        <v>152</v>
      </c>
      <c r="Q868" s="1">
        <v>470.1</v>
      </c>
      <c r="R868" s="8" t="str">
        <f>_xlfn.IFS(J868&gt;=8,"Hit",J868&gt;=6,"Average",J868&lt;6,"Flop")</f>
        <v>Flop</v>
      </c>
      <c r="S868" s="9" t="str">
        <f>_xlfn.IFS(K868&gt;=400,"Blockbuster",K868&gt;=200,"Popular",K868&lt;200,"Normal")</f>
        <v>Blockbuster</v>
      </c>
      <c r="T868" s="10" t="str">
        <f>IF(OR(I868="PG",I868="G"),"Yes","No")</f>
        <v>No</v>
      </c>
      <c r="U868" s="11" t="str">
        <f>IF(P868&gt;=100,"High","Low")</f>
        <v>High</v>
      </c>
      <c r="V868" s="28">
        <f t="shared" si="26"/>
        <v>318.10000000000002</v>
      </c>
      <c r="W868" s="29">
        <f t="shared" si="27"/>
        <v>309.2763157894737</v>
      </c>
    </row>
    <row r="869" spans="1:23" x14ac:dyDescent="0.3">
      <c r="A869" s="1" t="s">
        <v>2546</v>
      </c>
      <c r="B869" s="1" t="s">
        <v>2547</v>
      </c>
      <c r="C869" s="1" t="s">
        <v>18</v>
      </c>
      <c r="D869" s="1" t="s">
        <v>28</v>
      </c>
      <c r="E869" s="1">
        <v>2005</v>
      </c>
      <c r="F869" s="1" t="s">
        <v>122</v>
      </c>
      <c r="G869" s="1" t="s">
        <v>2548</v>
      </c>
      <c r="H869" s="1">
        <v>163</v>
      </c>
      <c r="I869" s="1" t="s">
        <v>40</v>
      </c>
      <c r="J869" s="1">
        <v>7.6</v>
      </c>
      <c r="K869" s="1">
        <v>53.5</v>
      </c>
      <c r="L869" s="1" t="s">
        <v>23</v>
      </c>
      <c r="M869" s="1" t="s">
        <v>124</v>
      </c>
      <c r="N869" s="1" t="s">
        <v>128</v>
      </c>
      <c r="O869" s="1"/>
      <c r="P869" s="1">
        <v>73</v>
      </c>
      <c r="Q869" s="1">
        <v>161.80000000000001</v>
      </c>
      <c r="R869" s="8" t="str">
        <f>_xlfn.IFS(J869&gt;=8,"Hit",J869&gt;=6,"Average",J869&lt;6,"Flop")</f>
        <v>Average</v>
      </c>
      <c r="S869" s="9" t="str">
        <f>_xlfn.IFS(K869&gt;=400,"Blockbuster",K869&gt;=200,"Popular",K869&lt;200,"Normal")</f>
        <v>Normal</v>
      </c>
      <c r="T869" s="10" t="str">
        <f>IF(OR(I869="PG",I869="G"),"Yes","No")</f>
        <v>Yes</v>
      </c>
      <c r="U869" s="11" t="str">
        <f>IF(P869&gt;=100,"High","Low")</f>
        <v>Low</v>
      </c>
      <c r="V869" s="28">
        <f t="shared" si="26"/>
        <v>88.800000000000011</v>
      </c>
      <c r="W869" s="29">
        <f t="shared" si="27"/>
        <v>221.64383561643839</v>
      </c>
    </row>
    <row r="870" spans="1:23" x14ac:dyDescent="0.3">
      <c r="A870" s="1" t="s">
        <v>2549</v>
      </c>
      <c r="B870" s="1" t="s">
        <v>2550</v>
      </c>
      <c r="C870" s="1" t="s">
        <v>46</v>
      </c>
      <c r="D870" s="1" t="s">
        <v>63</v>
      </c>
      <c r="E870" s="1">
        <v>2007</v>
      </c>
      <c r="F870" s="1" t="s">
        <v>76</v>
      </c>
      <c r="G870" s="1" t="s">
        <v>2551</v>
      </c>
      <c r="H870" s="1">
        <v>47</v>
      </c>
      <c r="I870" s="1" t="s">
        <v>22</v>
      </c>
      <c r="J870" s="1">
        <v>8.1</v>
      </c>
      <c r="K870" s="1">
        <v>366.3</v>
      </c>
      <c r="L870" s="1" t="s">
        <v>171</v>
      </c>
      <c r="M870" s="1" t="s">
        <v>106</v>
      </c>
      <c r="N870" s="1" t="s">
        <v>79</v>
      </c>
      <c r="O870" s="1">
        <v>7</v>
      </c>
      <c r="P870" s="1">
        <v>72</v>
      </c>
      <c r="Q870" s="1">
        <v>442.2</v>
      </c>
      <c r="R870" s="8" t="str">
        <f>_xlfn.IFS(J870&gt;=8,"Hit",J870&gt;=6,"Average",J870&lt;6,"Flop")</f>
        <v>Hit</v>
      </c>
      <c r="S870" s="9" t="str">
        <f>_xlfn.IFS(K870&gt;=400,"Blockbuster",K870&gt;=200,"Popular",K870&lt;200,"Normal")</f>
        <v>Popular</v>
      </c>
      <c r="T870" s="10" t="str">
        <f>IF(OR(I870="PG",I870="G"),"Yes","No")</f>
        <v>No</v>
      </c>
      <c r="U870" s="11" t="str">
        <f>IF(P870&gt;=100,"High","Low")</f>
        <v>Low</v>
      </c>
      <c r="V870" s="28">
        <f t="shared" si="26"/>
        <v>370.2</v>
      </c>
      <c r="W870" s="29">
        <f t="shared" si="27"/>
        <v>614.16666666666663</v>
      </c>
    </row>
    <row r="871" spans="1:23" x14ac:dyDescent="0.3">
      <c r="A871" s="1" t="s">
        <v>2552</v>
      </c>
      <c r="B871" s="1" t="s">
        <v>2553</v>
      </c>
      <c r="C871" s="1" t="s">
        <v>18</v>
      </c>
      <c r="D871" s="1" t="s">
        <v>19</v>
      </c>
      <c r="E871" s="1">
        <v>2020</v>
      </c>
      <c r="F871" s="1" t="s">
        <v>122</v>
      </c>
      <c r="G871" s="1" t="s">
        <v>2554</v>
      </c>
      <c r="H871" s="1">
        <v>163</v>
      </c>
      <c r="I871" s="1" t="s">
        <v>40</v>
      </c>
      <c r="J871" s="1">
        <v>9.5</v>
      </c>
      <c r="K871" s="1">
        <v>547.20000000000005</v>
      </c>
      <c r="L871" s="1" t="s">
        <v>41</v>
      </c>
      <c r="M871" s="1" t="s">
        <v>42</v>
      </c>
      <c r="N871" s="1" t="s">
        <v>102</v>
      </c>
      <c r="O871" s="1"/>
      <c r="P871" s="1">
        <v>53</v>
      </c>
      <c r="Q871" s="1">
        <v>123.1</v>
      </c>
      <c r="R871" s="8" t="str">
        <f>_xlfn.IFS(J871&gt;=8,"Hit",J871&gt;=6,"Average",J871&lt;6,"Flop")</f>
        <v>Hit</v>
      </c>
      <c r="S871" s="9" t="str">
        <f>_xlfn.IFS(K871&gt;=400,"Blockbuster",K871&gt;=200,"Popular",K871&lt;200,"Normal")</f>
        <v>Blockbuster</v>
      </c>
      <c r="T871" s="10" t="str">
        <f>IF(OR(I871="PG",I871="G"),"Yes","No")</f>
        <v>Yes</v>
      </c>
      <c r="U871" s="11" t="str">
        <f>IF(P871&gt;=100,"High","Low")</f>
        <v>Low</v>
      </c>
      <c r="V871" s="28">
        <f t="shared" si="26"/>
        <v>70.099999999999994</v>
      </c>
      <c r="W871" s="29">
        <f t="shared" si="27"/>
        <v>232.2641509433962</v>
      </c>
    </row>
    <row r="872" spans="1:23" x14ac:dyDescent="0.3">
      <c r="A872" s="1" t="s">
        <v>2555</v>
      </c>
      <c r="B872" s="1" t="s">
        <v>2556</v>
      </c>
      <c r="C872" s="1" t="s">
        <v>46</v>
      </c>
      <c r="D872" s="1" t="s">
        <v>58</v>
      </c>
      <c r="E872" s="1">
        <v>2006</v>
      </c>
      <c r="F872" s="1" t="s">
        <v>29</v>
      </c>
      <c r="G872" s="1" t="s">
        <v>2557</v>
      </c>
      <c r="H872" s="1">
        <v>55</v>
      </c>
      <c r="I872" s="1" t="s">
        <v>110</v>
      </c>
      <c r="J872" s="1">
        <v>5.8</v>
      </c>
      <c r="K872" s="1">
        <v>145.30000000000001</v>
      </c>
      <c r="L872" s="1" t="s">
        <v>71</v>
      </c>
      <c r="M872" s="1" t="s">
        <v>78</v>
      </c>
      <c r="N872" s="1" t="s">
        <v>34</v>
      </c>
      <c r="O872" s="1">
        <v>5</v>
      </c>
      <c r="P872" s="1">
        <v>81</v>
      </c>
      <c r="Q872" s="1">
        <v>157.1</v>
      </c>
      <c r="R872" s="8" t="str">
        <f>_xlfn.IFS(J872&gt;=8,"Hit",J872&gt;=6,"Average",J872&lt;6,"Flop")</f>
        <v>Flop</v>
      </c>
      <c r="S872" s="9" t="str">
        <f>_xlfn.IFS(K872&gt;=400,"Blockbuster",K872&gt;=200,"Popular",K872&lt;200,"Normal")</f>
        <v>Normal</v>
      </c>
      <c r="T872" s="10" t="str">
        <f>IF(OR(I872="PG",I872="G"),"Yes","No")</f>
        <v>No</v>
      </c>
      <c r="U872" s="11" t="str">
        <f>IF(P872&gt;=100,"High","Low")</f>
        <v>Low</v>
      </c>
      <c r="V872" s="28">
        <f t="shared" si="26"/>
        <v>76.099999999999994</v>
      </c>
      <c r="W872" s="29">
        <f t="shared" si="27"/>
        <v>193.95061728395061</v>
      </c>
    </row>
    <row r="873" spans="1:23" x14ac:dyDescent="0.3">
      <c r="A873" s="1" t="s">
        <v>2558</v>
      </c>
      <c r="B873" s="1" t="s">
        <v>2559</v>
      </c>
      <c r="C873" s="1" t="s">
        <v>18</v>
      </c>
      <c r="D873" s="1" t="s">
        <v>75</v>
      </c>
      <c r="E873" s="1">
        <v>2003</v>
      </c>
      <c r="F873" s="1" t="s">
        <v>38</v>
      </c>
      <c r="G873" s="1" t="s">
        <v>2560</v>
      </c>
      <c r="H873" s="1">
        <v>151</v>
      </c>
      <c r="I873" s="1" t="s">
        <v>31</v>
      </c>
      <c r="J873" s="1">
        <v>9</v>
      </c>
      <c r="K873" s="1">
        <v>271.7</v>
      </c>
      <c r="L873" s="1" t="s">
        <v>41</v>
      </c>
      <c r="M873" s="1" t="s">
        <v>24</v>
      </c>
      <c r="N873" s="1" t="s">
        <v>158</v>
      </c>
      <c r="O873" s="1"/>
      <c r="P873" s="1">
        <v>61</v>
      </c>
      <c r="Q873" s="1">
        <v>201.1</v>
      </c>
      <c r="R873" s="8" t="str">
        <f>_xlfn.IFS(J873&gt;=8,"Hit",J873&gt;=6,"Average",J873&lt;6,"Flop")</f>
        <v>Hit</v>
      </c>
      <c r="S873" s="9" t="str">
        <f>_xlfn.IFS(K873&gt;=400,"Blockbuster",K873&gt;=200,"Popular",K873&lt;200,"Normal")</f>
        <v>Popular</v>
      </c>
      <c r="T873" s="10" t="str">
        <f>IF(OR(I873="PG",I873="G"),"Yes","No")</f>
        <v>No</v>
      </c>
      <c r="U873" s="11" t="str">
        <f>IF(P873&gt;=100,"High","Low")</f>
        <v>Low</v>
      </c>
      <c r="V873" s="28">
        <f t="shared" si="26"/>
        <v>140.1</v>
      </c>
      <c r="W873" s="29">
        <f t="shared" si="27"/>
        <v>329.67213114754099</v>
      </c>
    </row>
    <row r="874" spans="1:23" x14ac:dyDescent="0.3">
      <c r="A874" s="1" t="s">
        <v>2561</v>
      </c>
      <c r="B874" s="1" t="s">
        <v>2562</v>
      </c>
      <c r="C874" s="1" t="s">
        <v>46</v>
      </c>
      <c r="D874" s="1" t="s">
        <v>75</v>
      </c>
      <c r="E874" s="1">
        <v>2005</v>
      </c>
      <c r="F874" s="1" t="s">
        <v>83</v>
      </c>
      <c r="G874" s="1" t="s">
        <v>2563</v>
      </c>
      <c r="H874" s="1">
        <v>43</v>
      </c>
      <c r="I874" s="1" t="s">
        <v>22</v>
      </c>
      <c r="J874" s="1">
        <v>8.3000000000000007</v>
      </c>
      <c r="K874" s="1">
        <v>565.9</v>
      </c>
      <c r="L874" s="1" t="s">
        <v>71</v>
      </c>
      <c r="M874" s="1" t="s">
        <v>42</v>
      </c>
      <c r="N874" s="1" t="s">
        <v>25</v>
      </c>
      <c r="O874" s="1">
        <v>4</v>
      </c>
      <c r="P874" s="1">
        <v>193</v>
      </c>
      <c r="Q874" s="1">
        <v>1009.1</v>
      </c>
      <c r="R874" s="8" t="str">
        <f>_xlfn.IFS(J874&gt;=8,"Hit",J874&gt;=6,"Average",J874&lt;6,"Flop")</f>
        <v>Hit</v>
      </c>
      <c r="S874" s="9" t="str">
        <f>_xlfn.IFS(K874&gt;=400,"Blockbuster",K874&gt;=200,"Popular",K874&lt;200,"Normal")</f>
        <v>Blockbuster</v>
      </c>
      <c r="T874" s="10" t="str">
        <f>IF(OR(I874="PG",I874="G"),"Yes","No")</f>
        <v>No</v>
      </c>
      <c r="U874" s="11" t="str">
        <f>IF(P874&gt;=100,"High","Low")</f>
        <v>High</v>
      </c>
      <c r="V874" s="28">
        <f t="shared" si="26"/>
        <v>816.1</v>
      </c>
      <c r="W874" s="29">
        <f t="shared" si="27"/>
        <v>522.84974093264248</v>
      </c>
    </row>
    <row r="875" spans="1:23" x14ac:dyDescent="0.3">
      <c r="A875" s="1" t="s">
        <v>2564</v>
      </c>
      <c r="B875" s="1" t="s">
        <v>2565</v>
      </c>
      <c r="C875" s="1" t="s">
        <v>18</v>
      </c>
      <c r="D875" s="1" t="s">
        <v>63</v>
      </c>
      <c r="E875" s="1">
        <v>2011</v>
      </c>
      <c r="F875" s="1" t="s">
        <v>95</v>
      </c>
      <c r="G875" s="1" t="s">
        <v>2566</v>
      </c>
      <c r="H875" s="1">
        <v>134</v>
      </c>
      <c r="I875" s="1" t="s">
        <v>40</v>
      </c>
      <c r="J875" s="1">
        <v>8.5</v>
      </c>
      <c r="K875" s="1">
        <v>410.5</v>
      </c>
      <c r="L875" s="1" t="s">
        <v>32</v>
      </c>
      <c r="M875" s="1" t="s">
        <v>66</v>
      </c>
      <c r="N875" s="1" t="s">
        <v>34</v>
      </c>
      <c r="O875" s="1"/>
      <c r="P875" s="1">
        <v>128</v>
      </c>
      <c r="Q875" s="1">
        <v>726.7</v>
      </c>
      <c r="R875" s="8" t="str">
        <f>_xlfn.IFS(J875&gt;=8,"Hit",J875&gt;=6,"Average",J875&lt;6,"Flop")</f>
        <v>Hit</v>
      </c>
      <c r="S875" s="9" t="str">
        <f>_xlfn.IFS(K875&gt;=400,"Blockbuster",K875&gt;=200,"Popular",K875&lt;200,"Normal")</f>
        <v>Blockbuster</v>
      </c>
      <c r="T875" s="10" t="str">
        <f>IF(OR(I875="PG",I875="G"),"Yes","No")</f>
        <v>Yes</v>
      </c>
      <c r="U875" s="11" t="str">
        <f>IF(P875&gt;=100,"High","Low")</f>
        <v>High</v>
      </c>
      <c r="V875" s="28">
        <f t="shared" si="26"/>
        <v>598.70000000000005</v>
      </c>
      <c r="W875" s="29">
        <f t="shared" si="27"/>
        <v>567.734375</v>
      </c>
    </row>
    <row r="876" spans="1:23" x14ac:dyDescent="0.3">
      <c r="A876" s="1" t="s">
        <v>2567</v>
      </c>
      <c r="B876" s="1" t="s">
        <v>2568</v>
      </c>
      <c r="C876" s="1" t="s">
        <v>18</v>
      </c>
      <c r="D876" s="1" t="s">
        <v>19</v>
      </c>
      <c r="E876" s="1">
        <v>2009</v>
      </c>
      <c r="F876" s="1" t="s">
        <v>29</v>
      </c>
      <c r="G876" s="1" t="s">
        <v>209</v>
      </c>
      <c r="H876" s="1">
        <v>102</v>
      </c>
      <c r="I876" s="1" t="s">
        <v>31</v>
      </c>
      <c r="J876" s="1">
        <v>5</v>
      </c>
      <c r="K876" s="1">
        <v>528.20000000000005</v>
      </c>
      <c r="L876" s="1" t="s">
        <v>41</v>
      </c>
      <c r="M876" s="1" t="s">
        <v>54</v>
      </c>
      <c r="N876" s="1" t="s">
        <v>86</v>
      </c>
      <c r="O876" s="1"/>
      <c r="P876" s="1">
        <v>159</v>
      </c>
      <c r="Q876" s="1">
        <v>729.3</v>
      </c>
      <c r="R876" s="8" t="str">
        <f>_xlfn.IFS(J876&gt;=8,"Hit",J876&gt;=6,"Average",J876&lt;6,"Flop")</f>
        <v>Flop</v>
      </c>
      <c r="S876" s="9" t="str">
        <f>_xlfn.IFS(K876&gt;=400,"Blockbuster",K876&gt;=200,"Popular",K876&lt;200,"Normal")</f>
        <v>Blockbuster</v>
      </c>
      <c r="T876" s="10" t="str">
        <f>IF(OR(I876="PG",I876="G"),"Yes","No")</f>
        <v>No</v>
      </c>
      <c r="U876" s="11" t="str">
        <f>IF(P876&gt;=100,"High","Low")</f>
        <v>High</v>
      </c>
      <c r="V876" s="28">
        <f t="shared" si="26"/>
        <v>570.29999999999995</v>
      </c>
      <c r="W876" s="29">
        <f t="shared" si="27"/>
        <v>458.67924528301887</v>
      </c>
    </row>
    <row r="877" spans="1:23" x14ac:dyDescent="0.3">
      <c r="A877" s="1" t="s">
        <v>2569</v>
      </c>
      <c r="B877" s="1" t="s">
        <v>2570</v>
      </c>
      <c r="C877" s="1" t="s">
        <v>18</v>
      </c>
      <c r="D877" s="1" t="s">
        <v>58</v>
      </c>
      <c r="E877" s="1">
        <v>2023</v>
      </c>
      <c r="F877" s="1" t="s">
        <v>29</v>
      </c>
      <c r="G877" s="1" t="s">
        <v>2571</v>
      </c>
      <c r="H877" s="1">
        <v>149</v>
      </c>
      <c r="I877" s="1" t="s">
        <v>22</v>
      </c>
      <c r="J877" s="1">
        <v>7.2</v>
      </c>
      <c r="K877" s="1">
        <v>439.4</v>
      </c>
      <c r="L877" s="1" t="s">
        <v>41</v>
      </c>
      <c r="M877" s="1" t="s">
        <v>157</v>
      </c>
      <c r="N877" s="1" t="s">
        <v>67</v>
      </c>
      <c r="O877" s="1"/>
      <c r="P877" s="1">
        <v>66</v>
      </c>
      <c r="Q877" s="1">
        <v>312.8</v>
      </c>
      <c r="R877" s="8" t="str">
        <f>_xlfn.IFS(J877&gt;=8,"Hit",J877&gt;=6,"Average",J877&lt;6,"Flop")</f>
        <v>Average</v>
      </c>
      <c r="S877" s="9" t="str">
        <f>_xlfn.IFS(K877&gt;=400,"Blockbuster",K877&gt;=200,"Popular",K877&lt;200,"Normal")</f>
        <v>Blockbuster</v>
      </c>
      <c r="T877" s="10" t="str">
        <f>IF(OR(I877="PG",I877="G"),"Yes","No")</f>
        <v>No</v>
      </c>
      <c r="U877" s="11" t="str">
        <f>IF(P877&gt;=100,"High","Low")</f>
        <v>Low</v>
      </c>
      <c r="V877" s="28">
        <f t="shared" si="26"/>
        <v>246.8</v>
      </c>
      <c r="W877" s="29">
        <f t="shared" si="27"/>
        <v>473.93939393939394</v>
      </c>
    </row>
    <row r="878" spans="1:23" x14ac:dyDescent="0.3">
      <c r="A878" s="1" t="s">
        <v>2572</v>
      </c>
      <c r="B878" s="1" t="s">
        <v>2573</v>
      </c>
      <c r="C878" s="1" t="s">
        <v>18</v>
      </c>
      <c r="D878" s="1" t="s">
        <v>75</v>
      </c>
      <c r="E878" s="1">
        <v>2019</v>
      </c>
      <c r="F878" s="1" t="s">
        <v>76</v>
      </c>
      <c r="G878" s="1" t="s">
        <v>2303</v>
      </c>
      <c r="H878" s="1">
        <v>106</v>
      </c>
      <c r="I878" s="1" t="s">
        <v>22</v>
      </c>
      <c r="J878" s="1">
        <v>8.3000000000000007</v>
      </c>
      <c r="K878" s="1">
        <v>7</v>
      </c>
      <c r="L878" s="1" t="s">
        <v>171</v>
      </c>
      <c r="M878" s="1" t="s">
        <v>42</v>
      </c>
      <c r="N878" s="1" t="s">
        <v>43</v>
      </c>
      <c r="O878" s="1"/>
      <c r="P878" s="1">
        <v>184</v>
      </c>
      <c r="Q878" s="1">
        <v>415.3</v>
      </c>
      <c r="R878" s="8" t="str">
        <f>_xlfn.IFS(J878&gt;=8,"Hit",J878&gt;=6,"Average",J878&lt;6,"Flop")</f>
        <v>Hit</v>
      </c>
      <c r="S878" s="9" t="str">
        <f>_xlfn.IFS(K878&gt;=400,"Blockbuster",K878&gt;=200,"Popular",K878&lt;200,"Normal")</f>
        <v>Normal</v>
      </c>
      <c r="T878" s="10" t="str">
        <f>IF(OR(I878="PG",I878="G"),"Yes","No")</f>
        <v>No</v>
      </c>
      <c r="U878" s="11" t="str">
        <f>IF(P878&gt;=100,"High","Low")</f>
        <v>High</v>
      </c>
      <c r="V878" s="28">
        <f t="shared" si="26"/>
        <v>231.3</v>
      </c>
      <c r="W878" s="29">
        <f t="shared" si="27"/>
        <v>225.70652173913044</v>
      </c>
    </row>
    <row r="879" spans="1:23" x14ac:dyDescent="0.3">
      <c r="A879" s="1" t="s">
        <v>2574</v>
      </c>
      <c r="B879" s="1" t="s">
        <v>2575</v>
      </c>
      <c r="C879" s="1" t="s">
        <v>46</v>
      </c>
      <c r="D879" s="1" t="s">
        <v>28</v>
      </c>
      <c r="E879" s="1">
        <v>2012</v>
      </c>
      <c r="F879" s="1" t="s">
        <v>48</v>
      </c>
      <c r="G879" s="1" t="s">
        <v>2576</v>
      </c>
      <c r="H879" s="1">
        <v>43</v>
      </c>
      <c r="I879" s="1" t="s">
        <v>31</v>
      </c>
      <c r="J879" s="1">
        <v>7.8</v>
      </c>
      <c r="K879" s="1">
        <v>333.8</v>
      </c>
      <c r="L879" s="1" t="s">
        <v>171</v>
      </c>
      <c r="M879" s="1" t="s">
        <v>106</v>
      </c>
      <c r="N879" s="1" t="s">
        <v>119</v>
      </c>
      <c r="O879" s="1">
        <v>1</v>
      </c>
      <c r="P879" s="1">
        <v>27</v>
      </c>
      <c r="Q879" s="1">
        <v>143.69999999999999</v>
      </c>
      <c r="R879" s="8" t="str">
        <f>_xlfn.IFS(J879&gt;=8,"Hit",J879&gt;=6,"Average",J879&lt;6,"Flop")</f>
        <v>Average</v>
      </c>
      <c r="S879" s="9" t="str">
        <f>_xlfn.IFS(K879&gt;=400,"Blockbuster",K879&gt;=200,"Popular",K879&lt;200,"Normal")</f>
        <v>Popular</v>
      </c>
      <c r="T879" s="10" t="str">
        <f>IF(OR(I879="PG",I879="G"),"Yes","No")</f>
        <v>No</v>
      </c>
      <c r="U879" s="11" t="str">
        <f>IF(P879&gt;=100,"High","Low")</f>
        <v>Low</v>
      </c>
      <c r="V879" s="28">
        <f t="shared" si="26"/>
        <v>116.69999999999999</v>
      </c>
      <c r="W879" s="29">
        <f t="shared" si="27"/>
        <v>532.22222222222217</v>
      </c>
    </row>
    <row r="880" spans="1:23" x14ac:dyDescent="0.3">
      <c r="A880" s="1" t="s">
        <v>2577</v>
      </c>
      <c r="B880" s="1" t="s">
        <v>2578</v>
      </c>
      <c r="C880" s="1" t="s">
        <v>18</v>
      </c>
      <c r="D880" s="1" t="s">
        <v>94</v>
      </c>
      <c r="E880" s="1">
        <v>2014</v>
      </c>
      <c r="F880" s="1" t="s">
        <v>181</v>
      </c>
      <c r="G880" s="1" t="s">
        <v>2579</v>
      </c>
      <c r="H880" s="1">
        <v>175</v>
      </c>
      <c r="I880" s="1" t="s">
        <v>40</v>
      </c>
      <c r="J880" s="1">
        <v>8.4</v>
      </c>
      <c r="K880" s="1">
        <v>253.3</v>
      </c>
      <c r="L880" s="1" t="s">
        <v>32</v>
      </c>
      <c r="M880" s="1" t="s">
        <v>97</v>
      </c>
      <c r="N880" s="1" t="s">
        <v>158</v>
      </c>
      <c r="O880" s="1"/>
      <c r="P880" s="1">
        <v>51</v>
      </c>
      <c r="Q880" s="1">
        <v>307.89999999999998</v>
      </c>
      <c r="R880" s="8" t="str">
        <f>_xlfn.IFS(J880&gt;=8,"Hit",J880&gt;=6,"Average",J880&lt;6,"Flop")</f>
        <v>Hit</v>
      </c>
      <c r="S880" s="9" t="str">
        <f>_xlfn.IFS(K880&gt;=400,"Blockbuster",K880&gt;=200,"Popular",K880&lt;200,"Normal")</f>
        <v>Popular</v>
      </c>
      <c r="T880" s="10" t="str">
        <f>IF(OR(I880="PG",I880="G"),"Yes","No")</f>
        <v>Yes</v>
      </c>
      <c r="U880" s="11" t="str">
        <f>IF(P880&gt;=100,"High","Low")</f>
        <v>Low</v>
      </c>
      <c r="V880" s="28">
        <f t="shared" si="26"/>
        <v>256.89999999999998</v>
      </c>
      <c r="W880" s="29">
        <f t="shared" si="27"/>
        <v>603.72549019607845</v>
      </c>
    </row>
    <row r="881" spans="1:23" x14ac:dyDescent="0.3">
      <c r="A881" s="1" t="s">
        <v>2580</v>
      </c>
      <c r="B881" s="1" t="s">
        <v>2581</v>
      </c>
      <c r="C881" s="1" t="s">
        <v>18</v>
      </c>
      <c r="D881" s="1" t="s">
        <v>47</v>
      </c>
      <c r="E881" s="1">
        <v>2018</v>
      </c>
      <c r="F881" s="1" t="s">
        <v>48</v>
      </c>
      <c r="G881" s="1" t="s">
        <v>2582</v>
      </c>
      <c r="H881" s="1">
        <v>132</v>
      </c>
      <c r="I881" s="1" t="s">
        <v>110</v>
      </c>
      <c r="J881" s="1">
        <v>8.1</v>
      </c>
      <c r="K881" s="1">
        <v>197.1</v>
      </c>
      <c r="L881" s="1" t="s">
        <v>41</v>
      </c>
      <c r="M881" s="1" t="s">
        <v>97</v>
      </c>
      <c r="N881" s="1" t="s">
        <v>67</v>
      </c>
      <c r="O881" s="1"/>
      <c r="P881" s="1">
        <v>56</v>
      </c>
      <c r="Q881" s="1">
        <v>232.8</v>
      </c>
      <c r="R881" s="8" t="str">
        <f>_xlfn.IFS(J881&gt;=8,"Hit",J881&gt;=6,"Average",J881&lt;6,"Flop")</f>
        <v>Hit</v>
      </c>
      <c r="S881" s="9" t="str">
        <f>_xlfn.IFS(K881&gt;=400,"Blockbuster",K881&gt;=200,"Popular",K881&lt;200,"Normal")</f>
        <v>Normal</v>
      </c>
      <c r="T881" s="10" t="str">
        <f>IF(OR(I881="PG",I881="G"),"Yes","No")</f>
        <v>No</v>
      </c>
      <c r="U881" s="11" t="str">
        <f>IF(P881&gt;=100,"High","Low")</f>
        <v>Low</v>
      </c>
      <c r="V881" s="28">
        <f t="shared" si="26"/>
        <v>176.8</v>
      </c>
      <c r="W881" s="29">
        <f t="shared" si="27"/>
        <v>415.71428571428572</v>
      </c>
    </row>
    <row r="882" spans="1:23" x14ac:dyDescent="0.3">
      <c r="A882" s="1" t="s">
        <v>2583</v>
      </c>
      <c r="B882" s="1" t="s">
        <v>2584</v>
      </c>
      <c r="C882" s="1" t="s">
        <v>46</v>
      </c>
      <c r="D882" s="1" t="s">
        <v>19</v>
      </c>
      <c r="E882" s="1">
        <v>2013</v>
      </c>
      <c r="F882" s="1" t="s">
        <v>48</v>
      </c>
      <c r="G882" s="1" t="s">
        <v>1518</v>
      </c>
      <c r="H882" s="1">
        <v>53</v>
      </c>
      <c r="I882" s="1" t="s">
        <v>110</v>
      </c>
      <c r="J882" s="1">
        <v>6.8</v>
      </c>
      <c r="K882" s="1">
        <v>201.6</v>
      </c>
      <c r="L882" s="1" t="s">
        <v>65</v>
      </c>
      <c r="M882" s="1" t="s">
        <v>66</v>
      </c>
      <c r="N882" s="1" t="s">
        <v>55</v>
      </c>
      <c r="O882" s="1">
        <v>2</v>
      </c>
      <c r="P882" s="1">
        <v>88</v>
      </c>
      <c r="Q882" s="1">
        <v>542.5</v>
      </c>
      <c r="R882" s="8" t="str">
        <f>_xlfn.IFS(J882&gt;=8,"Hit",J882&gt;=6,"Average",J882&lt;6,"Flop")</f>
        <v>Average</v>
      </c>
      <c r="S882" s="9" t="str">
        <f>_xlfn.IFS(K882&gt;=400,"Blockbuster",K882&gt;=200,"Popular",K882&lt;200,"Normal")</f>
        <v>Popular</v>
      </c>
      <c r="T882" s="10" t="str">
        <f>IF(OR(I882="PG",I882="G"),"Yes","No")</f>
        <v>No</v>
      </c>
      <c r="U882" s="11" t="str">
        <f>IF(P882&gt;=100,"High","Low")</f>
        <v>Low</v>
      </c>
      <c r="V882" s="28">
        <f t="shared" si="26"/>
        <v>454.5</v>
      </c>
      <c r="W882" s="29">
        <f t="shared" si="27"/>
        <v>616.47727272727275</v>
      </c>
    </row>
    <row r="883" spans="1:23" x14ac:dyDescent="0.3">
      <c r="A883" s="1" t="s">
        <v>2585</v>
      </c>
      <c r="B883" s="1" t="s">
        <v>2586</v>
      </c>
      <c r="C883" s="1" t="s">
        <v>46</v>
      </c>
      <c r="D883" s="1" t="s">
        <v>47</v>
      </c>
      <c r="E883" s="1">
        <v>2012</v>
      </c>
      <c r="F883" s="1" t="s">
        <v>83</v>
      </c>
      <c r="G883" s="1" t="s">
        <v>64</v>
      </c>
      <c r="H883" s="1">
        <v>57</v>
      </c>
      <c r="I883" s="1" t="s">
        <v>50</v>
      </c>
      <c r="J883" s="1">
        <v>8.1999999999999993</v>
      </c>
      <c r="K883" s="1">
        <v>557.4</v>
      </c>
      <c r="L883" s="1" t="s">
        <v>65</v>
      </c>
      <c r="M883" s="1" t="s">
        <v>72</v>
      </c>
      <c r="N883" s="1" t="s">
        <v>119</v>
      </c>
      <c r="O883" s="1">
        <v>3</v>
      </c>
      <c r="P883" s="1">
        <v>116</v>
      </c>
      <c r="Q883" s="1">
        <v>411.4</v>
      </c>
      <c r="R883" s="8" t="str">
        <f>_xlfn.IFS(J883&gt;=8,"Hit",J883&gt;=6,"Average",J883&lt;6,"Flop")</f>
        <v>Hit</v>
      </c>
      <c r="S883" s="9" t="str">
        <f>_xlfn.IFS(K883&gt;=400,"Blockbuster",K883&gt;=200,"Popular",K883&lt;200,"Normal")</f>
        <v>Blockbuster</v>
      </c>
      <c r="T883" s="10" t="str">
        <f>IF(OR(I883="PG",I883="G"),"Yes","No")</f>
        <v>Yes</v>
      </c>
      <c r="U883" s="11" t="str">
        <f>IF(P883&gt;=100,"High","Low")</f>
        <v>High</v>
      </c>
      <c r="V883" s="28">
        <f t="shared" si="26"/>
        <v>295.39999999999998</v>
      </c>
      <c r="W883" s="29">
        <f t="shared" si="27"/>
        <v>354.65517241379308</v>
      </c>
    </row>
    <row r="884" spans="1:23" x14ac:dyDescent="0.3">
      <c r="A884" s="1" t="s">
        <v>2587</v>
      </c>
      <c r="B884" s="1" t="s">
        <v>2588</v>
      </c>
      <c r="C884" s="1" t="s">
        <v>46</v>
      </c>
      <c r="D884" s="1" t="s">
        <v>117</v>
      </c>
      <c r="E884" s="1">
        <v>2005</v>
      </c>
      <c r="F884" s="1" t="s">
        <v>29</v>
      </c>
      <c r="G884" s="1" t="s">
        <v>2589</v>
      </c>
      <c r="H884" s="1">
        <v>42</v>
      </c>
      <c r="I884" s="1" t="s">
        <v>110</v>
      </c>
      <c r="J884" s="1">
        <v>6.4</v>
      </c>
      <c r="K884" s="1">
        <v>289.2</v>
      </c>
      <c r="L884" s="1" t="s">
        <v>41</v>
      </c>
      <c r="M884" s="1" t="s">
        <v>106</v>
      </c>
      <c r="N884" s="1" t="s">
        <v>60</v>
      </c>
      <c r="O884" s="1">
        <v>7</v>
      </c>
      <c r="P884" s="1">
        <v>13</v>
      </c>
      <c r="Q884" s="1">
        <v>48.4</v>
      </c>
      <c r="R884" s="8" t="str">
        <f>_xlfn.IFS(J884&gt;=8,"Hit",J884&gt;=6,"Average",J884&lt;6,"Flop")</f>
        <v>Average</v>
      </c>
      <c r="S884" s="9" t="str">
        <f>_xlfn.IFS(K884&gt;=400,"Blockbuster",K884&gt;=200,"Popular",K884&lt;200,"Normal")</f>
        <v>Popular</v>
      </c>
      <c r="T884" s="10" t="str">
        <f>IF(OR(I884="PG",I884="G"),"Yes","No")</f>
        <v>No</v>
      </c>
      <c r="U884" s="11" t="str">
        <f>IF(P884&gt;=100,"High","Low")</f>
        <v>Low</v>
      </c>
      <c r="V884" s="28">
        <f t="shared" si="26"/>
        <v>35.4</v>
      </c>
      <c r="W884" s="29">
        <f t="shared" si="27"/>
        <v>372.30769230769232</v>
      </c>
    </row>
    <row r="885" spans="1:23" x14ac:dyDescent="0.3">
      <c r="A885" s="1" t="s">
        <v>2590</v>
      </c>
      <c r="B885" s="1" t="s">
        <v>2591</v>
      </c>
      <c r="C885" s="1" t="s">
        <v>18</v>
      </c>
      <c r="D885" s="1" t="s">
        <v>58</v>
      </c>
      <c r="E885" s="1">
        <v>2017</v>
      </c>
      <c r="F885" s="1" t="s">
        <v>122</v>
      </c>
      <c r="G885" s="1" t="s">
        <v>2592</v>
      </c>
      <c r="H885" s="1">
        <v>168</v>
      </c>
      <c r="I885" s="1" t="s">
        <v>22</v>
      </c>
      <c r="J885" s="1">
        <v>8.1</v>
      </c>
      <c r="K885" s="1">
        <v>147.4</v>
      </c>
      <c r="L885" s="1" t="s">
        <v>71</v>
      </c>
      <c r="M885" s="1" t="s">
        <v>157</v>
      </c>
      <c r="N885" s="1" t="s">
        <v>91</v>
      </c>
      <c r="O885" s="1"/>
      <c r="P885" s="1">
        <v>79</v>
      </c>
      <c r="Q885" s="1">
        <v>504.7</v>
      </c>
      <c r="R885" s="8" t="str">
        <f>_xlfn.IFS(J885&gt;=8,"Hit",J885&gt;=6,"Average",J885&lt;6,"Flop")</f>
        <v>Hit</v>
      </c>
      <c r="S885" s="9" t="str">
        <f>_xlfn.IFS(K885&gt;=400,"Blockbuster",K885&gt;=200,"Popular",K885&lt;200,"Normal")</f>
        <v>Normal</v>
      </c>
      <c r="T885" s="10" t="str">
        <f>IF(OR(I885="PG",I885="G"),"Yes","No")</f>
        <v>No</v>
      </c>
      <c r="U885" s="11" t="str">
        <f>IF(P885&gt;=100,"High","Low")</f>
        <v>Low</v>
      </c>
      <c r="V885" s="28">
        <f t="shared" si="26"/>
        <v>425.7</v>
      </c>
      <c r="W885" s="29">
        <f t="shared" si="27"/>
        <v>638.86075949367091</v>
      </c>
    </row>
    <row r="886" spans="1:23" x14ac:dyDescent="0.3">
      <c r="A886" s="1" t="s">
        <v>2593</v>
      </c>
      <c r="B886" s="1" t="s">
        <v>2594</v>
      </c>
      <c r="C886" s="1" t="s">
        <v>18</v>
      </c>
      <c r="D886" s="1" t="s">
        <v>94</v>
      </c>
      <c r="E886" s="1">
        <v>2004</v>
      </c>
      <c r="F886" s="1" t="s">
        <v>95</v>
      </c>
      <c r="G886" s="1" t="s">
        <v>997</v>
      </c>
      <c r="H886" s="1">
        <v>175</v>
      </c>
      <c r="I886" s="1" t="s">
        <v>31</v>
      </c>
      <c r="J886" s="1">
        <v>8.3000000000000007</v>
      </c>
      <c r="K886" s="1">
        <v>200.8</v>
      </c>
      <c r="L886" s="1" t="s">
        <v>23</v>
      </c>
      <c r="M886" s="1" t="s">
        <v>97</v>
      </c>
      <c r="N886" s="1" t="s">
        <v>67</v>
      </c>
      <c r="O886" s="1"/>
      <c r="P886" s="1">
        <v>188</v>
      </c>
      <c r="Q886" s="1">
        <v>709.7</v>
      </c>
      <c r="R886" s="8" t="str">
        <f>_xlfn.IFS(J886&gt;=8,"Hit",J886&gt;=6,"Average",J886&lt;6,"Flop")</f>
        <v>Hit</v>
      </c>
      <c r="S886" s="9" t="str">
        <f>_xlfn.IFS(K886&gt;=400,"Blockbuster",K886&gt;=200,"Popular",K886&lt;200,"Normal")</f>
        <v>Popular</v>
      </c>
      <c r="T886" s="10" t="str">
        <f>IF(OR(I886="PG",I886="G"),"Yes","No")</f>
        <v>No</v>
      </c>
      <c r="U886" s="11" t="str">
        <f>IF(P886&gt;=100,"High","Low")</f>
        <v>High</v>
      </c>
      <c r="V886" s="28">
        <f t="shared" si="26"/>
        <v>521.70000000000005</v>
      </c>
      <c r="W886" s="29">
        <f t="shared" si="27"/>
        <v>377.50000000000006</v>
      </c>
    </row>
    <row r="887" spans="1:23" x14ac:dyDescent="0.3">
      <c r="A887" s="1" t="s">
        <v>2595</v>
      </c>
      <c r="B887" s="1" t="s">
        <v>2596</v>
      </c>
      <c r="C887" s="1" t="s">
        <v>46</v>
      </c>
      <c r="D887" s="1" t="s">
        <v>37</v>
      </c>
      <c r="E887" s="1">
        <v>2022</v>
      </c>
      <c r="F887" s="1" t="s">
        <v>29</v>
      </c>
      <c r="G887" s="1" t="s">
        <v>2597</v>
      </c>
      <c r="H887" s="1">
        <v>38</v>
      </c>
      <c r="I887" s="1" t="s">
        <v>40</v>
      </c>
      <c r="J887" s="1">
        <v>4.7</v>
      </c>
      <c r="K887" s="1">
        <v>10</v>
      </c>
      <c r="L887" s="1" t="s">
        <v>23</v>
      </c>
      <c r="M887" s="1" t="s">
        <v>66</v>
      </c>
      <c r="N887" s="1" t="s">
        <v>55</v>
      </c>
      <c r="O887" s="1">
        <v>1</v>
      </c>
      <c r="P887" s="1">
        <v>10</v>
      </c>
      <c r="Q887" s="1">
        <v>51.5</v>
      </c>
      <c r="R887" s="8" t="str">
        <f>_xlfn.IFS(J887&gt;=8,"Hit",J887&gt;=6,"Average",J887&lt;6,"Flop")</f>
        <v>Flop</v>
      </c>
      <c r="S887" s="9" t="str">
        <f>_xlfn.IFS(K887&gt;=400,"Blockbuster",K887&gt;=200,"Popular",K887&lt;200,"Normal")</f>
        <v>Normal</v>
      </c>
      <c r="T887" s="10" t="str">
        <f>IF(OR(I887="PG",I887="G"),"Yes","No")</f>
        <v>Yes</v>
      </c>
      <c r="U887" s="11" t="str">
        <f>IF(P887&gt;=100,"High","Low")</f>
        <v>Low</v>
      </c>
      <c r="V887" s="28">
        <f t="shared" si="26"/>
        <v>41.5</v>
      </c>
      <c r="W887" s="29">
        <f t="shared" si="27"/>
        <v>515</v>
      </c>
    </row>
    <row r="888" spans="1:23" x14ac:dyDescent="0.3">
      <c r="A888" s="1" t="s">
        <v>2598</v>
      </c>
      <c r="B888" s="1" t="s">
        <v>2599</v>
      </c>
      <c r="C888" s="1" t="s">
        <v>18</v>
      </c>
      <c r="D888" s="1" t="s">
        <v>117</v>
      </c>
      <c r="E888" s="1">
        <v>2004</v>
      </c>
      <c r="F888" s="1" t="s">
        <v>95</v>
      </c>
      <c r="G888" s="1" t="s">
        <v>2600</v>
      </c>
      <c r="H888" s="1">
        <v>140</v>
      </c>
      <c r="I888" s="1" t="s">
        <v>50</v>
      </c>
      <c r="J888" s="1">
        <v>5.5</v>
      </c>
      <c r="K888" s="1">
        <v>321.3</v>
      </c>
      <c r="L888" s="1" t="s">
        <v>90</v>
      </c>
      <c r="M888" s="1" t="s">
        <v>111</v>
      </c>
      <c r="N888" s="1" t="s">
        <v>102</v>
      </c>
      <c r="O888" s="1"/>
      <c r="P888" s="1">
        <v>100</v>
      </c>
      <c r="Q888" s="1">
        <v>418.4</v>
      </c>
      <c r="R888" s="8" t="str">
        <f>_xlfn.IFS(J888&gt;=8,"Hit",J888&gt;=6,"Average",J888&lt;6,"Flop")</f>
        <v>Flop</v>
      </c>
      <c r="S888" s="9" t="str">
        <f>_xlfn.IFS(K888&gt;=400,"Blockbuster",K888&gt;=200,"Popular",K888&lt;200,"Normal")</f>
        <v>Popular</v>
      </c>
      <c r="T888" s="10" t="str">
        <f>IF(OR(I888="PG",I888="G"),"Yes","No")</f>
        <v>Yes</v>
      </c>
      <c r="U888" s="11" t="str">
        <f>IF(P888&gt;=100,"High","Low")</f>
        <v>High</v>
      </c>
      <c r="V888" s="28">
        <f t="shared" si="26"/>
        <v>318.39999999999998</v>
      </c>
      <c r="W888" s="29">
        <f t="shared" si="27"/>
        <v>418.40000000000003</v>
      </c>
    </row>
    <row r="889" spans="1:23" x14ac:dyDescent="0.3">
      <c r="A889" s="1" t="s">
        <v>2601</v>
      </c>
      <c r="B889" s="1" t="s">
        <v>2602</v>
      </c>
      <c r="C889" s="1" t="s">
        <v>18</v>
      </c>
      <c r="D889" s="1" t="s">
        <v>94</v>
      </c>
      <c r="E889" s="1">
        <v>2009</v>
      </c>
      <c r="F889" s="1" t="s">
        <v>20</v>
      </c>
      <c r="G889" s="1" t="s">
        <v>2603</v>
      </c>
      <c r="H889" s="1">
        <v>93</v>
      </c>
      <c r="I889" s="1" t="s">
        <v>22</v>
      </c>
      <c r="J889" s="1">
        <v>6.6</v>
      </c>
      <c r="K889" s="1">
        <v>557.70000000000005</v>
      </c>
      <c r="L889" s="1" t="s">
        <v>65</v>
      </c>
      <c r="M889" s="1" t="s">
        <v>66</v>
      </c>
      <c r="N889" s="1" t="s">
        <v>158</v>
      </c>
      <c r="O889" s="1"/>
      <c r="P889" s="1">
        <v>114</v>
      </c>
      <c r="Q889" s="1">
        <v>645.29999999999995</v>
      </c>
      <c r="R889" s="8" t="str">
        <f>_xlfn.IFS(J889&gt;=8,"Hit",J889&gt;=6,"Average",J889&lt;6,"Flop")</f>
        <v>Average</v>
      </c>
      <c r="S889" s="9" t="str">
        <f>_xlfn.IFS(K889&gt;=400,"Blockbuster",K889&gt;=200,"Popular",K889&lt;200,"Normal")</f>
        <v>Blockbuster</v>
      </c>
      <c r="T889" s="10" t="str">
        <f>IF(OR(I889="PG",I889="G"),"Yes","No")</f>
        <v>No</v>
      </c>
      <c r="U889" s="11" t="str">
        <f>IF(P889&gt;=100,"High","Low")</f>
        <v>High</v>
      </c>
      <c r="V889" s="28">
        <f t="shared" si="26"/>
        <v>531.29999999999995</v>
      </c>
      <c r="W889" s="29">
        <f t="shared" si="27"/>
        <v>566.0526315789474</v>
      </c>
    </row>
    <row r="890" spans="1:23" x14ac:dyDescent="0.3">
      <c r="A890" s="1" t="s">
        <v>2604</v>
      </c>
      <c r="B890" s="1" t="s">
        <v>2605</v>
      </c>
      <c r="C890" s="1" t="s">
        <v>46</v>
      </c>
      <c r="D890" s="1" t="s">
        <v>58</v>
      </c>
      <c r="E890" s="1">
        <v>2012</v>
      </c>
      <c r="F890" s="1" t="s">
        <v>100</v>
      </c>
      <c r="G890" s="1" t="s">
        <v>2606</v>
      </c>
      <c r="H890" s="1">
        <v>36</v>
      </c>
      <c r="I890" s="1" t="s">
        <v>40</v>
      </c>
      <c r="J890" s="1">
        <v>7.4</v>
      </c>
      <c r="K890" s="1">
        <v>179.2</v>
      </c>
      <c r="L890" s="1" t="s">
        <v>71</v>
      </c>
      <c r="M890" s="1" t="s">
        <v>78</v>
      </c>
      <c r="N890" s="1" t="s">
        <v>178</v>
      </c>
      <c r="O890" s="1">
        <v>1</v>
      </c>
      <c r="P890" s="1">
        <v>101</v>
      </c>
      <c r="Q890" s="1">
        <v>435.5</v>
      </c>
      <c r="R890" s="8" t="str">
        <f>_xlfn.IFS(J890&gt;=8,"Hit",J890&gt;=6,"Average",J890&lt;6,"Flop")</f>
        <v>Average</v>
      </c>
      <c r="S890" s="9" t="str">
        <f>_xlfn.IFS(K890&gt;=400,"Blockbuster",K890&gt;=200,"Popular",K890&lt;200,"Normal")</f>
        <v>Normal</v>
      </c>
      <c r="T890" s="10" t="str">
        <f>IF(OR(I890="PG",I890="G"),"Yes","No")</f>
        <v>Yes</v>
      </c>
      <c r="U890" s="11" t="str">
        <f>IF(P890&gt;=100,"High","Low")</f>
        <v>High</v>
      </c>
      <c r="V890" s="28">
        <f t="shared" si="26"/>
        <v>334.5</v>
      </c>
      <c r="W890" s="29">
        <f t="shared" si="27"/>
        <v>431.18811881188117</v>
      </c>
    </row>
    <row r="891" spans="1:23" x14ac:dyDescent="0.3">
      <c r="A891" s="1" t="s">
        <v>2607</v>
      </c>
      <c r="B891" s="1" t="s">
        <v>2608</v>
      </c>
      <c r="C891" s="1" t="s">
        <v>46</v>
      </c>
      <c r="D891" s="1" t="s">
        <v>28</v>
      </c>
      <c r="E891" s="1">
        <v>2015</v>
      </c>
      <c r="F891" s="1" t="s">
        <v>100</v>
      </c>
      <c r="G891" s="1" t="s">
        <v>2609</v>
      </c>
      <c r="H891" s="1">
        <v>40</v>
      </c>
      <c r="I891" s="1" t="s">
        <v>40</v>
      </c>
      <c r="J891" s="1">
        <v>6.4</v>
      </c>
      <c r="K891" s="1">
        <v>151.6</v>
      </c>
      <c r="L891" s="1" t="s">
        <v>171</v>
      </c>
      <c r="M891" s="1" t="s">
        <v>106</v>
      </c>
      <c r="N891" s="1" t="s">
        <v>102</v>
      </c>
      <c r="O891" s="1">
        <v>8</v>
      </c>
      <c r="P891" s="1">
        <v>31</v>
      </c>
      <c r="Q891" s="1">
        <v>78.8</v>
      </c>
      <c r="R891" s="8" t="str">
        <f>_xlfn.IFS(J891&gt;=8,"Hit",J891&gt;=6,"Average",J891&lt;6,"Flop")</f>
        <v>Average</v>
      </c>
      <c r="S891" s="9" t="str">
        <f>_xlfn.IFS(K891&gt;=400,"Blockbuster",K891&gt;=200,"Popular",K891&lt;200,"Normal")</f>
        <v>Normal</v>
      </c>
      <c r="T891" s="10" t="str">
        <f>IF(OR(I891="PG",I891="G"),"Yes","No")</f>
        <v>Yes</v>
      </c>
      <c r="U891" s="11" t="str">
        <f>IF(P891&gt;=100,"High","Low")</f>
        <v>Low</v>
      </c>
      <c r="V891" s="28">
        <f t="shared" si="26"/>
        <v>47.8</v>
      </c>
      <c r="W891" s="29">
        <f t="shared" si="27"/>
        <v>254.19354838709677</v>
      </c>
    </row>
    <row r="892" spans="1:23" x14ac:dyDescent="0.3">
      <c r="A892" s="1" t="s">
        <v>2610</v>
      </c>
      <c r="B892" s="1" t="s">
        <v>2611</v>
      </c>
      <c r="C892" s="1" t="s">
        <v>18</v>
      </c>
      <c r="D892" s="1" t="s">
        <v>63</v>
      </c>
      <c r="E892" s="1">
        <v>2018</v>
      </c>
      <c r="F892" s="1" t="s">
        <v>95</v>
      </c>
      <c r="G892" s="1" t="s">
        <v>2612</v>
      </c>
      <c r="H892" s="1">
        <v>160</v>
      </c>
      <c r="I892" s="1" t="s">
        <v>50</v>
      </c>
      <c r="J892" s="1">
        <v>8.3000000000000007</v>
      </c>
      <c r="K892" s="1">
        <v>195.1</v>
      </c>
      <c r="L892" s="1" t="s">
        <v>90</v>
      </c>
      <c r="M892" s="1" t="s">
        <v>157</v>
      </c>
      <c r="N892" s="1" t="s">
        <v>43</v>
      </c>
      <c r="O892" s="1"/>
      <c r="P892" s="1">
        <v>55</v>
      </c>
      <c r="Q892" s="1">
        <v>287.2</v>
      </c>
      <c r="R892" s="8" t="str">
        <f>_xlfn.IFS(J892&gt;=8,"Hit",J892&gt;=6,"Average",J892&lt;6,"Flop")</f>
        <v>Hit</v>
      </c>
      <c r="S892" s="9" t="str">
        <f>_xlfn.IFS(K892&gt;=400,"Blockbuster",K892&gt;=200,"Popular",K892&lt;200,"Normal")</f>
        <v>Normal</v>
      </c>
      <c r="T892" s="10" t="str">
        <f>IF(OR(I892="PG",I892="G"),"Yes","No")</f>
        <v>Yes</v>
      </c>
      <c r="U892" s="11" t="str">
        <f>IF(P892&gt;=100,"High","Low")</f>
        <v>Low</v>
      </c>
      <c r="V892" s="28">
        <f t="shared" si="26"/>
        <v>232.2</v>
      </c>
      <c r="W892" s="29">
        <f t="shared" si="27"/>
        <v>522.18181818181813</v>
      </c>
    </row>
    <row r="893" spans="1:23" x14ac:dyDescent="0.3">
      <c r="A893" s="1" t="s">
        <v>2613</v>
      </c>
      <c r="B893" s="1" t="s">
        <v>2614</v>
      </c>
      <c r="C893" s="1" t="s">
        <v>46</v>
      </c>
      <c r="D893" s="1" t="s">
        <v>28</v>
      </c>
      <c r="E893" s="1">
        <v>2011</v>
      </c>
      <c r="F893" s="1" t="s">
        <v>76</v>
      </c>
      <c r="G893" s="1" t="s">
        <v>2615</v>
      </c>
      <c r="H893" s="1">
        <v>55</v>
      </c>
      <c r="I893" s="1" t="s">
        <v>22</v>
      </c>
      <c r="J893" s="1">
        <v>9.5</v>
      </c>
      <c r="K893" s="1">
        <v>271.89999999999998</v>
      </c>
      <c r="L893" s="1" t="s">
        <v>171</v>
      </c>
      <c r="M893" s="1" t="s">
        <v>66</v>
      </c>
      <c r="N893" s="1" t="s">
        <v>128</v>
      </c>
      <c r="O893" s="1">
        <v>3</v>
      </c>
      <c r="P893" s="1">
        <v>159</v>
      </c>
      <c r="Q893" s="1">
        <v>401.4</v>
      </c>
      <c r="R893" s="8" t="str">
        <f>_xlfn.IFS(J893&gt;=8,"Hit",J893&gt;=6,"Average",J893&lt;6,"Flop")</f>
        <v>Hit</v>
      </c>
      <c r="S893" s="9" t="str">
        <f>_xlfn.IFS(K893&gt;=400,"Blockbuster",K893&gt;=200,"Popular",K893&lt;200,"Normal")</f>
        <v>Popular</v>
      </c>
      <c r="T893" s="10" t="str">
        <f>IF(OR(I893="PG",I893="G"),"Yes","No")</f>
        <v>No</v>
      </c>
      <c r="U893" s="11" t="str">
        <f>IF(P893&gt;=100,"High","Low")</f>
        <v>High</v>
      </c>
      <c r="V893" s="28">
        <f t="shared" si="26"/>
        <v>242.39999999999998</v>
      </c>
      <c r="W893" s="29">
        <f t="shared" si="27"/>
        <v>252.4528301886792</v>
      </c>
    </row>
    <row r="894" spans="1:23" x14ac:dyDescent="0.3">
      <c r="A894" s="1" t="s">
        <v>2616</v>
      </c>
      <c r="B894" s="1" t="s">
        <v>2617</v>
      </c>
      <c r="C894" s="1" t="s">
        <v>46</v>
      </c>
      <c r="D894" s="1" t="s">
        <v>28</v>
      </c>
      <c r="E894" s="1">
        <v>2016</v>
      </c>
      <c r="F894" s="1" t="s">
        <v>38</v>
      </c>
      <c r="G894" s="1" t="s">
        <v>2618</v>
      </c>
      <c r="H894" s="1">
        <v>54</v>
      </c>
      <c r="I894" s="1" t="s">
        <v>110</v>
      </c>
      <c r="J894" s="1">
        <v>5</v>
      </c>
      <c r="K894" s="1">
        <v>56.8</v>
      </c>
      <c r="L894" s="1" t="s">
        <v>171</v>
      </c>
      <c r="M894" s="1" t="s">
        <v>85</v>
      </c>
      <c r="N894" s="1" t="s">
        <v>119</v>
      </c>
      <c r="O894" s="1">
        <v>1</v>
      </c>
      <c r="P894" s="1">
        <v>91</v>
      </c>
      <c r="Q894" s="1">
        <v>581.6</v>
      </c>
      <c r="R894" s="8" t="str">
        <f>_xlfn.IFS(J894&gt;=8,"Hit",J894&gt;=6,"Average",J894&lt;6,"Flop")</f>
        <v>Flop</v>
      </c>
      <c r="S894" s="9" t="str">
        <f>_xlfn.IFS(K894&gt;=400,"Blockbuster",K894&gt;=200,"Popular",K894&lt;200,"Normal")</f>
        <v>Normal</v>
      </c>
      <c r="T894" s="10" t="str">
        <f>IF(OR(I894="PG",I894="G"),"Yes","No")</f>
        <v>No</v>
      </c>
      <c r="U894" s="11" t="str">
        <f>IF(P894&gt;=100,"High","Low")</f>
        <v>Low</v>
      </c>
      <c r="V894" s="28">
        <f t="shared" si="26"/>
        <v>490.6</v>
      </c>
      <c r="W894" s="29">
        <f t="shared" si="27"/>
        <v>639.12087912087918</v>
      </c>
    </row>
    <row r="895" spans="1:23" x14ac:dyDescent="0.3">
      <c r="A895" s="1" t="s">
        <v>2619</v>
      </c>
      <c r="B895" s="1" t="s">
        <v>2620</v>
      </c>
      <c r="C895" s="1" t="s">
        <v>18</v>
      </c>
      <c r="D895" s="1" t="s">
        <v>47</v>
      </c>
      <c r="E895" s="1">
        <v>2017</v>
      </c>
      <c r="F895" s="1" t="s">
        <v>20</v>
      </c>
      <c r="G895" s="1" t="s">
        <v>2464</v>
      </c>
      <c r="H895" s="1">
        <v>144</v>
      </c>
      <c r="I895" s="1" t="s">
        <v>22</v>
      </c>
      <c r="J895" s="1">
        <v>7.9</v>
      </c>
      <c r="K895" s="1">
        <v>501.6</v>
      </c>
      <c r="L895" s="1" t="s">
        <v>32</v>
      </c>
      <c r="M895" s="1" t="s">
        <v>24</v>
      </c>
      <c r="N895" s="1" t="s">
        <v>55</v>
      </c>
      <c r="O895" s="1"/>
      <c r="P895" s="1">
        <v>184</v>
      </c>
      <c r="Q895" s="1">
        <v>331.4</v>
      </c>
      <c r="R895" s="8" t="str">
        <f>_xlfn.IFS(J895&gt;=8,"Hit",J895&gt;=6,"Average",J895&lt;6,"Flop")</f>
        <v>Average</v>
      </c>
      <c r="S895" s="9" t="str">
        <f>_xlfn.IFS(K895&gt;=400,"Blockbuster",K895&gt;=200,"Popular",K895&lt;200,"Normal")</f>
        <v>Blockbuster</v>
      </c>
      <c r="T895" s="10" t="str">
        <f>IF(OR(I895="PG",I895="G"),"Yes","No")</f>
        <v>No</v>
      </c>
      <c r="U895" s="11" t="str">
        <f>IF(P895&gt;=100,"High","Low")</f>
        <v>High</v>
      </c>
      <c r="V895" s="28">
        <f t="shared" si="26"/>
        <v>147.39999999999998</v>
      </c>
      <c r="W895" s="29">
        <f t="shared" si="27"/>
        <v>180.10869565217391</v>
      </c>
    </row>
    <row r="896" spans="1:23" x14ac:dyDescent="0.3">
      <c r="A896" s="1" t="s">
        <v>2621</v>
      </c>
      <c r="B896" s="1" t="s">
        <v>2622</v>
      </c>
      <c r="C896" s="1" t="s">
        <v>18</v>
      </c>
      <c r="D896" s="1" t="s">
        <v>63</v>
      </c>
      <c r="E896" s="1">
        <v>2007</v>
      </c>
      <c r="F896" s="1" t="s">
        <v>20</v>
      </c>
      <c r="G896" s="1" t="s">
        <v>2623</v>
      </c>
      <c r="H896" s="1">
        <v>125</v>
      </c>
      <c r="I896" s="1" t="s">
        <v>110</v>
      </c>
      <c r="J896" s="1">
        <v>6</v>
      </c>
      <c r="K896" s="1">
        <v>51.3</v>
      </c>
      <c r="L896" s="1" t="s">
        <v>171</v>
      </c>
      <c r="M896" s="1" t="s">
        <v>97</v>
      </c>
      <c r="N896" s="1" t="s">
        <v>153</v>
      </c>
      <c r="O896" s="1"/>
      <c r="P896" s="1">
        <v>91</v>
      </c>
      <c r="Q896" s="1">
        <v>299.2</v>
      </c>
      <c r="R896" s="8" t="str">
        <f>_xlfn.IFS(J896&gt;=8,"Hit",J896&gt;=6,"Average",J896&lt;6,"Flop")</f>
        <v>Average</v>
      </c>
      <c r="S896" s="9" t="str">
        <f>_xlfn.IFS(K896&gt;=400,"Blockbuster",K896&gt;=200,"Popular",K896&lt;200,"Normal")</f>
        <v>Normal</v>
      </c>
      <c r="T896" s="10" t="str">
        <f>IF(OR(I896="PG",I896="G"),"Yes","No")</f>
        <v>No</v>
      </c>
      <c r="U896" s="11" t="str">
        <f>IF(P896&gt;=100,"High","Low")</f>
        <v>Low</v>
      </c>
      <c r="V896" s="28">
        <f t="shared" si="26"/>
        <v>208.2</v>
      </c>
      <c r="W896" s="29">
        <f t="shared" si="27"/>
        <v>328.79120879120876</v>
      </c>
    </row>
    <row r="897" spans="1:23" x14ac:dyDescent="0.3">
      <c r="A897" s="1" t="s">
        <v>2624</v>
      </c>
      <c r="B897" s="1" t="s">
        <v>2625</v>
      </c>
      <c r="C897" s="1" t="s">
        <v>18</v>
      </c>
      <c r="D897" s="1" t="s">
        <v>117</v>
      </c>
      <c r="E897" s="1">
        <v>2021</v>
      </c>
      <c r="F897" s="1" t="s">
        <v>38</v>
      </c>
      <c r="G897" s="1" t="s">
        <v>1908</v>
      </c>
      <c r="H897" s="1">
        <v>127</v>
      </c>
      <c r="I897" s="1" t="s">
        <v>40</v>
      </c>
      <c r="J897" s="1">
        <v>5.6</v>
      </c>
      <c r="K897" s="1">
        <v>595.5</v>
      </c>
      <c r="L897" s="1" t="s">
        <v>23</v>
      </c>
      <c r="M897" s="1" t="s">
        <v>33</v>
      </c>
      <c r="N897" s="1" t="s">
        <v>60</v>
      </c>
      <c r="O897" s="1"/>
      <c r="P897" s="1">
        <v>140</v>
      </c>
      <c r="Q897" s="1">
        <v>787.5</v>
      </c>
      <c r="R897" s="8" t="str">
        <f>_xlfn.IFS(J897&gt;=8,"Hit",J897&gt;=6,"Average",J897&lt;6,"Flop")</f>
        <v>Flop</v>
      </c>
      <c r="S897" s="9" t="str">
        <f>_xlfn.IFS(K897&gt;=400,"Blockbuster",K897&gt;=200,"Popular",K897&lt;200,"Normal")</f>
        <v>Blockbuster</v>
      </c>
      <c r="T897" s="10" t="str">
        <f>IF(OR(I897="PG",I897="G"),"Yes","No")</f>
        <v>Yes</v>
      </c>
      <c r="U897" s="11" t="str">
        <f>IF(P897&gt;=100,"High","Low")</f>
        <v>High</v>
      </c>
      <c r="V897" s="28">
        <f t="shared" si="26"/>
        <v>647.5</v>
      </c>
      <c r="W897" s="29">
        <f t="shared" si="27"/>
        <v>562.5</v>
      </c>
    </row>
    <row r="898" spans="1:23" x14ac:dyDescent="0.3">
      <c r="A898" s="1" t="s">
        <v>2626</v>
      </c>
      <c r="B898" s="1" t="s">
        <v>2627</v>
      </c>
      <c r="C898" s="1" t="s">
        <v>46</v>
      </c>
      <c r="D898" s="1" t="s">
        <v>47</v>
      </c>
      <c r="E898" s="1">
        <v>2003</v>
      </c>
      <c r="F898" s="1" t="s">
        <v>100</v>
      </c>
      <c r="G898" s="1" t="s">
        <v>976</v>
      </c>
      <c r="H898" s="1">
        <v>42</v>
      </c>
      <c r="I898" s="1" t="s">
        <v>50</v>
      </c>
      <c r="J898" s="1">
        <v>9.4</v>
      </c>
      <c r="K898" s="1">
        <v>386.5</v>
      </c>
      <c r="L898" s="1" t="s">
        <v>71</v>
      </c>
      <c r="M898" s="1" t="s">
        <v>24</v>
      </c>
      <c r="N898" s="1" t="s">
        <v>91</v>
      </c>
      <c r="O898" s="1">
        <v>1</v>
      </c>
      <c r="P898" s="1">
        <v>45</v>
      </c>
      <c r="Q898" s="1">
        <v>268.89999999999998</v>
      </c>
      <c r="R898" s="8" t="str">
        <f>_xlfn.IFS(J898&gt;=8,"Hit",J898&gt;=6,"Average",J898&lt;6,"Flop")</f>
        <v>Hit</v>
      </c>
      <c r="S898" s="9" t="str">
        <f>_xlfn.IFS(K898&gt;=400,"Blockbuster",K898&gt;=200,"Popular",K898&lt;200,"Normal")</f>
        <v>Popular</v>
      </c>
      <c r="T898" s="10" t="str">
        <f>IF(OR(I898="PG",I898="G"),"Yes","No")</f>
        <v>Yes</v>
      </c>
      <c r="U898" s="11" t="str">
        <f>IF(P898&gt;=100,"High","Low")</f>
        <v>Low</v>
      </c>
      <c r="V898" s="28">
        <f t="shared" si="26"/>
        <v>223.89999999999998</v>
      </c>
      <c r="W898" s="29">
        <f t="shared" si="27"/>
        <v>597.55555555555554</v>
      </c>
    </row>
    <row r="899" spans="1:23" x14ac:dyDescent="0.3">
      <c r="A899" s="1" t="s">
        <v>2628</v>
      </c>
      <c r="B899" s="1" t="s">
        <v>2629</v>
      </c>
      <c r="C899" s="1" t="s">
        <v>46</v>
      </c>
      <c r="D899" s="1" t="s">
        <v>37</v>
      </c>
      <c r="E899" s="1">
        <v>2014</v>
      </c>
      <c r="F899" s="1" t="s">
        <v>122</v>
      </c>
      <c r="G899" s="1" t="s">
        <v>936</v>
      </c>
      <c r="H899" s="1">
        <v>60</v>
      </c>
      <c r="I899" s="1" t="s">
        <v>50</v>
      </c>
      <c r="J899" s="1">
        <v>7.6</v>
      </c>
      <c r="K899" s="1">
        <v>256.5</v>
      </c>
      <c r="L899" s="1" t="s">
        <v>41</v>
      </c>
      <c r="M899" s="1" t="s">
        <v>85</v>
      </c>
      <c r="N899" s="1" t="s">
        <v>25</v>
      </c>
      <c r="O899" s="1">
        <v>2</v>
      </c>
      <c r="P899" s="1">
        <v>176</v>
      </c>
      <c r="Q899" s="1">
        <v>838.2</v>
      </c>
      <c r="R899" s="8" t="str">
        <f>_xlfn.IFS(J899&gt;=8,"Hit",J899&gt;=6,"Average",J899&lt;6,"Flop")</f>
        <v>Average</v>
      </c>
      <c r="S899" s="9" t="str">
        <f>_xlfn.IFS(K899&gt;=400,"Blockbuster",K899&gt;=200,"Popular",K899&lt;200,"Normal")</f>
        <v>Popular</v>
      </c>
      <c r="T899" s="10" t="str">
        <f>IF(OR(I899="PG",I899="G"),"Yes","No")</f>
        <v>Yes</v>
      </c>
      <c r="U899" s="11" t="str">
        <f>IF(P899&gt;=100,"High","Low")</f>
        <v>High</v>
      </c>
      <c r="V899" s="28">
        <f t="shared" ref="V899:V962" si="28">Q899-P899</f>
        <v>662.2</v>
      </c>
      <c r="W899" s="29">
        <f t="shared" ref="W899:W962" si="29">(Q899/P899)*100</f>
        <v>476.25</v>
      </c>
    </row>
    <row r="900" spans="1:23" x14ac:dyDescent="0.3">
      <c r="A900" s="1" t="s">
        <v>2630</v>
      </c>
      <c r="B900" s="1" t="s">
        <v>2631</v>
      </c>
      <c r="C900" s="1" t="s">
        <v>18</v>
      </c>
      <c r="D900" s="1" t="s">
        <v>19</v>
      </c>
      <c r="E900" s="1">
        <v>2004</v>
      </c>
      <c r="F900" s="1" t="s">
        <v>76</v>
      </c>
      <c r="G900" s="1" t="s">
        <v>2632</v>
      </c>
      <c r="H900" s="1">
        <v>144</v>
      </c>
      <c r="I900" s="1" t="s">
        <v>50</v>
      </c>
      <c r="J900" s="1">
        <v>4.7</v>
      </c>
      <c r="K900" s="1">
        <v>216.9</v>
      </c>
      <c r="L900" s="1" t="s">
        <v>41</v>
      </c>
      <c r="M900" s="1" t="s">
        <v>54</v>
      </c>
      <c r="N900" s="1" t="s">
        <v>34</v>
      </c>
      <c r="O900" s="1"/>
      <c r="P900" s="1">
        <v>64</v>
      </c>
      <c r="Q900" s="1">
        <v>100.9</v>
      </c>
      <c r="R900" s="8" t="str">
        <f>_xlfn.IFS(J900&gt;=8,"Hit",J900&gt;=6,"Average",J900&lt;6,"Flop")</f>
        <v>Flop</v>
      </c>
      <c r="S900" s="9" t="str">
        <f>_xlfn.IFS(K900&gt;=400,"Blockbuster",K900&gt;=200,"Popular",K900&lt;200,"Normal")</f>
        <v>Popular</v>
      </c>
      <c r="T900" s="10" t="str">
        <f>IF(OR(I900="PG",I900="G"),"Yes","No")</f>
        <v>Yes</v>
      </c>
      <c r="U900" s="11" t="str">
        <f>IF(P900&gt;=100,"High","Low")</f>
        <v>Low</v>
      </c>
      <c r="V900" s="28">
        <f t="shared" si="28"/>
        <v>36.900000000000006</v>
      </c>
      <c r="W900" s="29">
        <f t="shared" si="29"/>
        <v>157.65625</v>
      </c>
    </row>
    <row r="901" spans="1:23" x14ac:dyDescent="0.3">
      <c r="A901" s="1" t="s">
        <v>2633</v>
      </c>
      <c r="B901" s="1" t="s">
        <v>2634</v>
      </c>
      <c r="C901" s="1" t="s">
        <v>18</v>
      </c>
      <c r="D901" s="1" t="s">
        <v>82</v>
      </c>
      <c r="E901" s="1">
        <v>2000</v>
      </c>
      <c r="F901" s="1" t="s">
        <v>181</v>
      </c>
      <c r="G901" s="1" t="s">
        <v>2635</v>
      </c>
      <c r="H901" s="1">
        <v>148</v>
      </c>
      <c r="I901" s="1" t="s">
        <v>50</v>
      </c>
      <c r="J901" s="1">
        <v>5.4</v>
      </c>
      <c r="K901" s="1">
        <v>81.3</v>
      </c>
      <c r="L901" s="1" t="s">
        <v>32</v>
      </c>
      <c r="M901" s="1" t="s">
        <v>78</v>
      </c>
      <c r="N901" s="1" t="s">
        <v>55</v>
      </c>
      <c r="O901" s="1"/>
      <c r="P901" s="1">
        <v>19</v>
      </c>
      <c r="Q901" s="1">
        <v>52.7</v>
      </c>
      <c r="R901" s="8" t="str">
        <f>_xlfn.IFS(J901&gt;=8,"Hit",J901&gt;=6,"Average",J901&lt;6,"Flop")</f>
        <v>Flop</v>
      </c>
      <c r="S901" s="9" t="str">
        <f>_xlfn.IFS(K901&gt;=400,"Blockbuster",K901&gt;=200,"Popular",K901&lt;200,"Normal")</f>
        <v>Normal</v>
      </c>
      <c r="T901" s="10" t="str">
        <f>IF(OR(I901="PG",I901="G"),"Yes","No")</f>
        <v>Yes</v>
      </c>
      <c r="U901" s="11" t="str">
        <f>IF(P901&gt;=100,"High","Low")</f>
        <v>Low</v>
      </c>
      <c r="V901" s="28">
        <f t="shared" si="28"/>
        <v>33.700000000000003</v>
      </c>
      <c r="W901" s="29">
        <f t="shared" si="29"/>
        <v>277.36842105263156</v>
      </c>
    </row>
    <row r="902" spans="1:23" x14ac:dyDescent="0.3">
      <c r="A902" s="1" t="s">
        <v>2636</v>
      </c>
      <c r="B902" s="1" t="s">
        <v>2637</v>
      </c>
      <c r="C902" s="1" t="s">
        <v>18</v>
      </c>
      <c r="D902" s="1" t="s">
        <v>28</v>
      </c>
      <c r="E902" s="1">
        <v>2020</v>
      </c>
      <c r="F902" s="1" t="s">
        <v>181</v>
      </c>
      <c r="G902" s="1" t="s">
        <v>2638</v>
      </c>
      <c r="H902" s="1">
        <v>133</v>
      </c>
      <c r="I902" s="1" t="s">
        <v>40</v>
      </c>
      <c r="J902" s="1">
        <v>8.8000000000000007</v>
      </c>
      <c r="K902" s="1">
        <v>338.9</v>
      </c>
      <c r="L902" s="1" t="s">
        <v>90</v>
      </c>
      <c r="M902" s="1" t="s">
        <v>42</v>
      </c>
      <c r="N902" s="1" t="s">
        <v>67</v>
      </c>
      <c r="O902" s="1"/>
      <c r="P902" s="1">
        <v>94</v>
      </c>
      <c r="Q902" s="1">
        <v>471</v>
      </c>
      <c r="R902" s="8" t="str">
        <f>_xlfn.IFS(J902&gt;=8,"Hit",J902&gt;=6,"Average",J902&lt;6,"Flop")</f>
        <v>Hit</v>
      </c>
      <c r="S902" s="9" t="str">
        <f>_xlfn.IFS(K902&gt;=400,"Blockbuster",K902&gt;=200,"Popular",K902&lt;200,"Normal")</f>
        <v>Popular</v>
      </c>
      <c r="T902" s="10" t="str">
        <f>IF(OR(I902="PG",I902="G"),"Yes","No")</f>
        <v>Yes</v>
      </c>
      <c r="U902" s="11" t="str">
        <f>IF(P902&gt;=100,"High","Low")</f>
        <v>Low</v>
      </c>
      <c r="V902" s="28">
        <f t="shared" si="28"/>
        <v>377</v>
      </c>
      <c r="W902" s="29">
        <f t="shared" si="29"/>
        <v>501.063829787234</v>
      </c>
    </row>
    <row r="903" spans="1:23" x14ac:dyDescent="0.3">
      <c r="A903" s="1" t="s">
        <v>2639</v>
      </c>
      <c r="B903" s="1" t="s">
        <v>2640</v>
      </c>
      <c r="C903" s="1" t="s">
        <v>46</v>
      </c>
      <c r="D903" s="1" t="s">
        <v>37</v>
      </c>
      <c r="E903" s="1">
        <v>2021</v>
      </c>
      <c r="F903" s="1" t="s">
        <v>48</v>
      </c>
      <c r="G903" s="1" t="s">
        <v>2641</v>
      </c>
      <c r="H903" s="1">
        <v>35</v>
      </c>
      <c r="I903" s="1" t="s">
        <v>50</v>
      </c>
      <c r="J903" s="1">
        <v>6.8</v>
      </c>
      <c r="K903" s="1">
        <v>474.2</v>
      </c>
      <c r="L903" s="1" t="s">
        <v>171</v>
      </c>
      <c r="M903" s="1" t="s">
        <v>157</v>
      </c>
      <c r="N903" s="1" t="s">
        <v>153</v>
      </c>
      <c r="O903" s="1">
        <v>8</v>
      </c>
      <c r="P903" s="1">
        <v>138</v>
      </c>
      <c r="Q903" s="1">
        <v>344</v>
      </c>
      <c r="R903" s="8" t="str">
        <f>_xlfn.IFS(J903&gt;=8,"Hit",J903&gt;=6,"Average",J903&lt;6,"Flop")</f>
        <v>Average</v>
      </c>
      <c r="S903" s="9" t="str">
        <f>_xlfn.IFS(K903&gt;=400,"Blockbuster",K903&gt;=200,"Popular",K903&lt;200,"Normal")</f>
        <v>Blockbuster</v>
      </c>
      <c r="T903" s="10" t="str">
        <f>IF(OR(I903="PG",I903="G"),"Yes","No")</f>
        <v>Yes</v>
      </c>
      <c r="U903" s="11" t="str">
        <f>IF(P903&gt;=100,"High","Low")</f>
        <v>High</v>
      </c>
      <c r="V903" s="28">
        <f t="shared" si="28"/>
        <v>206</v>
      </c>
      <c r="W903" s="29">
        <f t="shared" si="29"/>
        <v>249.27536231884056</v>
      </c>
    </row>
    <row r="904" spans="1:23" x14ac:dyDescent="0.3">
      <c r="A904" s="1" t="s">
        <v>2642</v>
      </c>
      <c r="B904" s="1" t="s">
        <v>2643</v>
      </c>
      <c r="C904" s="1" t="s">
        <v>46</v>
      </c>
      <c r="D904" s="1" t="s">
        <v>94</v>
      </c>
      <c r="E904" s="1">
        <v>2021</v>
      </c>
      <c r="F904" s="1" t="s">
        <v>122</v>
      </c>
      <c r="G904" s="1" t="s">
        <v>2644</v>
      </c>
      <c r="H904" s="1">
        <v>60</v>
      </c>
      <c r="I904" s="1" t="s">
        <v>40</v>
      </c>
      <c r="J904" s="1">
        <v>8.5</v>
      </c>
      <c r="K904" s="1">
        <v>375.7</v>
      </c>
      <c r="L904" s="1" t="s">
        <v>23</v>
      </c>
      <c r="M904" s="1" t="s">
        <v>72</v>
      </c>
      <c r="N904" s="1" t="s">
        <v>55</v>
      </c>
      <c r="O904" s="1">
        <v>1</v>
      </c>
      <c r="P904" s="1">
        <v>68</v>
      </c>
      <c r="Q904" s="1">
        <v>439.3</v>
      </c>
      <c r="R904" s="8" t="str">
        <f>_xlfn.IFS(J904&gt;=8,"Hit",J904&gt;=6,"Average",J904&lt;6,"Flop")</f>
        <v>Hit</v>
      </c>
      <c r="S904" s="9" t="str">
        <f>_xlfn.IFS(K904&gt;=400,"Blockbuster",K904&gt;=200,"Popular",K904&lt;200,"Normal")</f>
        <v>Popular</v>
      </c>
      <c r="T904" s="10" t="str">
        <f>IF(OR(I904="PG",I904="G"),"Yes","No")</f>
        <v>Yes</v>
      </c>
      <c r="U904" s="11" t="str">
        <f>IF(P904&gt;=100,"High","Low")</f>
        <v>Low</v>
      </c>
      <c r="V904" s="28">
        <f t="shared" si="28"/>
        <v>371.3</v>
      </c>
      <c r="W904" s="29">
        <f t="shared" si="29"/>
        <v>646.02941176470597</v>
      </c>
    </row>
    <row r="905" spans="1:23" x14ac:dyDescent="0.3">
      <c r="A905" s="1" t="s">
        <v>2645</v>
      </c>
      <c r="B905" s="1" t="s">
        <v>2646</v>
      </c>
      <c r="C905" s="1" t="s">
        <v>18</v>
      </c>
      <c r="D905" s="1" t="s">
        <v>82</v>
      </c>
      <c r="E905" s="1">
        <v>2009</v>
      </c>
      <c r="F905" s="1" t="s">
        <v>83</v>
      </c>
      <c r="G905" s="1" t="s">
        <v>2647</v>
      </c>
      <c r="H905" s="1">
        <v>161</v>
      </c>
      <c r="I905" s="1" t="s">
        <v>40</v>
      </c>
      <c r="J905" s="1">
        <v>4.8</v>
      </c>
      <c r="K905" s="1">
        <v>60.7</v>
      </c>
      <c r="L905" s="1" t="s">
        <v>65</v>
      </c>
      <c r="M905" s="1" t="s">
        <v>54</v>
      </c>
      <c r="N905" s="1" t="s">
        <v>79</v>
      </c>
      <c r="O905" s="1"/>
      <c r="P905" s="1">
        <v>50</v>
      </c>
      <c r="Q905" s="1">
        <v>235.6</v>
      </c>
      <c r="R905" s="8" t="str">
        <f>_xlfn.IFS(J905&gt;=8,"Hit",J905&gt;=6,"Average",J905&lt;6,"Flop")</f>
        <v>Flop</v>
      </c>
      <c r="S905" s="9" t="str">
        <f>_xlfn.IFS(K905&gt;=400,"Blockbuster",K905&gt;=200,"Popular",K905&lt;200,"Normal")</f>
        <v>Normal</v>
      </c>
      <c r="T905" s="10" t="str">
        <f>IF(OR(I905="PG",I905="G"),"Yes","No")</f>
        <v>Yes</v>
      </c>
      <c r="U905" s="11" t="str">
        <f>IF(P905&gt;=100,"High","Low")</f>
        <v>Low</v>
      </c>
      <c r="V905" s="28">
        <f t="shared" si="28"/>
        <v>185.6</v>
      </c>
      <c r="W905" s="29">
        <f t="shared" si="29"/>
        <v>471.2</v>
      </c>
    </row>
    <row r="906" spans="1:23" x14ac:dyDescent="0.3">
      <c r="A906" s="1" t="s">
        <v>2648</v>
      </c>
      <c r="B906" s="1" t="s">
        <v>2649</v>
      </c>
      <c r="C906" s="1" t="s">
        <v>18</v>
      </c>
      <c r="D906" s="1" t="s">
        <v>82</v>
      </c>
      <c r="E906" s="1">
        <v>2023</v>
      </c>
      <c r="F906" s="1" t="s">
        <v>76</v>
      </c>
      <c r="G906" s="1" t="s">
        <v>895</v>
      </c>
      <c r="H906" s="1">
        <v>177</v>
      </c>
      <c r="I906" s="1" t="s">
        <v>22</v>
      </c>
      <c r="J906" s="1">
        <v>6.2</v>
      </c>
      <c r="K906" s="1">
        <v>540.1</v>
      </c>
      <c r="L906" s="1" t="s">
        <v>41</v>
      </c>
      <c r="M906" s="1" t="s">
        <v>157</v>
      </c>
      <c r="N906" s="1" t="s">
        <v>102</v>
      </c>
      <c r="O906" s="1"/>
      <c r="P906" s="1">
        <v>117</v>
      </c>
      <c r="Q906" s="1">
        <v>266.5</v>
      </c>
      <c r="R906" s="8" t="str">
        <f>_xlfn.IFS(J906&gt;=8,"Hit",J906&gt;=6,"Average",J906&lt;6,"Flop")</f>
        <v>Average</v>
      </c>
      <c r="S906" s="9" t="str">
        <f>_xlfn.IFS(K906&gt;=400,"Blockbuster",K906&gt;=200,"Popular",K906&lt;200,"Normal")</f>
        <v>Blockbuster</v>
      </c>
      <c r="T906" s="10" t="str">
        <f>IF(OR(I906="PG",I906="G"),"Yes","No")</f>
        <v>No</v>
      </c>
      <c r="U906" s="11" t="str">
        <f>IF(P906&gt;=100,"High","Low")</f>
        <v>High</v>
      </c>
      <c r="V906" s="28">
        <f t="shared" si="28"/>
        <v>149.5</v>
      </c>
      <c r="W906" s="29">
        <f t="shared" si="29"/>
        <v>227.77777777777777</v>
      </c>
    </row>
    <row r="907" spans="1:23" x14ac:dyDescent="0.3">
      <c r="A907" s="1" t="s">
        <v>2650</v>
      </c>
      <c r="B907" s="1" t="s">
        <v>2651</v>
      </c>
      <c r="C907" s="1" t="s">
        <v>18</v>
      </c>
      <c r="D907" s="1" t="s">
        <v>37</v>
      </c>
      <c r="E907" s="1">
        <v>2016</v>
      </c>
      <c r="F907" s="1" t="s">
        <v>48</v>
      </c>
      <c r="G907" s="1" t="s">
        <v>2652</v>
      </c>
      <c r="H907" s="1">
        <v>174</v>
      </c>
      <c r="I907" s="1" t="s">
        <v>110</v>
      </c>
      <c r="J907" s="1">
        <v>6.3</v>
      </c>
      <c r="K907" s="1">
        <v>308.39999999999998</v>
      </c>
      <c r="L907" s="1" t="s">
        <v>171</v>
      </c>
      <c r="M907" s="1" t="s">
        <v>66</v>
      </c>
      <c r="N907" s="1" t="s">
        <v>119</v>
      </c>
      <c r="O907" s="1"/>
      <c r="P907" s="1">
        <v>38</v>
      </c>
      <c r="Q907" s="1">
        <v>172.7</v>
      </c>
      <c r="R907" s="8" t="str">
        <f>_xlfn.IFS(J907&gt;=8,"Hit",J907&gt;=6,"Average",J907&lt;6,"Flop")</f>
        <v>Average</v>
      </c>
      <c r="S907" s="9" t="str">
        <f>_xlfn.IFS(K907&gt;=400,"Blockbuster",K907&gt;=200,"Popular",K907&lt;200,"Normal")</f>
        <v>Popular</v>
      </c>
      <c r="T907" s="10" t="str">
        <f>IF(OR(I907="PG",I907="G"),"Yes","No")</f>
        <v>No</v>
      </c>
      <c r="U907" s="11" t="str">
        <f>IF(P907&gt;=100,"High","Low")</f>
        <v>Low</v>
      </c>
      <c r="V907" s="28">
        <f t="shared" si="28"/>
        <v>134.69999999999999</v>
      </c>
      <c r="W907" s="29">
        <f t="shared" si="29"/>
        <v>454.4736842105263</v>
      </c>
    </row>
    <row r="908" spans="1:23" x14ac:dyDescent="0.3">
      <c r="A908" s="1" t="s">
        <v>2653</v>
      </c>
      <c r="B908" s="1" t="s">
        <v>2654</v>
      </c>
      <c r="C908" s="1" t="s">
        <v>46</v>
      </c>
      <c r="D908" s="1" t="s">
        <v>47</v>
      </c>
      <c r="E908" s="1">
        <v>2014</v>
      </c>
      <c r="F908" s="1" t="s">
        <v>83</v>
      </c>
      <c r="G908" s="1" t="s">
        <v>2655</v>
      </c>
      <c r="H908" s="1">
        <v>37</v>
      </c>
      <c r="I908" s="1" t="s">
        <v>22</v>
      </c>
      <c r="J908" s="1">
        <v>9.4</v>
      </c>
      <c r="K908" s="1">
        <v>42.1</v>
      </c>
      <c r="L908" s="1" t="s">
        <v>32</v>
      </c>
      <c r="M908" s="1" t="s">
        <v>85</v>
      </c>
      <c r="N908" s="1" t="s">
        <v>25</v>
      </c>
      <c r="O908" s="1">
        <v>5</v>
      </c>
      <c r="P908" s="1">
        <v>60</v>
      </c>
      <c r="Q908" s="1">
        <v>278.10000000000002</v>
      </c>
      <c r="R908" s="8" t="str">
        <f>_xlfn.IFS(J908&gt;=8,"Hit",J908&gt;=6,"Average",J908&lt;6,"Flop")</f>
        <v>Hit</v>
      </c>
      <c r="S908" s="9" t="str">
        <f>_xlfn.IFS(K908&gt;=400,"Blockbuster",K908&gt;=200,"Popular",K908&lt;200,"Normal")</f>
        <v>Normal</v>
      </c>
      <c r="T908" s="10" t="str">
        <f>IF(OR(I908="PG",I908="G"),"Yes","No")</f>
        <v>No</v>
      </c>
      <c r="U908" s="11" t="str">
        <f>IF(P908&gt;=100,"High","Low")</f>
        <v>Low</v>
      </c>
      <c r="V908" s="28">
        <f t="shared" si="28"/>
        <v>218.10000000000002</v>
      </c>
      <c r="W908" s="29">
        <f t="shared" si="29"/>
        <v>463.50000000000006</v>
      </c>
    </row>
    <row r="909" spans="1:23" x14ac:dyDescent="0.3">
      <c r="A909" s="1" t="s">
        <v>2656</v>
      </c>
      <c r="B909" s="1" t="s">
        <v>2657</v>
      </c>
      <c r="C909" s="1" t="s">
        <v>18</v>
      </c>
      <c r="D909" s="1" t="s">
        <v>94</v>
      </c>
      <c r="E909" s="1">
        <v>2000</v>
      </c>
      <c r="F909" s="1" t="s">
        <v>122</v>
      </c>
      <c r="G909" s="1" t="s">
        <v>2658</v>
      </c>
      <c r="H909" s="1">
        <v>144</v>
      </c>
      <c r="I909" s="1" t="s">
        <v>22</v>
      </c>
      <c r="J909" s="1">
        <v>8</v>
      </c>
      <c r="K909" s="1">
        <v>502</v>
      </c>
      <c r="L909" s="1" t="s">
        <v>23</v>
      </c>
      <c r="M909" s="1" t="s">
        <v>85</v>
      </c>
      <c r="N909" s="1" t="s">
        <v>158</v>
      </c>
      <c r="O909" s="1"/>
      <c r="P909" s="1">
        <v>118</v>
      </c>
      <c r="Q909" s="1">
        <v>188.7</v>
      </c>
      <c r="R909" s="8" t="str">
        <f>_xlfn.IFS(J909&gt;=8,"Hit",J909&gt;=6,"Average",J909&lt;6,"Flop")</f>
        <v>Hit</v>
      </c>
      <c r="S909" s="9" t="str">
        <f>_xlfn.IFS(K909&gt;=400,"Blockbuster",K909&gt;=200,"Popular",K909&lt;200,"Normal")</f>
        <v>Blockbuster</v>
      </c>
      <c r="T909" s="10" t="str">
        <f>IF(OR(I909="PG",I909="G"),"Yes","No")</f>
        <v>No</v>
      </c>
      <c r="U909" s="11" t="str">
        <f>IF(P909&gt;=100,"High","Low")</f>
        <v>High</v>
      </c>
      <c r="V909" s="28">
        <f t="shared" si="28"/>
        <v>70.699999999999989</v>
      </c>
      <c r="W909" s="29">
        <f t="shared" si="29"/>
        <v>159.91525423728811</v>
      </c>
    </row>
    <row r="910" spans="1:23" x14ac:dyDescent="0.3">
      <c r="A910" s="1" t="s">
        <v>2659</v>
      </c>
      <c r="B910" s="1" t="s">
        <v>2660</v>
      </c>
      <c r="C910" s="1" t="s">
        <v>18</v>
      </c>
      <c r="D910" s="1" t="s">
        <v>117</v>
      </c>
      <c r="E910" s="1">
        <v>2013</v>
      </c>
      <c r="F910" s="1" t="s">
        <v>29</v>
      </c>
      <c r="G910" s="1" t="s">
        <v>2661</v>
      </c>
      <c r="H910" s="1">
        <v>89</v>
      </c>
      <c r="I910" s="1" t="s">
        <v>110</v>
      </c>
      <c r="J910" s="1">
        <v>9</v>
      </c>
      <c r="K910" s="1">
        <v>90.5</v>
      </c>
      <c r="L910" s="1" t="s">
        <v>32</v>
      </c>
      <c r="M910" s="1" t="s">
        <v>146</v>
      </c>
      <c r="N910" s="1" t="s">
        <v>91</v>
      </c>
      <c r="O910" s="1"/>
      <c r="P910" s="1">
        <v>101</v>
      </c>
      <c r="Q910" s="1">
        <v>204.7</v>
      </c>
      <c r="R910" s="8" t="str">
        <f>_xlfn.IFS(J910&gt;=8,"Hit",J910&gt;=6,"Average",J910&lt;6,"Flop")</f>
        <v>Hit</v>
      </c>
      <c r="S910" s="9" t="str">
        <f>_xlfn.IFS(K910&gt;=400,"Blockbuster",K910&gt;=200,"Popular",K910&lt;200,"Normal")</f>
        <v>Normal</v>
      </c>
      <c r="T910" s="10" t="str">
        <f>IF(OR(I910="PG",I910="G"),"Yes","No")</f>
        <v>No</v>
      </c>
      <c r="U910" s="11" t="str">
        <f>IF(P910&gt;=100,"High","Low")</f>
        <v>High</v>
      </c>
      <c r="V910" s="28">
        <f t="shared" si="28"/>
        <v>103.69999999999999</v>
      </c>
      <c r="W910" s="29">
        <f t="shared" si="29"/>
        <v>202.67326732673268</v>
      </c>
    </row>
    <row r="911" spans="1:23" x14ac:dyDescent="0.3">
      <c r="A911" s="1" t="s">
        <v>2662</v>
      </c>
      <c r="B911" s="1" t="s">
        <v>2663</v>
      </c>
      <c r="C911" s="1" t="s">
        <v>18</v>
      </c>
      <c r="D911" s="1" t="s">
        <v>19</v>
      </c>
      <c r="E911" s="1">
        <v>2013</v>
      </c>
      <c r="F911" s="1" t="s">
        <v>20</v>
      </c>
      <c r="G911" s="1" t="s">
        <v>2664</v>
      </c>
      <c r="H911" s="1">
        <v>139</v>
      </c>
      <c r="I911" s="1" t="s">
        <v>31</v>
      </c>
      <c r="J911" s="1">
        <v>5.9</v>
      </c>
      <c r="K911" s="1">
        <v>86.9</v>
      </c>
      <c r="L911" s="1" t="s">
        <v>41</v>
      </c>
      <c r="M911" s="1" t="s">
        <v>132</v>
      </c>
      <c r="N911" s="1" t="s">
        <v>67</v>
      </c>
      <c r="O911" s="1"/>
      <c r="P911" s="1">
        <v>160</v>
      </c>
      <c r="Q911" s="1">
        <v>575</v>
      </c>
      <c r="R911" s="8" t="str">
        <f>_xlfn.IFS(J911&gt;=8,"Hit",J911&gt;=6,"Average",J911&lt;6,"Flop")</f>
        <v>Flop</v>
      </c>
      <c r="S911" s="9" t="str">
        <f>_xlfn.IFS(K911&gt;=400,"Blockbuster",K911&gt;=200,"Popular",K911&lt;200,"Normal")</f>
        <v>Normal</v>
      </c>
      <c r="T911" s="10" t="str">
        <f>IF(OR(I911="PG",I911="G"),"Yes","No")</f>
        <v>No</v>
      </c>
      <c r="U911" s="11" t="str">
        <f>IF(P911&gt;=100,"High","Low")</f>
        <v>High</v>
      </c>
      <c r="V911" s="28">
        <f t="shared" si="28"/>
        <v>415</v>
      </c>
      <c r="W911" s="29">
        <f t="shared" si="29"/>
        <v>359.375</v>
      </c>
    </row>
    <row r="912" spans="1:23" x14ac:dyDescent="0.3">
      <c r="A912" s="1" t="s">
        <v>2665</v>
      </c>
      <c r="B912" s="1" t="s">
        <v>2666</v>
      </c>
      <c r="C912" s="1" t="s">
        <v>46</v>
      </c>
      <c r="D912" s="1" t="s">
        <v>37</v>
      </c>
      <c r="E912" s="1">
        <v>2001</v>
      </c>
      <c r="F912" s="1" t="s">
        <v>83</v>
      </c>
      <c r="G912" s="1" t="s">
        <v>1629</v>
      </c>
      <c r="H912" s="1">
        <v>31</v>
      </c>
      <c r="I912" s="1" t="s">
        <v>22</v>
      </c>
      <c r="J912" s="1">
        <v>7.6</v>
      </c>
      <c r="K912" s="1">
        <v>422.6</v>
      </c>
      <c r="L912" s="1" t="s">
        <v>90</v>
      </c>
      <c r="M912" s="1" t="s">
        <v>106</v>
      </c>
      <c r="N912" s="1" t="s">
        <v>153</v>
      </c>
      <c r="O912" s="1">
        <v>1</v>
      </c>
      <c r="P912" s="1">
        <v>14</v>
      </c>
      <c r="Q912" s="1">
        <v>18.100000000000001</v>
      </c>
      <c r="R912" s="8" t="str">
        <f>_xlfn.IFS(J912&gt;=8,"Hit",J912&gt;=6,"Average",J912&lt;6,"Flop")</f>
        <v>Average</v>
      </c>
      <c r="S912" s="9" t="str">
        <f>_xlfn.IFS(K912&gt;=400,"Blockbuster",K912&gt;=200,"Popular",K912&lt;200,"Normal")</f>
        <v>Blockbuster</v>
      </c>
      <c r="T912" s="10" t="str">
        <f>IF(OR(I912="PG",I912="G"),"Yes","No")</f>
        <v>No</v>
      </c>
      <c r="U912" s="11" t="str">
        <f>IF(P912&gt;=100,"High","Low")</f>
        <v>Low</v>
      </c>
      <c r="V912" s="28">
        <f t="shared" si="28"/>
        <v>4.1000000000000014</v>
      </c>
      <c r="W912" s="29">
        <f t="shared" si="29"/>
        <v>129.28571428571431</v>
      </c>
    </row>
    <row r="913" spans="1:23" x14ac:dyDescent="0.3">
      <c r="A913" s="1" t="s">
        <v>2667</v>
      </c>
      <c r="B913" s="1" t="s">
        <v>2668</v>
      </c>
      <c r="C913" s="1" t="s">
        <v>46</v>
      </c>
      <c r="D913" s="1" t="s">
        <v>117</v>
      </c>
      <c r="E913" s="1">
        <v>2006</v>
      </c>
      <c r="F913" s="1" t="s">
        <v>95</v>
      </c>
      <c r="G913" s="1" t="s">
        <v>2669</v>
      </c>
      <c r="H913" s="1">
        <v>33</v>
      </c>
      <c r="I913" s="1" t="s">
        <v>40</v>
      </c>
      <c r="J913" s="1">
        <v>4.7</v>
      </c>
      <c r="K913" s="1">
        <v>180.3</v>
      </c>
      <c r="L913" s="1" t="s">
        <v>171</v>
      </c>
      <c r="M913" s="1" t="s">
        <v>146</v>
      </c>
      <c r="N913" s="1" t="s">
        <v>119</v>
      </c>
      <c r="O913" s="1">
        <v>7</v>
      </c>
      <c r="P913" s="1">
        <v>68</v>
      </c>
      <c r="Q913" s="1">
        <v>374.5</v>
      </c>
      <c r="R913" s="8" t="str">
        <f>_xlfn.IFS(J913&gt;=8,"Hit",J913&gt;=6,"Average",J913&lt;6,"Flop")</f>
        <v>Flop</v>
      </c>
      <c r="S913" s="9" t="str">
        <f>_xlfn.IFS(K913&gt;=400,"Blockbuster",K913&gt;=200,"Popular",K913&lt;200,"Normal")</f>
        <v>Normal</v>
      </c>
      <c r="T913" s="10" t="str">
        <f>IF(OR(I913="PG",I913="G"),"Yes","No")</f>
        <v>Yes</v>
      </c>
      <c r="U913" s="11" t="str">
        <f>IF(P913&gt;=100,"High","Low")</f>
        <v>Low</v>
      </c>
      <c r="V913" s="28">
        <f t="shared" si="28"/>
        <v>306.5</v>
      </c>
      <c r="W913" s="29">
        <f t="shared" si="29"/>
        <v>550.73529411764707</v>
      </c>
    </row>
    <row r="914" spans="1:23" x14ac:dyDescent="0.3">
      <c r="A914" s="1" t="s">
        <v>2670</v>
      </c>
      <c r="B914" s="1" t="s">
        <v>2671</v>
      </c>
      <c r="C914" s="1" t="s">
        <v>18</v>
      </c>
      <c r="D914" s="1" t="s">
        <v>58</v>
      </c>
      <c r="E914" s="1">
        <v>2024</v>
      </c>
      <c r="F914" s="1" t="s">
        <v>95</v>
      </c>
      <c r="G914" s="1" t="s">
        <v>1238</v>
      </c>
      <c r="H914" s="1">
        <v>106</v>
      </c>
      <c r="I914" s="1" t="s">
        <v>40</v>
      </c>
      <c r="J914" s="1">
        <v>9.6</v>
      </c>
      <c r="K914" s="1">
        <v>176.1</v>
      </c>
      <c r="L914" s="1" t="s">
        <v>71</v>
      </c>
      <c r="M914" s="1" t="s">
        <v>78</v>
      </c>
      <c r="N914" s="1" t="s">
        <v>55</v>
      </c>
      <c r="O914" s="1"/>
      <c r="P914" s="1">
        <v>29</v>
      </c>
      <c r="Q914" s="1">
        <v>36.700000000000003</v>
      </c>
      <c r="R914" s="8" t="str">
        <f>_xlfn.IFS(J914&gt;=8,"Hit",J914&gt;=6,"Average",J914&lt;6,"Flop")</f>
        <v>Hit</v>
      </c>
      <c r="S914" s="9" t="str">
        <f>_xlfn.IFS(K914&gt;=400,"Blockbuster",K914&gt;=200,"Popular",K914&lt;200,"Normal")</f>
        <v>Normal</v>
      </c>
      <c r="T914" s="10" t="str">
        <f>IF(OR(I914="PG",I914="G"),"Yes","No")</f>
        <v>Yes</v>
      </c>
      <c r="U914" s="11" t="str">
        <f>IF(P914&gt;=100,"High","Low")</f>
        <v>Low</v>
      </c>
      <c r="V914" s="28">
        <f t="shared" si="28"/>
        <v>7.7000000000000028</v>
      </c>
      <c r="W914" s="29">
        <f t="shared" si="29"/>
        <v>126.55172413793106</v>
      </c>
    </row>
    <row r="915" spans="1:23" x14ac:dyDescent="0.3">
      <c r="A915" s="1" t="s">
        <v>2672</v>
      </c>
      <c r="B915" s="1" t="s">
        <v>2673</v>
      </c>
      <c r="C915" s="1" t="s">
        <v>18</v>
      </c>
      <c r="D915" s="1" t="s">
        <v>47</v>
      </c>
      <c r="E915" s="1">
        <v>2024</v>
      </c>
      <c r="F915" s="1" t="s">
        <v>48</v>
      </c>
      <c r="G915" s="1" t="s">
        <v>751</v>
      </c>
      <c r="H915" s="1">
        <v>147</v>
      </c>
      <c r="I915" s="1" t="s">
        <v>22</v>
      </c>
      <c r="J915" s="1">
        <v>6.3</v>
      </c>
      <c r="K915" s="1">
        <v>249.2</v>
      </c>
      <c r="L915" s="1" t="s">
        <v>171</v>
      </c>
      <c r="M915" s="1" t="s">
        <v>24</v>
      </c>
      <c r="N915" s="1" t="s">
        <v>67</v>
      </c>
      <c r="O915" s="1"/>
      <c r="P915" s="1">
        <v>115</v>
      </c>
      <c r="Q915" s="1">
        <v>339.3</v>
      </c>
      <c r="R915" s="8" t="str">
        <f>_xlfn.IFS(J915&gt;=8,"Hit",J915&gt;=6,"Average",J915&lt;6,"Flop")</f>
        <v>Average</v>
      </c>
      <c r="S915" s="9" t="str">
        <f>_xlfn.IFS(K915&gt;=400,"Blockbuster",K915&gt;=200,"Popular",K915&lt;200,"Normal")</f>
        <v>Popular</v>
      </c>
      <c r="T915" s="10" t="str">
        <f>IF(OR(I915="PG",I915="G"),"Yes","No")</f>
        <v>No</v>
      </c>
      <c r="U915" s="11" t="str">
        <f>IF(P915&gt;=100,"High","Low")</f>
        <v>High</v>
      </c>
      <c r="V915" s="28">
        <f t="shared" si="28"/>
        <v>224.3</v>
      </c>
      <c r="W915" s="29">
        <f t="shared" si="29"/>
        <v>295.04347826086956</v>
      </c>
    </row>
    <row r="916" spans="1:23" x14ac:dyDescent="0.3">
      <c r="A916" s="1" t="s">
        <v>2674</v>
      </c>
      <c r="B916" s="1" t="s">
        <v>2675</v>
      </c>
      <c r="C916" s="1" t="s">
        <v>18</v>
      </c>
      <c r="D916" s="1" t="s">
        <v>37</v>
      </c>
      <c r="E916" s="1">
        <v>2018</v>
      </c>
      <c r="F916" s="1" t="s">
        <v>29</v>
      </c>
      <c r="G916" s="1" t="s">
        <v>2676</v>
      </c>
      <c r="H916" s="1">
        <v>147</v>
      </c>
      <c r="I916" s="1" t="s">
        <v>31</v>
      </c>
      <c r="J916" s="1">
        <v>8.3000000000000007</v>
      </c>
      <c r="K916" s="1">
        <v>318.7</v>
      </c>
      <c r="L916" s="1" t="s">
        <v>41</v>
      </c>
      <c r="M916" s="1" t="s">
        <v>24</v>
      </c>
      <c r="N916" s="1" t="s">
        <v>153</v>
      </c>
      <c r="O916" s="1"/>
      <c r="P916" s="1">
        <v>81</v>
      </c>
      <c r="Q916" s="1">
        <v>114.3</v>
      </c>
      <c r="R916" s="8" t="str">
        <f>_xlfn.IFS(J916&gt;=8,"Hit",J916&gt;=6,"Average",J916&lt;6,"Flop")</f>
        <v>Hit</v>
      </c>
      <c r="S916" s="9" t="str">
        <f>_xlfn.IFS(K916&gt;=400,"Blockbuster",K916&gt;=200,"Popular",K916&lt;200,"Normal")</f>
        <v>Popular</v>
      </c>
      <c r="T916" s="10" t="str">
        <f>IF(OR(I916="PG",I916="G"),"Yes","No")</f>
        <v>No</v>
      </c>
      <c r="U916" s="11" t="str">
        <f>IF(P916&gt;=100,"High","Low")</f>
        <v>Low</v>
      </c>
      <c r="V916" s="28">
        <f t="shared" si="28"/>
        <v>33.299999999999997</v>
      </c>
      <c r="W916" s="29">
        <f t="shared" si="29"/>
        <v>141.11111111111109</v>
      </c>
    </row>
    <row r="917" spans="1:23" x14ac:dyDescent="0.3">
      <c r="A917" s="1" t="s">
        <v>2677</v>
      </c>
      <c r="B917" s="1" t="s">
        <v>2678</v>
      </c>
      <c r="C917" s="1" t="s">
        <v>18</v>
      </c>
      <c r="D917" s="1" t="s">
        <v>47</v>
      </c>
      <c r="E917" s="1">
        <v>2003</v>
      </c>
      <c r="F917" s="1" t="s">
        <v>181</v>
      </c>
      <c r="G917" s="1" t="s">
        <v>725</v>
      </c>
      <c r="H917" s="1">
        <v>131</v>
      </c>
      <c r="I917" s="1" t="s">
        <v>110</v>
      </c>
      <c r="J917" s="1">
        <v>7</v>
      </c>
      <c r="K917" s="1">
        <v>4.8</v>
      </c>
      <c r="L917" s="1" t="s">
        <v>65</v>
      </c>
      <c r="M917" s="1" t="s">
        <v>157</v>
      </c>
      <c r="N917" s="1" t="s">
        <v>86</v>
      </c>
      <c r="O917" s="1"/>
      <c r="P917" s="1">
        <v>163</v>
      </c>
      <c r="Q917" s="1">
        <v>579.1</v>
      </c>
      <c r="R917" s="8" t="str">
        <f>_xlfn.IFS(J917&gt;=8,"Hit",J917&gt;=6,"Average",J917&lt;6,"Flop")</f>
        <v>Average</v>
      </c>
      <c r="S917" s="9" t="str">
        <f>_xlfn.IFS(K917&gt;=400,"Blockbuster",K917&gt;=200,"Popular",K917&lt;200,"Normal")</f>
        <v>Normal</v>
      </c>
      <c r="T917" s="10" t="str">
        <f>IF(OR(I917="PG",I917="G"),"Yes","No")</f>
        <v>No</v>
      </c>
      <c r="U917" s="11" t="str">
        <f>IF(P917&gt;=100,"High","Low")</f>
        <v>High</v>
      </c>
      <c r="V917" s="28">
        <f t="shared" si="28"/>
        <v>416.1</v>
      </c>
      <c r="W917" s="29">
        <f t="shared" si="29"/>
        <v>355.27607361963192</v>
      </c>
    </row>
    <row r="918" spans="1:23" x14ac:dyDescent="0.3">
      <c r="A918" s="1" t="s">
        <v>2679</v>
      </c>
      <c r="B918" s="1" t="s">
        <v>2680</v>
      </c>
      <c r="C918" s="1" t="s">
        <v>18</v>
      </c>
      <c r="D918" s="1" t="s">
        <v>94</v>
      </c>
      <c r="E918" s="1">
        <v>2012</v>
      </c>
      <c r="F918" s="1" t="s">
        <v>100</v>
      </c>
      <c r="G918" s="1" t="s">
        <v>2681</v>
      </c>
      <c r="H918" s="1">
        <v>107</v>
      </c>
      <c r="I918" s="1" t="s">
        <v>50</v>
      </c>
      <c r="J918" s="1">
        <v>8.8000000000000007</v>
      </c>
      <c r="K918" s="1">
        <v>108.8</v>
      </c>
      <c r="L918" s="1" t="s">
        <v>23</v>
      </c>
      <c r="M918" s="1" t="s">
        <v>106</v>
      </c>
      <c r="N918" s="1" t="s">
        <v>67</v>
      </c>
      <c r="O918" s="1"/>
      <c r="P918" s="1">
        <v>135</v>
      </c>
      <c r="Q918" s="1">
        <v>697.8</v>
      </c>
      <c r="R918" s="8" t="str">
        <f>_xlfn.IFS(J918&gt;=8,"Hit",J918&gt;=6,"Average",J918&lt;6,"Flop")</f>
        <v>Hit</v>
      </c>
      <c r="S918" s="9" t="str">
        <f>_xlfn.IFS(K918&gt;=400,"Blockbuster",K918&gt;=200,"Popular",K918&lt;200,"Normal")</f>
        <v>Normal</v>
      </c>
      <c r="T918" s="10" t="str">
        <f>IF(OR(I918="PG",I918="G"),"Yes","No")</f>
        <v>Yes</v>
      </c>
      <c r="U918" s="11" t="str">
        <f>IF(P918&gt;=100,"High","Low")</f>
        <v>High</v>
      </c>
      <c r="V918" s="28">
        <f t="shared" si="28"/>
        <v>562.79999999999995</v>
      </c>
      <c r="W918" s="29">
        <f t="shared" si="29"/>
        <v>516.88888888888891</v>
      </c>
    </row>
    <row r="919" spans="1:23" x14ac:dyDescent="0.3">
      <c r="A919" s="1" t="s">
        <v>2682</v>
      </c>
      <c r="B919" s="1" t="s">
        <v>2683</v>
      </c>
      <c r="C919" s="1" t="s">
        <v>46</v>
      </c>
      <c r="D919" s="1" t="s">
        <v>47</v>
      </c>
      <c r="E919" s="1">
        <v>2023</v>
      </c>
      <c r="F919" s="1" t="s">
        <v>48</v>
      </c>
      <c r="G919" s="1" t="s">
        <v>1868</v>
      </c>
      <c r="H919" s="1">
        <v>54</v>
      </c>
      <c r="I919" s="1" t="s">
        <v>40</v>
      </c>
      <c r="J919" s="1">
        <v>9.1</v>
      </c>
      <c r="K919" s="1">
        <v>533</v>
      </c>
      <c r="L919" s="1" t="s">
        <v>65</v>
      </c>
      <c r="M919" s="1" t="s">
        <v>97</v>
      </c>
      <c r="N919" s="1" t="s">
        <v>153</v>
      </c>
      <c r="O919" s="1">
        <v>5</v>
      </c>
      <c r="P919" s="1">
        <v>30</v>
      </c>
      <c r="Q919" s="1">
        <v>177.1</v>
      </c>
      <c r="R919" s="8" t="str">
        <f>_xlfn.IFS(J919&gt;=8,"Hit",J919&gt;=6,"Average",J919&lt;6,"Flop")</f>
        <v>Hit</v>
      </c>
      <c r="S919" s="9" t="str">
        <f>_xlfn.IFS(K919&gt;=400,"Blockbuster",K919&gt;=200,"Popular",K919&lt;200,"Normal")</f>
        <v>Blockbuster</v>
      </c>
      <c r="T919" s="10" t="str">
        <f>IF(OR(I919="PG",I919="G"),"Yes","No")</f>
        <v>Yes</v>
      </c>
      <c r="U919" s="11" t="str">
        <f>IF(P919&gt;=100,"High","Low")</f>
        <v>Low</v>
      </c>
      <c r="V919" s="28">
        <f t="shared" si="28"/>
        <v>147.1</v>
      </c>
      <c r="W919" s="29">
        <f t="shared" si="29"/>
        <v>590.33333333333337</v>
      </c>
    </row>
    <row r="920" spans="1:23" x14ac:dyDescent="0.3">
      <c r="A920" s="1" t="s">
        <v>2684</v>
      </c>
      <c r="B920" s="1" t="s">
        <v>2685</v>
      </c>
      <c r="C920" s="1" t="s">
        <v>18</v>
      </c>
      <c r="D920" s="1" t="s">
        <v>63</v>
      </c>
      <c r="E920" s="1">
        <v>2010</v>
      </c>
      <c r="F920" s="1" t="s">
        <v>83</v>
      </c>
      <c r="G920" s="1" t="s">
        <v>2686</v>
      </c>
      <c r="H920" s="1">
        <v>154</v>
      </c>
      <c r="I920" s="1" t="s">
        <v>40</v>
      </c>
      <c r="J920" s="1">
        <v>7.6</v>
      </c>
      <c r="K920" s="1">
        <v>353.7</v>
      </c>
      <c r="L920" s="1" t="s">
        <v>71</v>
      </c>
      <c r="M920" s="1" t="s">
        <v>72</v>
      </c>
      <c r="N920" s="1" t="s">
        <v>79</v>
      </c>
      <c r="O920" s="1"/>
      <c r="P920" s="1">
        <v>87</v>
      </c>
      <c r="Q920" s="1">
        <v>406.8</v>
      </c>
      <c r="R920" s="8" t="str">
        <f>_xlfn.IFS(J920&gt;=8,"Hit",J920&gt;=6,"Average",J920&lt;6,"Flop")</f>
        <v>Average</v>
      </c>
      <c r="S920" s="9" t="str">
        <f>_xlfn.IFS(K920&gt;=400,"Blockbuster",K920&gt;=200,"Popular",K920&lt;200,"Normal")</f>
        <v>Popular</v>
      </c>
      <c r="T920" s="10" t="str">
        <f>IF(OR(I920="PG",I920="G"),"Yes","No")</f>
        <v>Yes</v>
      </c>
      <c r="U920" s="11" t="str">
        <f>IF(P920&gt;=100,"High","Low")</f>
        <v>Low</v>
      </c>
      <c r="V920" s="28">
        <f t="shared" si="28"/>
        <v>319.8</v>
      </c>
      <c r="W920" s="29">
        <f t="shared" si="29"/>
        <v>467.58620689655174</v>
      </c>
    </row>
    <row r="921" spans="1:23" x14ac:dyDescent="0.3">
      <c r="A921" s="1" t="s">
        <v>2687</v>
      </c>
      <c r="B921" s="1" t="s">
        <v>2688</v>
      </c>
      <c r="C921" s="1" t="s">
        <v>18</v>
      </c>
      <c r="D921" s="1" t="s">
        <v>37</v>
      </c>
      <c r="E921" s="1">
        <v>2015</v>
      </c>
      <c r="F921" s="1" t="s">
        <v>100</v>
      </c>
      <c r="G921" s="1" t="s">
        <v>2689</v>
      </c>
      <c r="H921" s="1">
        <v>175</v>
      </c>
      <c r="I921" s="1" t="s">
        <v>22</v>
      </c>
      <c r="J921" s="1">
        <v>5.0999999999999996</v>
      </c>
      <c r="K921" s="1">
        <v>10.199999999999999</v>
      </c>
      <c r="L921" s="1" t="s">
        <v>90</v>
      </c>
      <c r="M921" s="1" t="s">
        <v>85</v>
      </c>
      <c r="N921" s="1" t="s">
        <v>158</v>
      </c>
      <c r="O921" s="1"/>
      <c r="P921" s="1">
        <v>24</v>
      </c>
      <c r="Q921" s="1">
        <v>33.799999999999997</v>
      </c>
      <c r="R921" s="8" t="str">
        <f>_xlfn.IFS(J921&gt;=8,"Hit",J921&gt;=6,"Average",J921&lt;6,"Flop")</f>
        <v>Flop</v>
      </c>
      <c r="S921" s="9" t="str">
        <f>_xlfn.IFS(K921&gt;=400,"Blockbuster",K921&gt;=200,"Popular",K921&lt;200,"Normal")</f>
        <v>Normal</v>
      </c>
      <c r="T921" s="10" t="str">
        <f>IF(OR(I921="PG",I921="G"),"Yes","No")</f>
        <v>No</v>
      </c>
      <c r="U921" s="11" t="str">
        <f>IF(P921&gt;=100,"High","Low")</f>
        <v>Low</v>
      </c>
      <c r="V921" s="28">
        <f t="shared" si="28"/>
        <v>9.7999999999999972</v>
      </c>
      <c r="W921" s="29">
        <f t="shared" si="29"/>
        <v>140.83333333333331</v>
      </c>
    </row>
    <row r="922" spans="1:23" x14ac:dyDescent="0.3">
      <c r="A922" s="1" t="s">
        <v>2690</v>
      </c>
      <c r="B922" s="1" t="s">
        <v>2691</v>
      </c>
      <c r="C922" s="1" t="s">
        <v>46</v>
      </c>
      <c r="D922" s="1" t="s">
        <v>47</v>
      </c>
      <c r="E922" s="1">
        <v>2011</v>
      </c>
      <c r="F922" s="1" t="s">
        <v>76</v>
      </c>
      <c r="G922" s="1" t="s">
        <v>2692</v>
      </c>
      <c r="H922" s="1">
        <v>40</v>
      </c>
      <c r="I922" s="1" t="s">
        <v>31</v>
      </c>
      <c r="J922" s="1">
        <v>8.8000000000000007</v>
      </c>
      <c r="K922" s="1">
        <v>423.5</v>
      </c>
      <c r="L922" s="1" t="s">
        <v>32</v>
      </c>
      <c r="M922" s="1" t="s">
        <v>85</v>
      </c>
      <c r="N922" s="1" t="s">
        <v>128</v>
      </c>
      <c r="O922" s="1">
        <v>7</v>
      </c>
      <c r="P922" s="1">
        <v>146</v>
      </c>
      <c r="Q922" s="1">
        <v>507.8</v>
      </c>
      <c r="R922" s="8" t="str">
        <f>_xlfn.IFS(J922&gt;=8,"Hit",J922&gt;=6,"Average",J922&lt;6,"Flop")</f>
        <v>Hit</v>
      </c>
      <c r="S922" s="9" t="str">
        <f>_xlfn.IFS(K922&gt;=400,"Blockbuster",K922&gt;=200,"Popular",K922&lt;200,"Normal")</f>
        <v>Blockbuster</v>
      </c>
      <c r="T922" s="10" t="str">
        <f>IF(OR(I922="PG",I922="G"),"Yes","No")</f>
        <v>No</v>
      </c>
      <c r="U922" s="11" t="str">
        <f>IF(P922&gt;=100,"High","Low")</f>
        <v>High</v>
      </c>
      <c r="V922" s="28">
        <f t="shared" si="28"/>
        <v>361.8</v>
      </c>
      <c r="W922" s="29">
        <f t="shared" si="29"/>
        <v>347.8082191780822</v>
      </c>
    </row>
    <row r="923" spans="1:23" x14ac:dyDescent="0.3">
      <c r="A923" s="1" t="s">
        <v>2693</v>
      </c>
      <c r="B923" s="1" t="s">
        <v>2694</v>
      </c>
      <c r="C923" s="1" t="s">
        <v>18</v>
      </c>
      <c r="D923" s="1" t="s">
        <v>94</v>
      </c>
      <c r="E923" s="1">
        <v>2012</v>
      </c>
      <c r="F923" s="1" t="s">
        <v>95</v>
      </c>
      <c r="G923" s="1" t="s">
        <v>2695</v>
      </c>
      <c r="H923" s="1">
        <v>100</v>
      </c>
      <c r="I923" s="1" t="s">
        <v>50</v>
      </c>
      <c r="J923" s="1">
        <v>6.8</v>
      </c>
      <c r="K923" s="1">
        <v>67.400000000000006</v>
      </c>
      <c r="L923" s="1" t="s">
        <v>32</v>
      </c>
      <c r="M923" s="1" t="s">
        <v>24</v>
      </c>
      <c r="N923" s="1" t="s">
        <v>34</v>
      </c>
      <c r="O923" s="1"/>
      <c r="P923" s="1">
        <v>36</v>
      </c>
      <c r="Q923" s="1">
        <v>201.4</v>
      </c>
      <c r="R923" s="8" t="str">
        <f>_xlfn.IFS(J923&gt;=8,"Hit",J923&gt;=6,"Average",J923&lt;6,"Flop")</f>
        <v>Average</v>
      </c>
      <c r="S923" s="9" t="str">
        <f>_xlfn.IFS(K923&gt;=400,"Blockbuster",K923&gt;=200,"Popular",K923&lt;200,"Normal")</f>
        <v>Normal</v>
      </c>
      <c r="T923" s="10" t="str">
        <f>IF(OR(I923="PG",I923="G"),"Yes","No")</f>
        <v>Yes</v>
      </c>
      <c r="U923" s="11" t="str">
        <f>IF(P923&gt;=100,"High","Low")</f>
        <v>Low</v>
      </c>
      <c r="V923" s="28">
        <f t="shared" si="28"/>
        <v>165.4</v>
      </c>
      <c r="W923" s="29">
        <f t="shared" si="29"/>
        <v>559.44444444444446</v>
      </c>
    </row>
    <row r="924" spans="1:23" x14ac:dyDescent="0.3">
      <c r="A924" s="1" t="s">
        <v>2696</v>
      </c>
      <c r="B924" s="1" t="s">
        <v>2697</v>
      </c>
      <c r="C924" s="1" t="s">
        <v>18</v>
      </c>
      <c r="D924" s="1" t="s">
        <v>94</v>
      </c>
      <c r="E924" s="1">
        <v>2017</v>
      </c>
      <c r="F924" s="1" t="s">
        <v>20</v>
      </c>
      <c r="G924" s="1" t="s">
        <v>2698</v>
      </c>
      <c r="H924" s="1">
        <v>131</v>
      </c>
      <c r="I924" s="1" t="s">
        <v>40</v>
      </c>
      <c r="J924" s="1">
        <v>5.3</v>
      </c>
      <c r="K924" s="1">
        <v>171.8</v>
      </c>
      <c r="L924" s="1" t="s">
        <v>171</v>
      </c>
      <c r="M924" s="1" t="s">
        <v>132</v>
      </c>
      <c r="N924" s="1" t="s">
        <v>158</v>
      </c>
      <c r="O924" s="1"/>
      <c r="P924" s="1">
        <v>8</v>
      </c>
      <c r="Q924" s="1">
        <v>14.2</v>
      </c>
      <c r="R924" s="8" t="str">
        <f>_xlfn.IFS(J924&gt;=8,"Hit",J924&gt;=6,"Average",J924&lt;6,"Flop")</f>
        <v>Flop</v>
      </c>
      <c r="S924" s="9" t="str">
        <f>_xlfn.IFS(K924&gt;=400,"Blockbuster",K924&gt;=200,"Popular",K924&lt;200,"Normal")</f>
        <v>Normal</v>
      </c>
      <c r="T924" s="10" t="str">
        <f>IF(OR(I924="PG",I924="G"),"Yes","No")</f>
        <v>Yes</v>
      </c>
      <c r="U924" s="11" t="str">
        <f>IF(P924&gt;=100,"High","Low")</f>
        <v>Low</v>
      </c>
      <c r="V924" s="28">
        <f t="shared" si="28"/>
        <v>6.1999999999999993</v>
      </c>
      <c r="W924" s="29">
        <f t="shared" si="29"/>
        <v>177.5</v>
      </c>
    </row>
    <row r="925" spans="1:23" x14ac:dyDescent="0.3">
      <c r="A925" s="1" t="s">
        <v>2699</v>
      </c>
      <c r="B925" s="1" t="s">
        <v>2700</v>
      </c>
      <c r="C925" s="1" t="s">
        <v>18</v>
      </c>
      <c r="D925" s="1" t="s">
        <v>63</v>
      </c>
      <c r="E925" s="1">
        <v>2024</v>
      </c>
      <c r="F925" s="1" t="s">
        <v>48</v>
      </c>
      <c r="G925" s="1" t="s">
        <v>2701</v>
      </c>
      <c r="H925" s="1">
        <v>141</v>
      </c>
      <c r="I925" s="1" t="s">
        <v>22</v>
      </c>
      <c r="J925" s="1">
        <v>7</v>
      </c>
      <c r="K925" s="1">
        <v>254.1</v>
      </c>
      <c r="L925" s="1" t="s">
        <v>65</v>
      </c>
      <c r="M925" s="1" t="s">
        <v>132</v>
      </c>
      <c r="N925" s="1" t="s">
        <v>25</v>
      </c>
      <c r="O925" s="1"/>
      <c r="P925" s="1">
        <v>131</v>
      </c>
      <c r="Q925" s="1">
        <v>784.1</v>
      </c>
      <c r="R925" s="8" t="str">
        <f>_xlfn.IFS(J925&gt;=8,"Hit",J925&gt;=6,"Average",J925&lt;6,"Flop")</f>
        <v>Average</v>
      </c>
      <c r="S925" s="9" t="str">
        <f>_xlfn.IFS(K925&gt;=400,"Blockbuster",K925&gt;=200,"Popular",K925&lt;200,"Normal")</f>
        <v>Popular</v>
      </c>
      <c r="T925" s="10" t="str">
        <f>IF(OR(I925="PG",I925="G"),"Yes","No")</f>
        <v>No</v>
      </c>
      <c r="U925" s="11" t="str">
        <f>IF(P925&gt;=100,"High","Low")</f>
        <v>High</v>
      </c>
      <c r="V925" s="28">
        <f t="shared" si="28"/>
        <v>653.1</v>
      </c>
      <c r="W925" s="29">
        <f t="shared" si="29"/>
        <v>598.54961832061065</v>
      </c>
    </row>
    <row r="926" spans="1:23" x14ac:dyDescent="0.3">
      <c r="A926" s="1" t="s">
        <v>2702</v>
      </c>
      <c r="B926" s="1" t="s">
        <v>2703</v>
      </c>
      <c r="C926" s="1" t="s">
        <v>18</v>
      </c>
      <c r="D926" s="1" t="s">
        <v>63</v>
      </c>
      <c r="E926" s="1">
        <v>2009</v>
      </c>
      <c r="F926" s="1" t="s">
        <v>76</v>
      </c>
      <c r="G926" s="1" t="s">
        <v>1003</v>
      </c>
      <c r="H926" s="1">
        <v>87</v>
      </c>
      <c r="I926" s="1" t="s">
        <v>50</v>
      </c>
      <c r="J926" s="1">
        <v>6.8</v>
      </c>
      <c r="K926" s="1">
        <v>152.1</v>
      </c>
      <c r="L926" s="1" t="s">
        <v>23</v>
      </c>
      <c r="M926" s="1" t="s">
        <v>132</v>
      </c>
      <c r="N926" s="1" t="s">
        <v>153</v>
      </c>
      <c r="O926" s="1"/>
      <c r="P926" s="1">
        <v>86</v>
      </c>
      <c r="Q926" s="1">
        <v>553.70000000000005</v>
      </c>
      <c r="R926" s="8" t="str">
        <f>_xlfn.IFS(J926&gt;=8,"Hit",J926&gt;=6,"Average",J926&lt;6,"Flop")</f>
        <v>Average</v>
      </c>
      <c r="S926" s="9" t="str">
        <f>_xlfn.IFS(K926&gt;=400,"Blockbuster",K926&gt;=200,"Popular",K926&lt;200,"Normal")</f>
        <v>Normal</v>
      </c>
      <c r="T926" s="10" t="str">
        <f>IF(OR(I926="PG",I926="G"),"Yes","No")</f>
        <v>Yes</v>
      </c>
      <c r="U926" s="11" t="str">
        <f>IF(P926&gt;=100,"High","Low")</f>
        <v>Low</v>
      </c>
      <c r="V926" s="28">
        <f t="shared" si="28"/>
        <v>467.70000000000005</v>
      </c>
      <c r="W926" s="29">
        <f t="shared" si="29"/>
        <v>643.83720930232562</v>
      </c>
    </row>
    <row r="927" spans="1:23" x14ac:dyDescent="0.3">
      <c r="A927" s="1" t="s">
        <v>2704</v>
      </c>
      <c r="B927" s="1" t="s">
        <v>2705</v>
      </c>
      <c r="C927" s="1" t="s">
        <v>46</v>
      </c>
      <c r="D927" s="1" t="s">
        <v>28</v>
      </c>
      <c r="E927" s="1">
        <v>2001</v>
      </c>
      <c r="F927" s="1" t="s">
        <v>29</v>
      </c>
      <c r="G927" s="1" t="s">
        <v>2706</v>
      </c>
      <c r="H927" s="1">
        <v>35</v>
      </c>
      <c r="I927" s="1" t="s">
        <v>50</v>
      </c>
      <c r="J927" s="1">
        <v>6.4</v>
      </c>
      <c r="K927" s="1">
        <v>116.6</v>
      </c>
      <c r="L927" s="1" t="s">
        <v>171</v>
      </c>
      <c r="M927" s="1" t="s">
        <v>106</v>
      </c>
      <c r="N927" s="1" t="s">
        <v>60</v>
      </c>
      <c r="O927" s="1">
        <v>4</v>
      </c>
      <c r="P927" s="1">
        <v>121</v>
      </c>
      <c r="Q927" s="1">
        <v>337.1</v>
      </c>
      <c r="R927" s="8" t="str">
        <f>_xlfn.IFS(J927&gt;=8,"Hit",J927&gt;=6,"Average",J927&lt;6,"Flop")</f>
        <v>Average</v>
      </c>
      <c r="S927" s="9" t="str">
        <f>_xlfn.IFS(K927&gt;=400,"Blockbuster",K927&gt;=200,"Popular",K927&lt;200,"Normal")</f>
        <v>Normal</v>
      </c>
      <c r="T927" s="10" t="str">
        <f>IF(OR(I927="PG",I927="G"),"Yes","No")</f>
        <v>Yes</v>
      </c>
      <c r="U927" s="11" t="str">
        <f>IF(P927&gt;=100,"High","Low")</f>
        <v>High</v>
      </c>
      <c r="V927" s="28">
        <f t="shared" si="28"/>
        <v>216.10000000000002</v>
      </c>
      <c r="W927" s="29">
        <f t="shared" si="29"/>
        <v>278.59504132231405</v>
      </c>
    </row>
    <row r="928" spans="1:23" x14ac:dyDescent="0.3">
      <c r="A928" s="1" t="s">
        <v>2707</v>
      </c>
      <c r="B928" s="1" t="s">
        <v>2708</v>
      </c>
      <c r="C928" s="1" t="s">
        <v>46</v>
      </c>
      <c r="D928" s="1" t="s">
        <v>117</v>
      </c>
      <c r="E928" s="1">
        <v>2016</v>
      </c>
      <c r="F928" s="1" t="s">
        <v>181</v>
      </c>
      <c r="G928" s="1" t="s">
        <v>2709</v>
      </c>
      <c r="H928" s="1">
        <v>34</v>
      </c>
      <c r="I928" s="1" t="s">
        <v>22</v>
      </c>
      <c r="J928" s="1">
        <v>7.3</v>
      </c>
      <c r="K928" s="1">
        <v>295.5</v>
      </c>
      <c r="L928" s="1" t="s">
        <v>41</v>
      </c>
      <c r="M928" s="1" t="s">
        <v>157</v>
      </c>
      <c r="N928" s="1" t="s">
        <v>178</v>
      </c>
      <c r="O928" s="1">
        <v>7</v>
      </c>
      <c r="P928" s="1">
        <v>191</v>
      </c>
      <c r="Q928" s="1">
        <v>374.7</v>
      </c>
      <c r="R928" s="8" t="str">
        <f>_xlfn.IFS(J928&gt;=8,"Hit",J928&gt;=6,"Average",J928&lt;6,"Flop")</f>
        <v>Average</v>
      </c>
      <c r="S928" s="9" t="str">
        <f>_xlfn.IFS(K928&gt;=400,"Blockbuster",K928&gt;=200,"Popular",K928&lt;200,"Normal")</f>
        <v>Popular</v>
      </c>
      <c r="T928" s="10" t="str">
        <f>IF(OR(I928="PG",I928="G"),"Yes","No")</f>
        <v>No</v>
      </c>
      <c r="U928" s="11" t="str">
        <f>IF(P928&gt;=100,"High","Low")</f>
        <v>High</v>
      </c>
      <c r="V928" s="28">
        <f t="shared" si="28"/>
        <v>183.7</v>
      </c>
      <c r="W928" s="29">
        <f t="shared" si="29"/>
        <v>196.17801047120417</v>
      </c>
    </row>
    <row r="929" spans="1:23" x14ac:dyDescent="0.3">
      <c r="A929" s="1" t="s">
        <v>2710</v>
      </c>
      <c r="B929" s="1" t="s">
        <v>2711</v>
      </c>
      <c r="C929" s="1" t="s">
        <v>18</v>
      </c>
      <c r="D929" s="1" t="s">
        <v>75</v>
      </c>
      <c r="E929" s="1">
        <v>2002</v>
      </c>
      <c r="F929" s="1" t="s">
        <v>20</v>
      </c>
      <c r="G929" s="1" t="s">
        <v>2712</v>
      </c>
      <c r="H929" s="1">
        <v>146</v>
      </c>
      <c r="I929" s="1" t="s">
        <v>31</v>
      </c>
      <c r="J929" s="1">
        <v>7.9</v>
      </c>
      <c r="K929" s="1">
        <v>293.5</v>
      </c>
      <c r="L929" s="1" t="s">
        <v>71</v>
      </c>
      <c r="M929" s="1" t="s">
        <v>146</v>
      </c>
      <c r="N929" s="1" t="s">
        <v>119</v>
      </c>
      <c r="O929" s="1"/>
      <c r="P929" s="1">
        <v>42</v>
      </c>
      <c r="Q929" s="1">
        <v>108.7</v>
      </c>
      <c r="R929" s="8" t="str">
        <f>_xlfn.IFS(J929&gt;=8,"Hit",J929&gt;=6,"Average",J929&lt;6,"Flop")</f>
        <v>Average</v>
      </c>
      <c r="S929" s="9" t="str">
        <f>_xlfn.IFS(K929&gt;=400,"Blockbuster",K929&gt;=200,"Popular",K929&lt;200,"Normal")</f>
        <v>Popular</v>
      </c>
      <c r="T929" s="10" t="str">
        <f>IF(OR(I929="PG",I929="G"),"Yes","No")</f>
        <v>No</v>
      </c>
      <c r="U929" s="11" t="str">
        <f>IF(P929&gt;=100,"High","Low")</f>
        <v>Low</v>
      </c>
      <c r="V929" s="28">
        <f t="shared" si="28"/>
        <v>66.7</v>
      </c>
      <c r="W929" s="29">
        <f t="shared" si="29"/>
        <v>258.8095238095238</v>
      </c>
    </row>
    <row r="930" spans="1:23" x14ac:dyDescent="0.3">
      <c r="A930" s="1" t="s">
        <v>2713</v>
      </c>
      <c r="B930" s="1" t="s">
        <v>2714</v>
      </c>
      <c r="C930" s="1" t="s">
        <v>46</v>
      </c>
      <c r="D930" s="1" t="s">
        <v>141</v>
      </c>
      <c r="E930" s="1">
        <v>2002</v>
      </c>
      <c r="F930" s="1" t="s">
        <v>122</v>
      </c>
      <c r="G930" s="1" t="s">
        <v>603</v>
      </c>
      <c r="H930" s="1">
        <v>40</v>
      </c>
      <c r="I930" s="1" t="s">
        <v>22</v>
      </c>
      <c r="J930" s="1">
        <v>7.9</v>
      </c>
      <c r="K930" s="1">
        <v>270.7</v>
      </c>
      <c r="L930" s="1" t="s">
        <v>171</v>
      </c>
      <c r="M930" s="1" t="s">
        <v>66</v>
      </c>
      <c r="N930" s="1" t="s">
        <v>178</v>
      </c>
      <c r="O930" s="1">
        <v>1</v>
      </c>
      <c r="P930" s="1">
        <v>10</v>
      </c>
      <c r="Q930" s="1">
        <v>20.9</v>
      </c>
      <c r="R930" s="8" t="str">
        <f>_xlfn.IFS(J930&gt;=8,"Hit",J930&gt;=6,"Average",J930&lt;6,"Flop")</f>
        <v>Average</v>
      </c>
      <c r="S930" s="9" t="str">
        <f>_xlfn.IFS(K930&gt;=400,"Blockbuster",K930&gt;=200,"Popular",K930&lt;200,"Normal")</f>
        <v>Popular</v>
      </c>
      <c r="T930" s="10" t="str">
        <f>IF(OR(I930="PG",I930="G"),"Yes","No")</f>
        <v>No</v>
      </c>
      <c r="U930" s="11" t="str">
        <f>IF(P930&gt;=100,"High","Low")</f>
        <v>Low</v>
      </c>
      <c r="V930" s="28">
        <f t="shared" si="28"/>
        <v>10.899999999999999</v>
      </c>
      <c r="W930" s="29">
        <f t="shared" si="29"/>
        <v>209</v>
      </c>
    </row>
    <row r="931" spans="1:23" x14ac:dyDescent="0.3">
      <c r="A931" s="1" t="s">
        <v>2715</v>
      </c>
      <c r="B931" s="1" t="s">
        <v>2716</v>
      </c>
      <c r="C931" s="1" t="s">
        <v>46</v>
      </c>
      <c r="D931" s="1" t="s">
        <v>58</v>
      </c>
      <c r="E931" s="1">
        <v>2007</v>
      </c>
      <c r="F931" s="1" t="s">
        <v>76</v>
      </c>
      <c r="G931" s="1" t="s">
        <v>677</v>
      </c>
      <c r="H931" s="1">
        <v>37</v>
      </c>
      <c r="I931" s="1" t="s">
        <v>50</v>
      </c>
      <c r="J931" s="1">
        <v>4.9000000000000004</v>
      </c>
      <c r="K931" s="1">
        <v>98.2</v>
      </c>
      <c r="L931" s="1" t="s">
        <v>32</v>
      </c>
      <c r="M931" s="1" t="s">
        <v>157</v>
      </c>
      <c r="N931" s="1" t="s">
        <v>178</v>
      </c>
      <c r="O931" s="1">
        <v>3</v>
      </c>
      <c r="P931" s="1">
        <v>41</v>
      </c>
      <c r="Q931" s="1">
        <v>242</v>
      </c>
      <c r="R931" s="8" t="str">
        <f>_xlfn.IFS(J931&gt;=8,"Hit",J931&gt;=6,"Average",J931&lt;6,"Flop")</f>
        <v>Flop</v>
      </c>
      <c r="S931" s="9" t="str">
        <f>_xlfn.IFS(K931&gt;=400,"Blockbuster",K931&gt;=200,"Popular",K931&lt;200,"Normal")</f>
        <v>Normal</v>
      </c>
      <c r="T931" s="10" t="str">
        <f>IF(OR(I931="PG",I931="G"),"Yes","No")</f>
        <v>Yes</v>
      </c>
      <c r="U931" s="11" t="str">
        <f>IF(P931&gt;=100,"High","Low")</f>
        <v>Low</v>
      </c>
      <c r="V931" s="28">
        <f t="shared" si="28"/>
        <v>201</v>
      </c>
      <c r="W931" s="29">
        <f t="shared" si="29"/>
        <v>590.2439024390244</v>
      </c>
    </row>
    <row r="932" spans="1:23" x14ac:dyDescent="0.3">
      <c r="A932" s="1" t="s">
        <v>2717</v>
      </c>
      <c r="B932" s="1" t="s">
        <v>2718</v>
      </c>
      <c r="C932" s="1" t="s">
        <v>18</v>
      </c>
      <c r="D932" s="1" t="s">
        <v>75</v>
      </c>
      <c r="E932" s="1">
        <v>2002</v>
      </c>
      <c r="F932" s="1" t="s">
        <v>83</v>
      </c>
      <c r="G932" s="1" t="s">
        <v>2719</v>
      </c>
      <c r="H932" s="1">
        <v>166</v>
      </c>
      <c r="I932" s="1" t="s">
        <v>22</v>
      </c>
      <c r="J932" s="1">
        <v>6.3</v>
      </c>
      <c r="K932" s="1">
        <v>496.7</v>
      </c>
      <c r="L932" s="1" t="s">
        <v>32</v>
      </c>
      <c r="M932" s="1" t="s">
        <v>66</v>
      </c>
      <c r="N932" s="1" t="s">
        <v>178</v>
      </c>
      <c r="O932" s="1"/>
      <c r="P932" s="1">
        <v>12</v>
      </c>
      <c r="Q932" s="1">
        <v>14.8</v>
      </c>
      <c r="R932" s="8" t="str">
        <f>_xlfn.IFS(J932&gt;=8,"Hit",J932&gt;=6,"Average",J932&lt;6,"Flop")</f>
        <v>Average</v>
      </c>
      <c r="S932" s="9" t="str">
        <f>_xlfn.IFS(K932&gt;=400,"Blockbuster",K932&gt;=200,"Popular",K932&lt;200,"Normal")</f>
        <v>Blockbuster</v>
      </c>
      <c r="T932" s="10" t="str">
        <f>IF(OR(I932="PG",I932="G"),"Yes","No")</f>
        <v>No</v>
      </c>
      <c r="U932" s="11" t="str">
        <f>IF(P932&gt;=100,"High","Low")</f>
        <v>Low</v>
      </c>
      <c r="V932" s="28">
        <f t="shared" si="28"/>
        <v>2.8000000000000007</v>
      </c>
      <c r="W932" s="29">
        <f t="shared" si="29"/>
        <v>123.33333333333334</v>
      </c>
    </row>
    <row r="933" spans="1:23" x14ac:dyDescent="0.3">
      <c r="A933" s="1" t="s">
        <v>2720</v>
      </c>
      <c r="B933" s="1" t="s">
        <v>2721</v>
      </c>
      <c r="C933" s="1" t="s">
        <v>18</v>
      </c>
      <c r="D933" s="1" t="s">
        <v>58</v>
      </c>
      <c r="E933" s="1">
        <v>2020</v>
      </c>
      <c r="F933" s="1" t="s">
        <v>83</v>
      </c>
      <c r="G933" s="1" t="s">
        <v>1554</v>
      </c>
      <c r="H933" s="1">
        <v>139</v>
      </c>
      <c r="I933" s="1" t="s">
        <v>40</v>
      </c>
      <c r="J933" s="1">
        <v>9.1999999999999993</v>
      </c>
      <c r="K933" s="1">
        <v>437.9</v>
      </c>
      <c r="L933" s="1" t="s">
        <v>23</v>
      </c>
      <c r="M933" s="1" t="s">
        <v>42</v>
      </c>
      <c r="N933" s="1" t="s">
        <v>91</v>
      </c>
      <c r="O933" s="1"/>
      <c r="P933" s="1">
        <v>44</v>
      </c>
      <c r="Q933" s="1">
        <v>178.6</v>
      </c>
      <c r="R933" s="8" t="str">
        <f>_xlfn.IFS(J933&gt;=8,"Hit",J933&gt;=6,"Average",J933&lt;6,"Flop")</f>
        <v>Hit</v>
      </c>
      <c r="S933" s="9" t="str">
        <f>_xlfn.IFS(K933&gt;=400,"Blockbuster",K933&gt;=200,"Popular",K933&lt;200,"Normal")</f>
        <v>Blockbuster</v>
      </c>
      <c r="T933" s="10" t="str">
        <f>IF(OR(I933="PG",I933="G"),"Yes","No")</f>
        <v>Yes</v>
      </c>
      <c r="U933" s="11" t="str">
        <f>IF(P933&gt;=100,"High","Low")</f>
        <v>Low</v>
      </c>
      <c r="V933" s="28">
        <f t="shared" si="28"/>
        <v>134.6</v>
      </c>
      <c r="W933" s="29">
        <f t="shared" si="29"/>
        <v>405.90909090909088</v>
      </c>
    </row>
    <row r="934" spans="1:23" x14ac:dyDescent="0.3">
      <c r="A934" s="1" t="s">
        <v>2722</v>
      </c>
      <c r="B934" s="1" t="s">
        <v>2723</v>
      </c>
      <c r="C934" s="1" t="s">
        <v>46</v>
      </c>
      <c r="D934" s="1" t="s">
        <v>117</v>
      </c>
      <c r="E934" s="1">
        <v>2005</v>
      </c>
      <c r="F934" s="1" t="s">
        <v>38</v>
      </c>
      <c r="G934" s="1" t="s">
        <v>2724</v>
      </c>
      <c r="H934" s="1">
        <v>47</v>
      </c>
      <c r="I934" s="1" t="s">
        <v>22</v>
      </c>
      <c r="J934" s="1">
        <v>4.7</v>
      </c>
      <c r="K934" s="1">
        <v>279.89999999999998</v>
      </c>
      <c r="L934" s="1" t="s">
        <v>71</v>
      </c>
      <c r="M934" s="1" t="s">
        <v>42</v>
      </c>
      <c r="N934" s="1" t="s">
        <v>43</v>
      </c>
      <c r="O934" s="1">
        <v>7</v>
      </c>
      <c r="P934" s="1">
        <v>159</v>
      </c>
      <c r="Q934" s="1">
        <v>917.8</v>
      </c>
      <c r="R934" s="8" t="str">
        <f>_xlfn.IFS(J934&gt;=8,"Hit",J934&gt;=6,"Average",J934&lt;6,"Flop")</f>
        <v>Flop</v>
      </c>
      <c r="S934" s="9" t="str">
        <f>_xlfn.IFS(K934&gt;=400,"Blockbuster",K934&gt;=200,"Popular",K934&lt;200,"Normal")</f>
        <v>Popular</v>
      </c>
      <c r="T934" s="10" t="str">
        <f>IF(OR(I934="PG",I934="G"),"Yes","No")</f>
        <v>No</v>
      </c>
      <c r="U934" s="11" t="str">
        <f>IF(P934&gt;=100,"High","Low")</f>
        <v>High</v>
      </c>
      <c r="V934" s="28">
        <f t="shared" si="28"/>
        <v>758.8</v>
      </c>
      <c r="W934" s="29">
        <f t="shared" si="29"/>
        <v>577.23270440251565</v>
      </c>
    </row>
    <row r="935" spans="1:23" x14ac:dyDescent="0.3">
      <c r="A935" s="1" t="s">
        <v>2725</v>
      </c>
      <c r="B935" s="1" t="s">
        <v>2726</v>
      </c>
      <c r="C935" s="1" t="s">
        <v>18</v>
      </c>
      <c r="D935" s="1" t="s">
        <v>19</v>
      </c>
      <c r="E935" s="1">
        <v>2002</v>
      </c>
      <c r="F935" s="1" t="s">
        <v>76</v>
      </c>
      <c r="G935" s="1" t="s">
        <v>2425</v>
      </c>
      <c r="H935" s="1">
        <v>97</v>
      </c>
      <c r="I935" s="1" t="s">
        <v>31</v>
      </c>
      <c r="J935" s="1">
        <v>5.6</v>
      </c>
      <c r="K935" s="1">
        <v>469.5</v>
      </c>
      <c r="L935" s="1" t="s">
        <v>71</v>
      </c>
      <c r="M935" s="1" t="s">
        <v>106</v>
      </c>
      <c r="N935" s="1" t="s">
        <v>86</v>
      </c>
      <c r="O935" s="1"/>
      <c r="P935" s="1">
        <v>165</v>
      </c>
      <c r="Q935" s="1">
        <v>785.6</v>
      </c>
      <c r="R935" s="8" t="str">
        <f>_xlfn.IFS(J935&gt;=8,"Hit",J935&gt;=6,"Average",J935&lt;6,"Flop")</f>
        <v>Flop</v>
      </c>
      <c r="S935" s="9" t="str">
        <f>_xlfn.IFS(K935&gt;=400,"Blockbuster",K935&gt;=200,"Popular",K935&lt;200,"Normal")</f>
        <v>Blockbuster</v>
      </c>
      <c r="T935" s="10" t="str">
        <f>IF(OR(I935="PG",I935="G"),"Yes","No")</f>
        <v>No</v>
      </c>
      <c r="U935" s="11" t="str">
        <f>IF(P935&gt;=100,"High","Low")</f>
        <v>High</v>
      </c>
      <c r="V935" s="28">
        <f t="shared" si="28"/>
        <v>620.6</v>
      </c>
      <c r="W935" s="29">
        <f t="shared" si="29"/>
        <v>476.12121212121218</v>
      </c>
    </row>
    <row r="936" spans="1:23" x14ac:dyDescent="0.3">
      <c r="A936" s="1" t="s">
        <v>2727</v>
      </c>
      <c r="B936" s="1" t="s">
        <v>2728</v>
      </c>
      <c r="C936" s="1" t="s">
        <v>46</v>
      </c>
      <c r="D936" s="1" t="s">
        <v>141</v>
      </c>
      <c r="E936" s="1">
        <v>2017</v>
      </c>
      <c r="F936" s="1" t="s">
        <v>100</v>
      </c>
      <c r="G936" s="1" t="s">
        <v>2729</v>
      </c>
      <c r="H936" s="1">
        <v>41</v>
      </c>
      <c r="I936" s="1" t="s">
        <v>50</v>
      </c>
      <c r="J936" s="1">
        <v>5.9</v>
      </c>
      <c r="K936" s="1">
        <v>89.4</v>
      </c>
      <c r="L936" s="1" t="s">
        <v>65</v>
      </c>
      <c r="M936" s="1" t="s">
        <v>97</v>
      </c>
      <c r="N936" s="1" t="s">
        <v>86</v>
      </c>
      <c r="O936" s="1">
        <v>6</v>
      </c>
      <c r="P936" s="1">
        <v>145</v>
      </c>
      <c r="Q936" s="1">
        <v>716.9</v>
      </c>
      <c r="R936" s="8" t="str">
        <f>_xlfn.IFS(J936&gt;=8,"Hit",J936&gt;=6,"Average",J936&lt;6,"Flop")</f>
        <v>Flop</v>
      </c>
      <c r="S936" s="9" t="str">
        <f>_xlfn.IFS(K936&gt;=400,"Blockbuster",K936&gt;=200,"Popular",K936&lt;200,"Normal")</f>
        <v>Normal</v>
      </c>
      <c r="T936" s="10" t="str">
        <f>IF(OR(I936="PG",I936="G"),"Yes","No")</f>
        <v>Yes</v>
      </c>
      <c r="U936" s="11" t="str">
        <f>IF(P936&gt;=100,"High","Low")</f>
        <v>High</v>
      </c>
      <c r="V936" s="28">
        <f t="shared" si="28"/>
        <v>571.9</v>
      </c>
      <c r="W936" s="29">
        <f t="shared" si="29"/>
        <v>494.41379310344826</v>
      </c>
    </row>
    <row r="937" spans="1:23" x14ac:dyDescent="0.3">
      <c r="A937" s="1" t="s">
        <v>2730</v>
      </c>
      <c r="B937" s="1" t="s">
        <v>2731</v>
      </c>
      <c r="C937" s="1" t="s">
        <v>18</v>
      </c>
      <c r="D937" s="1" t="s">
        <v>19</v>
      </c>
      <c r="E937" s="1">
        <v>2004</v>
      </c>
      <c r="F937" s="1" t="s">
        <v>100</v>
      </c>
      <c r="G937" s="1" t="s">
        <v>200</v>
      </c>
      <c r="H937" s="1">
        <v>154</v>
      </c>
      <c r="I937" s="1" t="s">
        <v>40</v>
      </c>
      <c r="J937" s="1">
        <v>8.4</v>
      </c>
      <c r="K937" s="1">
        <v>300.7</v>
      </c>
      <c r="L937" s="1" t="s">
        <v>23</v>
      </c>
      <c r="M937" s="1" t="s">
        <v>157</v>
      </c>
      <c r="N937" s="1" t="s">
        <v>153</v>
      </c>
      <c r="O937" s="1"/>
      <c r="P937" s="1">
        <v>83</v>
      </c>
      <c r="Q937" s="1">
        <v>485.8</v>
      </c>
      <c r="R937" s="8" t="str">
        <f>_xlfn.IFS(J937&gt;=8,"Hit",J937&gt;=6,"Average",J937&lt;6,"Flop")</f>
        <v>Hit</v>
      </c>
      <c r="S937" s="9" t="str">
        <f>_xlfn.IFS(K937&gt;=400,"Blockbuster",K937&gt;=200,"Popular",K937&lt;200,"Normal")</f>
        <v>Popular</v>
      </c>
      <c r="T937" s="10" t="str">
        <f>IF(OR(I937="PG",I937="G"),"Yes","No")</f>
        <v>Yes</v>
      </c>
      <c r="U937" s="11" t="str">
        <f>IF(P937&gt;=100,"High","Low")</f>
        <v>Low</v>
      </c>
      <c r="V937" s="28">
        <f t="shared" si="28"/>
        <v>402.8</v>
      </c>
      <c r="W937" s="29">
        <f t="shared" si="29"/>
        <v>585.30120481927713</v>
      </c>
    </row>
    <row r="938" spans="1:23" x14ac:dyDescent="0.3">
      <c r="A938" s="1" t="s">
        <v>2732</v>
      </c>
      <c r="B938" s="1" t="s">
        <v>2733</v>
      </c>
      <c r="C938" s="1" t="s">
        <v>46</v>
      </c>
      <c r="D938" s="1" t="s">
        <v>58</v>
      </c>
      <c r="E938" s="1">
        <v>2019</v>
      </c>
      <c r="F938" s="1" t="s">
        <v>76</v>
      </c>
      <c r="G938" s="1" t="s">
        <v>2734</v>
      </c>
      <c r="H938" s="1">
        <v>47</v>
      </c>
      <c r="I938" s="1" t="s">
        <v>31</v>
      </c>
      <c r="J938" s="1">
        <v>4.5999999999999996</v>
      </c>
      <c r="K938" s="1">
        <v>130.19999999999999</v>
      </c>
      <c r="L938" s="1" t="s">
        <v>32</v>
      </c>
      <c r="M938" s="1" t="s">
        <v>132</v>
      </c>
      <c r="N938" s="1" t="s">
        <v>178</v>
      </c>
      <c r="O938" s="1">
        <v>4</v>
      </c>
      <c r="P938" s="1">
        <v>155</v>
      </c>
      <c r="Q938" s="1">
        <v>850.7</v>
      </c>
      <c r="R938" s="8" t="str">
        <f>_xlfn.IFS(J938&gt;=8,"Hit",J938&gt;=6,"Average",J938&lt;6,"Flop")</f>
        <v>Flop</v>
      </c>
      <c r="S938" s="9" t="str">
        <f>_xlfn.IFS(K938&gt;=400,"Blockbuster",K938&gt;=200,"Popular",K938&lt;200,"Normal")</f>
        <v>Normal</v>
      </c>
      <c r="T938" s="10" t="str">
        <f>IF(OR(I938="PG",I938="G"),"Yes","No")</f>
        <v>No</v>
      </c>
      <c r="U938" s="11" t="str">
        <f>IF(P938&gt;=100,"High","Low")</f>
        <v>High</v>
      </c>
      <c r="V938" s="28">
        <f t="shared" si="28"/>
        <v>695.7</v>
      </c>
      <c r="W938" s="29">
        <f t="shared" si="29"/>
        <v>548.83870967741939</v>
      </c>
    </row>
    <row r="939" spans="1:23" x14ac:dyDescent="0.3">
      <c r="A939" s="1" t="s">
        <v>2735</v>
      </c>
      <c r="B939" s="1" t="s">
        <v>2736</v>
      </c>
      <c r="C939" s="1" t="s">
        <v>18</v>
      </c>
      <c r="D939" s="1" t="s">
        <v>28</v>
      </c>
      <c r="E939" s="1">
        <v>2000</v>
      </c>
      <c r="F939" s="1" t="s">
        <v>122</v>
      </c>
      <c r="G939" s="1" t="s">
        <v>2737</v>
      </c>
      <c r="H939" s="1">
        <v>81</v>
      </c>
      <c r="I939" s="1" t="s">
        <v>50</v>
      </c>
      <c r="J939" s="1">
        <v>5.4</v>
      </c>
      <c r="K939" s="1">
        <v>299.39999999999998</v>
      </c>
      <c r="L939" s="1" t="s">
        <v>41</v>
      </c>
      <c r="M939" s="1" t="s">
        <v>157</v>
      </c>
      <c r="N939" s="1" t="s">
        <v>153</v>
      </c>
      <c r="O939" s="1"/>
      <c r="P939" s="1">
        <v>111</v>
      </c>
      <c r="Q939" s="1">
        <v>668.8</v>
      </c>
      <c r="R939" s="8" t="str">
        <f>_xlfn.IFS(J939&gt;=8,"Hit",J939&gt;=6,"Average",J939&lt;6,"Flop")</f>
        <v>Flop</v>
      </c>
      <c r="S939" s="9" t="str">
        <f>_xlfn.IFS(K939&gt;=400,"Blockbuster",K939&gt;=200,"Popular",K939&lt;200,"Normal")</f>
        <v>Popular</v>
      </c>
      <c r="T939" s="10" t="str">
        <f>IF(OR(I939="PG",I939="G"),"Yes","No")</f>
        <v>Yes</v>
      </c>
      <c r="U939" s="11" t="str">
        <f>IF(P939&gt;=100,"High","Low")</f>
        <v>High</v>
      </c>
      <c r="V939" s="28">
        <f t="shared" si="28"/>
        <v>557.79999999999995</v>
      </c>
      <c r="W939" s="29">
        <f t="shared" si="29"/>
        <v>602.52252252252254</v>
      </c>
    </row>
    <row r="940" spans="1:23" x14ac:dyDescent="0.3">
      <c r="A940" s="1" t="s">
        <v>2738</v>
      </c>
      <c r="B940" s="1" t="s">
        <v>2739</v>
      </c>
      <c r="C940" s="1" t="s">
        <v>18</v>
      </c>
      <c r="D940" s="1" t="s">
        <v>37</v>
      </c>
      <c r="E940" s="1">
        <v>2024</v>
      </c>
      <c r="F940" s="1" t="s">
        <v>29</v>
      </c>
      <c r="G940" s="1" t="s">
        <v>1192</v>
      </c>
      <c r="H940" s="1">
        <v>154</v>
      </c>
      <c r="I940" s="1" t="s">
        <v>22</v>
      </c>
      <c r="J940" s="1">
        <v>5.8</v>
      </c>
      <c r="K940" s="1">
        <v>533.70000000000005</v>
      </c>
      <c r="L940" s="1" t="s">
        <v>32</v>
      </c>
      <c r="M940" s="1" t="s">
        <v>85</v>
      </c>
      <c r="N940" s="1" t="s">
        <v>91</v>
      </c>
      <c r="O940" s="1"/>
      <c r="P940" s="1">
        <v>64</v>
      </c>
      <c r="Q940" s="1">
        <v>396.3</v>
      </c>
      <c r="R940" s="8" t="str">
        <f>_xlfn.IFS(J940&gt;=8,"Hit",J940&gt;=6,"Average",J940&lt;6,"Flop")</f>
        <v>Flop</v>
      </c>
      <c r="S940" s="9" t="str">
        <f>_xlfn.IFS(K940&gt;=400,"Blockbuster",K940&gt;=200,"Popular",K940&lt;200,"Normal")</f>
        <v>Blockbuster</v>
      </c>
      <c r="T940" s="10" t="str">
        <f>IF(OR(I940="PG",I940="G"),"Yes","No")</f>
        <v>No</v>
      </c>
      <c r="U940" s="11" t="str">
        <f>IF(P940&gt;=100,"High","Low")</f>
        <v>Low</v>
      </c>
      <c r="V940" s="28">
        <f t="shared" si="28"/>
        <v>332.3</v>
      </c>
      <c r="W940" s="29">
        <f t="shared" si="29"/>
        <v>619.21875</v>
      </c>
    </row>
    <row r="941" spans="1:23" x14ac:dyDescent="0.3">
      <c r="A941" s="1" t="s">
        <v>2740</v>
      </c>
      <c r="B941" s="1" t="s">
        <v>2741</v>
      </c>
      <c r="C941" s="1" t="s">
        <v>46</v>
      </c>
      <c r="D941" s="1" t="s">
        <v>75</v>
      </c>
      <c r="E941" s="1">
        <v>2000</v>
      </c>
      <c r="F941" s="1" t="s">
        <v>122</v>
      </c>
      <c r="G941" s="1" t="s">
        <v>2742</v>
      </c>
      <c r="H941" s="1">
        <v>56</v>
      </c>
      <c r="I941" s="1" t="s">
        <v>40</v>
      </c>
      <c r="J941" s="1">
        <v>7.9</v>
      </c>
      <c r="K941" s="1">
        <v>247.5</v>
      </c>
      <c r="L941" s="1" t="s">
        <v>41</v>
      </c>
      <c r="M941" s="1" t="s">
        <v>72</v>
      </c>
      <c r="N941" s="1" t="s">
        <v>86</v>
      </c>
      <c r="O941" s="1">
        <v>4</v>
      </c>
      <c r="P941" s="1">
        <v>152</v>
      </c>
      <c r="Q941" s="1">
        <v>867.5</v>
      </c>
      <c r="R941" s="8" t="str">
        <f>_xlfn.IFS(J941&gt;=8,"Hit",J941&gt;=6,"Average",J941&lt;6,"Flop")</f>
        <v>Average</v>
      </c>
      <c r="S941" s="9" t="str">
        <f>_xlfn.IFS(K941&gt;=400,"Blockbuster",K941&gt;=200,"Popular",K941&lt;200,"Normal")</f>
        <v>Popular</v>
      </c>
      <c r="T941" s="10" t="str">
        <f>IF(OR(I941="PG",I941="G"),"Yes","No")</f>
        <v>Yes</v>
      </c>
      <c r="U941" s="11" t="str">
        <f>IF(P941&gt;=100,"High","Low")</f>
        <v>High</v>
      </c>
      <c r="V941" s="28">
        <f t="shared" si="28"/>
        <v>715.5</v>
      </c>
      <c r="W941" s="29">
        <f t="shared" si="29"/>
        <v>570.72368421052624</v>
      </c>
    </row>
    <row r="942" spans="1:23" x14ac:dyDescent="0.3">
      <c r="A942" s="1" t="s">
        <v>2743</v>
      </c>
      <c r="B942" s="1" t="s">
        <v>2744</v>
      </c>
      <c r="C942" s="1" t="s">
        <v>18</v>
      </c>
      <c r="D942" s="1" t="s">
        <v>19</v>
      </c>
      <c r="E942" s="1">
        <v>2021</v>
      </c>
      <c r="F942" s="1" t="s">
        <v>29</v>
      </c>
      <c r="G942" s="1" t="s">
        <v>2745</v>
      </c>
      <c r="H942" s="1">
        <v>104</v>
      </c>
      <c r="I942" s="1" t="s">
        <v>50</v>
      </c>
      <c r="J942" s="1">
        <v>5.5</v>
      </c>
      <c r="K942" s="1">
        <v>544.29999999999995</v>
      </c>
      <c r="L942" s="1" t="s">
        <v>65</v>
      </c>
      <c r="M942" s="1" t="s">
        <v>78</v>
      </c>
      <c r="N942" s="1" t="s">
        <v>91</v>
      </c>
      <c r="O942" s="1"/>
      <c r="P942" s="1">
        <v>62</v>
      </c>
      <c r="Q942" s="1">
        <v>305.8</v>
      </c>
      <c r="R942" s="8" t="str">
        <f>_xlfn.IFS(J942&gt;=8,"Hit",J942&gt;=6,"Average",J942&lt;6,"Flop")</f>
        <v>Flop</v>
      </c>
      <c r="S942" s="9" t="str">
        <f>_xlfn.IFS(K942&gt;=400,"Blockbuster",K942&gt;=200,"Popular",K942&lt;200,"Normal")</f>
        <v>Blockbuster</v>
      </c>
      <c r="T942" s="10" t="str">
        <f>IF(OR(I942="PG",I942="G"),"Yes","No")</f>
        <v>Yes</v>
      </c>
      <c r="U942" s="11" t="str">
        <f>IF(P942&gt;=100,"High","Low")</f>
        <v>Low</v>
      </c>
      <c r="V942" s="28">
        <f t="shared" si="28"/>
        <v>243.8</v>
      </c>
      <c r="W942" s="29">
        <f t="shared" si="29"/>
        <v>493.22580645161293</v>
      </c>
    </row>
    <row r="943" spans="1:23" x14ac:dyDescent="0.3">
      <c r="A943" s="1" t="s">
        <v>2746</v>
      </c>
      <c r="B943" s="1" t="s">
        <v>2747</v>
      </c>
      <c r="C943" s="1" t="s">
        <v>46</v>
      </c>
      <c r="D943" s="1" t="s">
        <v>82</v>
      </c>
      <c r="E943" s="1">
        <v>2022</v>
      </c>
      <c r="F943" s="1" t="s">
        <v>48</v>
      </c>
      <c r="G943" s="1" t="s">
        <v>1684</v>
      </c>
      <c r="H943" s="1">
        <v>58</v>
      </c>
      <c r="I943" s="1" t="s">
        <v>110</v>
      </c>
      <c r="J943" s="1">
        <v>8.1999999999999993</v>
      </c>
      <c r="K943" s="1">
        <v>581</v>
      </c>
      <c r="L943" s="1" t="s">
        <v>171</v>
      </c>
      <c r="M943" s="1" t="s">
        <v>78</v>
      </c>
      <c r="N943" s="1" t="s">
        <v>43</v>
      </c>
      <c r="O943" s="1">
        <v>4</v>
      </c>
      <c r="P943" s="1">
        <v>22</v>
      </c>
      <c r="Q943" s="1">
        <v>71.599999999999994</v>
      </c>
      <c r="R943" s="8" t="str">
        <f>_xlfn.IFS(J943&gt;=8,"Hit",J943&gt;=6,"Average",J943&lt;6,"Flop")</f>
        <v>Hit</v>
      </c>
      <c r="S943" s="9" t="str">
        <f>_xlfn.IFS(K943&gt;=400,"Blockbuster",K943&gt;=200,"Popular",K943&lt;200,"Normal")</f>
        <v>Blockbuster</v>
      </c>
      <c r="T943" s="10" t="str">
        <f>IF(OR(I943="PG",I943="G"),"Yes","No")</f>
        <v>No</v>
      </c>
      <c r="U943" s="11" t="str">
        <f>IF(P943&gt;=100,"High","Low")</f>
        <v>Low</v>
      </c>
      <c r="V943" s="28">
        <f t="shared" si="28"/>
        <v>49.599999999999994</v>
      </c>
      <c r="W943" s="29">
        <f t="shared" si="29"/>
        <v>325.45454545454544</v>
      </c>
    </row>
    <row r="944" spans="1:23" x14ac:dyDescent="0.3">
      <c r="A944" s="1" t="s">
        <v>2748</v>
      </c>
      <c r="B944" s="1" t="s">
        <v>2749</v>
      </c>
      <c r="C944" s="1" t="s">
        <v>46</v>
      </c>
      <c r="D944" s="1" t="s">
        <v>141</v>
      </c>
      <c r="E944" s="1">
        <v>2019</v>
      </c>
      <c r="F944" s="1" t="s">
        <v>100</v>
      </c>
      <c r="G944" s="1" t="s">
        <v>2750</v>
      </c>
      <c r="H944" s="1">
        <v>54</v>
      </c>
      <c r="I944" s="1" t="s">
        <v>50</v>
      </c>
      <c r="J944" s="1">
        <v>6.2</v>
      </c>
      <c r="K944" s="1">
        <v>342.4</v>
      </c>
      <c r="L944" s="1" t="s">
        <v>90</v>
      </c>
      <c r="M944" s="1" t="s">
        <v>124</v>
      </c>
      <c r="N944" s="1" t="s">
        <v>55</v>
      </c>
      <c r="O944" s="1">
        <v>8</v>
      </c>
      <c r="P944" s="1">
        <v>77</v>
      </c>
      <c r="Q944" s="1">
        <v>239.5</v>
      </c>
      <c r="R944" s="8" t="str">
        <f>_xlfn.IFS(J944&gt;=8,"Hit",J944&gt;=6,"Average",J944&lt;6,"Flop")</f>
        <v>Average</v>
      </c>
      <c r="S944" s="9" t="str">
        <f>_xlfn.IFS(K944&gt;=400,"Blockbuster",K944&gt;=200,"Popular",K944&lt;200,"Normal")</f>
        <v>Popular</v>
      </c>
      <c r="T944" s="10" t="str">
        <f>IF(OR(I944="PG",I944="G"),"Yes","No")</f>
        <v>Yes</v>
      </c>
      <c r="U944" s="11" t="str">
        <f>IF(P944&gt;=100,"High","Low")</f>
        <v>Low</v>
      </c>
      <c r="V944" s="28">
        <f t="shared" si="28"/>
        <v>162.5</v>
      </c>
      <c r="W944" s="29">
        <f t="shared" si="29"/>
        <v>311.03896103896102</v>
      </c>
    </row>
    <row r="945" spans="1:23" x14ac:dyDescent="0.3">
      <c r="A945" s="1" t="s">
        <v>2751</v>
      </c>
      <c r="B945" s="1" t="s">
        <v>2752</v>
      </c>
      <c r="C945" s="1" t="s">
        <v>18</v>
      </c>
      <c r="D945" s="1" t="s">
        <v>19</v>
      </c>
      <c r="E945" s="1">
        <v>2015</v>
      </c>
      <c r="F945" s="1" t="s">
        <v>20</v>
      </c>
      <c r="G945" s="1" t="s">
        <v>2753</v>
      </c>
      <c r="H945" s="1">
        <v>119</v>
      </c>
      <c r="I945" s="1" t="s">
        <v>40</v>
      </c>
      <c r="J945" s="1">
        <v>6.5</v>
      </c>
      <c r="K945" s="1">
        <v>507</v>
      </c>
      <c r="L945" s="1" t="s">
        <v>71</v>
      </c>
      <c r="M945" s="1" t="s">
        <v>54</v>
      </c>
      <c r="N945" s="1" t="s">
        <v>43</v>
      </c>
      <c r="O945" s="1"/>
      <c r="P945" s="1">
        <v>101</v>
      </c>
      <c r="Q945" s="1">
        <v>640.1</v>
      </c>
      <c r="R945" s="8" t="str">
        <f>_xlfn.IFS(J945&gt;=8,"Hit",J945&gt;=6,"Average",J945&lt;6,"Flop")</f>
        <v>Average</v>
      </c>
      <c r="S945" s="9" t="str">
        <f>_xlfn.IFS(K945&gt;=400,"Blockbuster",K945&gt;=200,"Popular",K945&lt;200,"Normal")</f>
        <v>Blockbuster</v>
      </c>
      <c r="T945" s="10" t="str">
        <f>IF(OR(I945="PG",I945="G"),"Yes","No")</f>
        <v>Yes</v>
      </c>
      <c r="U945" s="11" t="str">
        <f>IF(P945&gt;=100,"High","Low")</f>
        <v>High</v>
      </c>
      <c r="V945" s="28">
        <f t="shared" si="28"/>
        <v>539.1</v>
      </c>
      <c r="W945" s="29">
        <f t="shared" si="29"/>
        <v>633.7623762376237</v>
      </c>
    </row>
    <row r="946" spans="1:23" x14ac:dyDescent="0.3">
      <c r="A946" s="1" t="s">
        <v>2754</v>
      </c>
      <c r="B946" s="1" t="s">
        <v>2755</v>
      </c>
      <c r="C946" s="1" t="s">
        <v>18</v>
      </c>
      <c r="D946" s="1" t="s">
        <v>19</v>
      </c>
      <c r="E946" s="1">
        <v>2002</v>
      </c>
      <c r="F946" s="1" t="s">
        <v>95</v>
      </c>
      <c r="G946" s="1" t="s">
        <v>2756</v>
      </c>
      <c r="H946" s="1">
        <v>141</v>
      </c>
      <c r="I946" s="1" t="s">
        <v>31</v>
      </c>
      <c r="J946" s="1">
        <v>7</v>
      </c>
      <c r="K946" s="1">
        <v>191.2</v>
      </c>
      <c r="L946" s="1" t="s">
        <v>171</v>
      </c>
      <c r="M946" s="1" t="s">
        <v>111</v>
      </c>
      <c r="N946" s="1" t="s">
        <v>86</v>
      </c>
      <c r="O946" s="1"/>
      <c r="P946" s="1">
        <v>69</v>
      </c>
      <c r="Q946" s="1">
        <v>258.7</v>
      </c>
      <c r="R946" s="8" t="str">
        <f>_xlfn.IFS(J946&gt;=8,"Hit",J946&gt;=6,"Average",J946&lt;6,"Flop")</f>
        <v>Average</v>
      </c>
      <c r="S946" s="9" t="str">
        <f>_xlfn.IFS(K946&gt;=400,"Blockbuster",K946&gt;=200,"Popular",K946&lt;200,"Normal")</f>
        <v>Normal</v>
      </c>
      <c r="T946" s="10" t="str">
        <f>IF(OR(I946="PG",I946="G"),"Yes","No")</f>
        <v>No</v>
      </c>
      <c r="U946" s="11" t="str">
        <f>IF(P946&gt;=100,"High","Low")</f>
        <v>Low</v>
      </c>
      <c r="V946" s="28">
        <f t="shared" si="28"/>
        <v>189.7</v>
      </c>
      <c r="W946" s="29">
        <f t="shared" si="29"/>
        <v>374.92753623188406</v>
      </c>
    </row>
    <row r="947" spans="1:23" x14ac:dyDescent="0.3">
      <c r="A947" s="1" t="s">
        <v>2757</v>
      </c>
      <c r="B947" s="1" t="s">
        <v>2758</v>
      </c>
      <c r="C947" s="1" t="s">
        <v>46</v>
      </c>
      <c r="D947" s="1" t="s">
        <v>117</v>
      </c>
      <c r="E947" s="1">
        <v>2002</v>
      </c>
      <c r="F947" s="1" t="s">
        <v>38</v>
      </c>
      <c r="G947" s="1" t="s">
        <v>2759</v>
      </c>
      <c r="H947" s="1">
        <v>34</v>
      </c>
      <c r="I947" s="1" t="s">
        <v>40</v>
      </c>
      <c r="J947" s="1">
        <v>5.3</v>
      </c>
      <c r="K947" s="1">
        <v>149.6</v>
      </c>
      <c r="L947" s="1" t="s">
        <v>32</v>
      </c>
      <c r="M947" s="1" t="s">
        <v>78</v>
      </c>
      <c r="N947" s="1" t="s">
        <v>91</v>
      </c>
      <c r="O947" s="1">
        <v>4</v>
      </c>
      <c r="P947" s="1">
        <v>21</v>
      </c>
      <c r="Q947" s="1">
        <v>53.6</v>
      </c>
      <c r="R947" s="8" t="str">
        <f>_xlfn.IFS(J947&gt;=8,"Hit",J947&gt;=6,"Average",J947&lt;6,"Flop")</f>
        <v>Flop</v>
      </c>
      <c r="S947" s="9" t="str">
        <f>_xlfn.IFS(K947&gt;=400,"Blockbuster",K947&gt;=200,"Popular",K947&lt;200,"Normal")</f>
        <v>Normal</v>
      </c>
      <c r="T947" s="10" t="str">
        <f>IF(OR(I947="PG",I947="G"),"Yes","No")</f>
        <v>Yes</v>
      </c>
      <c r="U947" s="11" t="str">
        <f>IF(P947&gt;=100,"High","Low")</f>
        <v>Low</v>
      </c>
      <c r="V947" s="28">
        <f t="shared" si="28"/>
        <v>32.6</v>
      </c>
      <c r="W947" s="29">
        <f t="shared" si="29"/>
        <v>255.23809523809527</v>
      </c>
    </row>
    <row r="948" spans="1:23" x14ac:dyDescent="0.3">
      <c r="A948" s="1" t="s">
        <v>2760</v>
      </c>
      <c r="B948" s="1" t="s">
        <v>2761</v>
      </c>
      <c r="C948" s="1" t="s">
        <v>18</v>
      </c>
      <c r="D948" s="1" t="s">
        <v>28</v>
      </c>
      <c r="E948" s="1">
        <v>2022</v>
      </c>
      <c r="F948" s="1" t="s">
        <v>38</v>
      </c>
      <c r="G948" s="1" t="s">
        <v>2762</v>
      </c>
      <c r="H948" s="1">
        <v>147</v>
      </c>
      <c r="I948" s="1" t="s">
        <v>22</v>
      </c>
      <c r="J948" s="1">
        <v>6.8</v>
      </c>
      <c r="K948" s="1">
        <v>299.60000000000002</v>
      </c>
      <c r="L948" s="1" t="s">
        <v>171</v>
      </c>
      <c r="M948" s="1" t="s">
        <v>132</v>
      </c>
      <c r="N948" s="1" t="s">
        <v>67</v>
      </c>
      <c r="O948" s="1"/>
      <c r="P948" s="1">
        <v>141</v>
      </c>
      <c r="Q948" s="1">
        <v>352.9</v>
      </c>
      <c r="R948" s="8" t="str">
        <f>_xlfn.IFS(J948&gt;=8,"Hit",J948&gt;=6,"Average",J948&lt;6,"Flop")</f>
        <v>Average</v>
      </c>
      <c r="S948" s="9" t="str">
        <f>_xlfn.IFS(K948&gt;=400,"Blockbuster",K948&gt;=200,"Popular",K948&lt;200,"Normal")</f>
        <v>Popular</v>
      </c>
      <c r="T948" s="10" t="str">
        <f>IF(OR(I948="PG",I948="G"),"Yes","No")</f>
        <v>No</v>
      </c>
      <c r="U948" s="11" t="str">
        <f>IF(P948&gt;=100,"High","Low")</f>
        <v>High</v>
      </c>
      <c r="V948" s="28">
        <f t="shared" si="28"/>
        <v>211.89999999999998</v>
      </c>
      <c r="W948" s="29">
        <f t="shared" si="29"/>
        <v>250.28368794326238</v>
      </c>
    </row>
    <row r="949" spans="1:23" x14ac:dyDescent="0.3">
      <c r="A949" s="1" t="s">
        <v>2763</v>
      </c>
      <c r="B949" s="1" t="s">
        <v>2764</v>
      </c>
      <c r="C949" s="1" t="s">
        <v>46</v>
      </c>
      <c r="D949" s="1" t="s">
        <v>19</v>
      </c>
      <c r="E949" s="1">
        <v>2025</v>
      </c>
      <c r="F949" s="1" t="s">
        <v>38</v>
      </c>
      <c r="G949" s="1" t="s">
        <v>2145</v>
      </c>
      <c r="H949" s="1">
        <v>47</v>
      </c>
      <c r="I949" s="1" t="s">
        <v>31</v>
      </c>
      <c r="J949" s="1">
        <v>7.9</v>
      </c>
      <c r="K949" s="1">
        <v>344</v>
      </c>
      <c r="L949" s="1" t="s">
        <v>90</v>
      </c>
      <c r="M949" s="1" t="s">
        <v>106</v>
      </c>
      <c r="N949" s="1" t="s">
        <v>91</v>
      </c>
      <c r="O949" s="1">
        <v>1</v>
      </c>
      <c r="P949" s="1">
        <v>192</v>
      </c>
      <c r="Q949" s="1">
        <v>528</v>
      </c>
      <c r="R949" s="8" t="str">
        <f>_xlfn.IFS(J949&gt;=8,"Hit",J949&gt;=6,"Average",J949&lt;6,"Flop")</f>
        <v>Average</v>
      </c>
      <c r="S949" s="9" t="str">
        <f>_xlfn.IFS(K949&gt;=400,"Blockbuster",K949&gt;=200,"Popular",K949&lt;200,"Normal")</f>
        <v>Popular</v>
      </c>
      <c r="T949" s="10" t="str">
        <f>IF(OR(I949="PG",I949="G"),"Yes","No")</f>
        <v>No</v>
      </c>
      <c r="U949" s="11" t="str">
        <f>IF(P949&gt;=100,"High","Low")</f>
        <v>High</v>
      </c>
      <c r="V949" s="28">
        <f t="shared" si="28"/>
        <v>336</v>
      </c>
      <c r="W949" s="29">
        <f t="shared" si="29"/>
        <v>275</v>
      </c>
    </row>
    <row r="950" spans="1:23" x14ac:dyDescent="0.3">
      <c r="A950" s="1" t="s">
        <v>2765</v>
      </c>
      <c r="B950" s="1" t="s">
        <v>2766</v>
      </c>
      <c r="C950" s="1" t="s">
        <v>46</v>
      </c>
      <c r="D950" s="1" t="s">
        <v>63</v>
      </c>
      <c r="E950" s="1">
        <v>2003</v>
      </c>
      <c r="F950" s="1" t="s">
        <v>83</v>
      </c>
      <c r="G950" s="1" t="s">
        <v>2767</v>
      </c>
      <c r="H950" s="1">
        <v>40</v>
      </c>
      <c r="I950" s="1" t="s">
        <v>40</v>
      </c>
      <c r="J950" s="1">
        <v>7.2</v>
      </c>
      <c r="K950" s="1">
        <v>510.4</v>
      </c>
      <c r="L950" s="1" t="s">
        <v>71</v>
      </c>
      <c r="M950" s="1" t="s">
        <v>157</v>
      </c>
      <c r="N950" s="1" t="s">
        <v>178</v>
      </c>
      <c r="O950" s="1">
        <v>3</v>
      </c>
      <c r="P950" s="1">
        <v>135</v>
      </c>
      <c r="Q950" s="1">
        <v>743.4</v>
      </c>
      <c r="R950" s="8" t="str">
        <f>_xlfn.IFS(J950&gt;=8,"Hit",J950&gt;=6,"Average",J950&lt;6,"Flop")</f>
        <v>Average</v>
      </c>
      <c r="S950" s="9" t="str">
        <f>_xlfn.IFS(K950&gt;=400,"Blockbuster",K950&gt;=200,"Popular",K950&lt;200,"Normal")</f>
        <v>Blockbuster</v>
      </c>
      <c r="T950" s="10" t="str">
        <f>IF(OR(I950="PG",I950="G"),"Yes","No")</f>
        <v>Yes</v>
      </c>
      <c r="U950" s="11" t="str">
        <f>IF(P950&gt;=100,"High","Low")</f>
        <v>High</v>
      </c>
      <c r="V950" s="28">
        <f t="shared" si="28"/>
        <v>608.4</v>
      </c>
      <c r="W950" s="29">
        <f t="shared" si="29"/>
        <v>550.66666666666663</v>
      </c>
    </row>
    <row r="951" spans="1:23" x14ac:dyDescent="0.3">
      <c r="A951" s="1" t="s">
        <v>2768</v>
      </c>
      <c r="B951" s="1" t="s">
        <v>2769</v>
      </c>
      <c r="C951" s="1" t="s">
        <v>46</v>
      </c>
      <c r="D951" s="1" t="s">
        <v>141</v>
      </c>
      <c r="E951" s="1">
        <v>2025</v>
      </c>
      <c r="F951" s="1" t="s">
        <v>38</v>
      </c>
      <c r="G951" s="1" t="s">
        <v>363</v>
      </c>
      <c r="H951" s="1">
        <v>52</v>
      </c>
      <c r="I951" s="1" t="s">
        <v>50</v>
      </c>
      <c r="J951" s="1">
        <v>6.8</v>
      </c>
      <c r="K951" s="1">
        <v>490.3</v>
      </c>
      <c r="L951" s="1" t="s">
        <v>90</v>
      </c>
      <c r="M951" s="1" t="s">
        <v>72</v>
      </c>
      <c r="N951" s="1" t="s">
        <v>119</v>
      </c>
      <c r="O951" s="1">
        <v>2</v>
      </c>
      <c r="P951" s="1">
        <v>23</v>
      </c>
      <c r="Q951" s="1">
        <v>61.4</v>
      </c>
      <c r="R951" s="8" t="str">
        <f>_xlfn.IFS(J951&gt;=8,"Hit",J951&gt;=6,"Average",J951&lt;6,"Flop")</f>
        <v>Average</v>
      </c>
      <c r="S951" s="9" t="str">
        <f>_xlfn.IFS(K951&gt;=400,"Blockbuster",K951&gt;=200,"Popular",K951&lt;200,"Normal")</f>
        <v>Blockbuster</v>
      </c>
      <c r="T951" s="10" t="str">
        <f>IF(OR(I951="PG",I951="G"),"Yes","No")</f>
        <v>Yes</v>
      </c>
      <c r="U951" s="11" t="str">
        <f>IF(P951&gt;=100,"High","Low")</f>
        <v>Low</v>
      </c>
      <c r="V951" s="28">
        <f t="shared" si="28"/>
        <v>38.4</v>
      </c>
      <c r="W951" s="29">
        <f t="shared" si="29"/>
        <v>266.95652173913044</v>
      </c>
    </row>
    <row r="952" spans="1:23" x14ac:dyDescent="0.3">
      <c r="A952" s="1" t="s">
        <v>2770</v>
      </c>
      <c r="B952" s="1" t="s">
        <v>2771</v>
      </c>
      <c r="C952" s="1" t="s">
        <v>46</v>
      </c>
      <c r="D952" s="1" t="s">
        <v>117</v>
      </c>
      <c r="E952" s="1">
        <v>2012</v>
      </c>
      <c r="F952" s="1" t="s">
        <v>29</v>
      </c>
      <c r="G952" s="1" t="s">
        <v>2772</v>
      </c>
      <c r="H952" s="1">
        <v>51</v>
      </c>
      <c r="I952" s="1" t="s">
        <v>40</v>
      </c>
      <c r="J952" s="1">
        <v>8.9</v>
      </c>
      <c r="K952" s="1">
        <v>142.19999999999999</v>
      </c>
      <c r="L952" s="1" t="s">
        <v>65</v>
      </c>
      <c r="M952" s="1" t="s">
        <v>72</v>
      </c>
      <c r="N952" s="1" t="s">
        <v>178</v>
      </c>
      <c r="O952" s="1">
        <v>8</v>
      </c>
      <c r="P952" s="1">
        <v>9</v>
      </c>
      <c r="Q952" s="1">
        <v>40.1</v>
      </c>
      <c r="R952" s="8" t="str">
        <f>_xlfn.IFS(J952&gt;=8,"Hit",J952&gt;=6,"Average",J952&lt;6,"Flop")</f>
        <v>Hit</v>
      </c>
      <c r="S952" s="9" t="str">
        <f>_xlfn.IFS(K952&gt;=400,"Blockbuster",K952&gt;=200,"Popular",K952&lt;200,"Normal")</f>
        <v>Normal</v>
      </c>
      <c r="T952" s="10" t="str">
        <f>IF(OR(I952="PG",I952="G"),"Yes","No")</f>
        <v>Yes</v>
      </c>
      <c r="U952" s="11" t="str">
        <f>IF(P952&gt;=100,"High","Low")</f>
        <v>Low</v>
      </c>
      <c r="V952" s="28">
        <f t="shared" si="28"/>
        <v>31.1</v>
      </c>
      <c r="W952" s="29">
        <f t="shared" si="29"/>
        <v>445.55555555555554</v>
      </c>
    </row>
    <row r="953" spans="1:23" x14ac:dyDescent="0.3">
      <c r="A953" s="1" t="s">
        <v>2773</v>
      </c>
      <c r="B953" s="1" t="s">
        <v>2774</v>
      </c>
      <c r="C953" s="1" t="s">
        <v>46</v>
      </c>
      <c r="D953" s="1" t="s">
        <v>75</v>
      </c>
      <c r="E953" s="1">
        <v>2011</v>
      </c>
      <c r="F953" s="1" t="s">
        <v>48</v>
      </c>
      <c r="G953" s="1" t="s">
        <v>2775</v>
      </c>
      <c r="H953" s="1">
        <v>33</v>
      </c>
      <c r="I953" s="1" t="s">
        <v>50</v>
      </c>
      <c r="J953" s="1">
        <v>5.2</v>
      </c>
      <c r="K953" s="1">
        <v>324.89999999999998</v>
      </c>
      <c r="L953" s="1" t="s">
        <v>32</v>
      </c>
      <c r="M953" s="1" t="s">
        <v>97</v>
      </c>
      <c r="N953" s="1" t="s">
        <v>67</v>
      </c>
      <c r="O953" s="1">
        <v>7</v>
      </c>
      <c r="P953" s="1">
        <v>168</v>
      </c>
      <c r="Q953" s="1">
        <v>746.1</v>
      </c>
      <c r="R953" s="8" t="str">
        <f>_xlfn.IFS(J953&gt;=8,"Hit",J953&gt;=6,"Average",J953&lt;6,"Flop")</f>
        <v>Flop</v>
      </c>
      <c r="S953" s="9" t="str">
        <f>_xlfn.IFS(K953&gt;=400,"Blockbuster",K953&gt;=200,"Popular",K953&lt;200,"Normal")</f>
        <v>Popular</v>
      </c>
      <c r="T953" s="10" t="str">
        <f>IF(OR(I953="PG",I953="G"),"Yes","No")</f>
        <v>Yes</v>
      </c>
      <c r="U953" s="11" t="str">
        <f>IF(P953&gt;=100,"High","Low")</f>
        <v>High</v>
      </c>
      <c r="V953" s="28">
        <f t="shared" si="28"/>
        <v>578.1</v>
      </c>
      <c r="W953" s="29">
        <f t="shared" si="29"/>
        <v>444.10714285714289</v>
      </c>
    </row>
    <row r="954" spans="1:23" x14ac:dyDescent="0.3">
      <c r="A954" s="1" t="s">
        <v>2776</v>
      </c>
      <c r="B954" s="1" t="s">
        <v>2777</v>
      </c>
      <c r="C954" s="1" t="s">
        <v>18</v>
      </c>
      <c r="D954" s="1" t="s">
        <v>37</v>
      </c>
      <c r="E954" s="1">
        <v>2017</v>
      </c>
      <c r="F954" s="1" t="s">
        <v>95</v>
      </c>
      <c r="G954" s="1" t="s">
        <v>2778</v>
      </c>
      <c r="H954" s="1">
        <v>164</v>
      </c>
      <c r="I954" s="1" t="s">
        <v>50</v>
      </c>
      <c r="J954" s="1">
        <v>8.9</v>
      </c>
      <c r="K954" s="1">
        <v>153.6</v>
      </c>
      <c r="L954" s="1" t="s">
        <v>171</v>
      </c>
      <c r="M954" s="1" t="s">
        <v>78</v>
      </c>
      <c r="N954" s="1" t="s">
        <v>55</v>
      </c>
      <c r="O954" s="1"/>
      <c r="P954" s="1">
        <v>195</v>
      </c>
      <c r="Q954" s="1">
        <v>955.9</v>
      </c>
      <c r="R954" s="8" t="str">
        <f>_xlfn.IFS(J954&gt;=8,"Hit",J954&gt;=6,"Average",J954&lt;6,"Flop")</f>
        <v>Hit</v>
      </c>
      <c r="S954" s="9" t="str">
        <f>_xlfn.IFS(K954&gt;=400,"Blockbuster",K954&gt;=200,"Popular",K954&lt;200,"Normal")</f>
        <v>Normal</v>
      </c>
      <c r="T954" s="10" t="str">
        <f>IF(OR(I954="PG",I954="G"),"Yes","No")</f>
        <v>Yes</v>
      </c>
      <c r="U954" s="11" t="str">
        <f>IF(P954&gt;=100,"High","Low")</f>
        <v>High</v>
      </c>
      <c r="V954" s="28">
        <f t="shared" si="28"/>
        <v>760.9</v>
      </c>
      <c r="W954" s="29">
        <f t="shared" si="29"/>
        <v>490.20512820512818</v>
      </c>
    </row>
    <row r="955" spans="1:23" x14ac:dyDescent="0.3">
      <c r="A955" s="1" t="s">
        <v>2779</v>
      </c>
      <c r="B955" s="1" t="s">
        <v>2780</v>
      </c>
      <c r="C955" s="1" t="s">
        <v>46</v>
      </c>
      <c r="D955" s="1" t="s">
        <v>75</v>
      </c>
      <c r="E955" s="1">
        <v>2015</v>
      </c>
      <c r="F955" s="1" t="s">
        <v>100</v>
      </c>
      <c r="G955" s="1" t="s">
        <v>1067</v>
      </c>
      <c r="H955" s="1">
        <v>59</v>
      </c>
      <c r="I955" s="1" t="s">
        <v>31</v>
      </c>
      <c r="J955" s="1">
        <v>6.9</v>
      </c>
      <c r="K955" s="1">
        <v>87.2</v>
      </c>
      <c r="L955" s="1" t="s">
        <v>23</v>
      </c>
      <c r="M955" s="1" t="s">
        <v>42</v>
      </c>
      <c r="N955" s="1" t="s">
        <v>67</v>
      </c>
      <c r="O955" s="1">
        <v>6</v>
      </c>
      <c r="P955" s="1">
        <v>59</v>
      </c>
      <c r="Q955" s="1">
        <v>305</v>
      </c>
      <c r="R955" s="8" t="str">
        <f>_xlfn.IFS(J955&gt;=8,"Hit",J955&gt;=6,"Average",J955&lt;6,"Flop")</f>
        <v>Average</v>
      </c>
      <c r="S955" s="9" t="str">
        <f>_xlfn.IFS(K955&gt;=400,"Blockbuster",K955&gt;=200,"Popular",K955&lt;200,"Normal")</f>
        <v>Normal</v>
      </c>
      <c r="T955" s="10" t="str">
        <f>IF(OR(I955="PG",I955="G"),"Yes","No")</f>
        <v>No</v>
      </c>
      <c r="U955" s="11" t="str">
        <f>IF(P955&gt;=100,"High","Low")</f>
        <v>Low</v>
      </c>
      <c r="V955" s="28">
        <f t="shared" si="28"/>
        <v>246</v>
      </c>
      <c r="W955" s="29">
        <f t="shared" si="29"/>
        <v>516.94915254237287</v>
      </c>
    </row>
    <row r="956" spans="1:23" x14ac:dyDescent="0.3">
      <c r="A956" s="1" t="s">
        <v>2781</v>
      </c>
      <c r="B956" s="1" t="s">
        <v>2782</v>
      </c>
      <c r="C956" s="1" t="s">
        <v>18</v>
      </c>
      <c r="D956" s="1" t="s">
        <v>58</v>
      </c>
      <c r="E956" s="1">
        <v>2006</v>
      </c>
      <c r="F956" s="1" t="s">
        <v>38</v>
      </c>
      <c r="G956" s="1" t="s">
        <v>2783</v>
      </c>
      <c r="H956" s="1">
        <v>126</v>
      </c>
      <c r="I956" s="1" t="s">
        <v>50</v>
      </c>
      <c r="J956" s="1">
        <v>9.1</v>
      </c>
      <c r="K956" s="1">
        <v>559.29999999999995</v>
      </c>
      <c r="L956" s="1" t="s">
        <v>41</v>
      </c>
      <c r="M956" s="1" t="s">
        <v>106</v>
      </c>
      <c r="N956" s="1" t="s">
        <v>60</v>
      </c>
      <c r="O956" s="1"/>
      <c r="P956" s="1">
        <v>128</v>
      </c>
      <c r="Q956" s="1">
        <v>256.2</v>
      </c>
      <c r="R956" s="8" t="str">
        <f>_xlfn.IFS(J956&gt;=8,"Hit",J956&gt;=6,"Average",J956&lt;6,"Flop")</f>
        <v>Hit</v>
      </c>
      <c r="S956" s="9" t="str">
        <f>_xlfn.IFS(K956&gt;=400,"Blockbuster",K956&gt;=200,"Popular",K956&lt;200,"Normal")</f>
        <v>Blockbuster</v>
      </c>
      <c r="T956" s="10" t="str">
        <f>IF(OR(I956="PG",I956="G"),"Yes","No")</f>
        <v>Yes</v>
      </c>
      <c r="U956" s="11" t="str">
        <f>IF(P956&gt;=100,"High","Low")</f>
        <v>High</v>
      </c>
      <c r="V956" s="28">
        <f t="shared" si="28"/>
        <v>128.19999999999999</v>
      </c>
      <c r="W956" s="29">
        <f t="shared" si="29"/>
        <v>200.15625</v>
      </c>
    </row>
    <row r="957" spans="1:23" x14ac:dyDescent="0.3">
      <c r="A957" s="1" t="s">
        <v>2784</v>
      </c>
      <c r="B957" s="1" t="s">
        <v>2785</v>
      </c>
      <c r="C957" s="1" t="s">
        <v>18</v>
      </c>
      <c r="D957" s="1" t="s">
        <v>58</v>
      </c>
      <c r="E957" s="1">
        <v>2006</v>
      </c>
      <c r="F957" s="1" t="s">
        <v>95</v>
      </c>
      <c r="G957" s="1" t="s">
        <v>2148</v>
      </c>
      <c r="H957" s="1">
        <v>144</v>
      </c>
      <c r="I957" s="1" t="s">
        <v>31</v>
      </c>
      <c r="J957" s="1">
        <v>8.5</v>
      </c>
      <c r="K957" s="1">
        <v>166.8</v>
      </c>
      <c r="L957" s="1" t="s">
        <v>71</v>
      </c>
      <c r="M957" s="1" t="s">
        <v>24</v>
      </c>
      <c r="N957" s="1" t="s">
        <v>34</v>
      </c>
      <c r="O957" s="1"/>
      <c r="P957" s="1">
        <v>79</v>
      </c>
      <c r="Q957" s="1">
        <v>346.5</v>
      </c>
      <c r="R957" s="8" t="str">
        <f>_xlfn.IFS(J957&gt;=8,"Hit",J957&gt;=6,"Average",J957&lt;6,"Flop")</f>
        <v>Hit</v>
      </c>
      <c r="S957" s="9" t="str">
        <f>_xlfn.IFS(K957&gt;=400,"Blockbuster",K957&gt;=200,"Popular",K957&lt;200,"Normal")</f>
        <v>Normal</v>
      </c>
      <c r="T957" s="10" t="str">
        <f>IF(OR(I957="PG",I957="G"),"Yes","No")</f>
        <v>No</v>
      </c>
      <c r="U957" s="11" t="str">
        <f>IF(P957&gt;=100,"High","Low")</f>
        <v>Low</v>
      </c>
      <c r="V957" s="28">
        <f t="shared" si="28"/>
        <v>267.5</v>
      </c>
      <c r="W957" s="29">
        <f t="shared" si="29"/>
        <v>438.60759493670889</v>
      </c>
    </row>
    <row r="958" spans="1:23" x14ac:dyDescent="0.3">
      <c r="A958" s="1" t="s">
        <v>2786</v>
      </c>
      <c r="B958" s="1" t="s">
        <v>2787</v>
      </c>
      <c r="C958" s="1" t="s">
        <v>18</v>
      </c>
      <c r="D958" s="1" t="s">
        <v>47</v>
      </c>
      <c r="E958" s="1">
        <v>2000</v>
      </c>
      <c r="F958" s="1" t="s">
        <v>100</v>
      </c>
      <c r="G958" s="1" t="s">
        <v>2788</v>
      </c>
      <c r="H958" s="1">
        <v>168</v>
      </c>
      <c r="I958" s="1" t="s">
        <v>22</v>
      </c>
      <c r="J958" s="1">
        <v>8.3000000000000007</v>
      </c>
      <c r="K958" s="1">
        <v>483.4</v>
      </c>
      <c r="L958" s="1" t="s">
        <v>23</v>
      </c>
      <c r="M958" s="1" t="s">
        <v>97</v>
      </c>
      <c r="N958" s="1" t="s">
        <v>67</v>
      </c>
      <c r="O958" s="1"/>
      <c r="P958" s="1">
        <v>24</v>
      </c>
      <c r="Q958" s="1">
        <v>38.799999999999997</v>
      </c>
      <c r="R958" s="8" t="str">
        <f>_xlfn.IFS(J958&gt;=8,"Hit",J958&gt;=6,"Average",J958&lt;6,"Flop")</f>
        <v>Hit</v>
      </c>
      <c r="S958" s="9" t="str">
        <f>_xlfn.IFS(K958&gt;=400,"Blockbuster",K958&gt;=200,"Popular",K958&lt;200,"Normal")</f>
        <v>Blockbuster</v>
      </c>
      <c r="T958" s="10" t="str">
        <f>IF(OR(I958="PG",I958="G"),"Yes","No")</f>
        <v>No</v>
      </c>
      <c r="U958" s="11" t="str">
        <f>IF(P958&gt;=100,"High","Low")</f>
        <v>Low</v>
      </c>
      <c r="V958" s="28">
        <f t="shared" si="28"/>
        <v>14.799999999999997</v>
      </c>
      <c r="W958" s="29">
        <f t="shared" si="29"/>
        <v>161.66666666666666</v>
      </c>
    </row>
    <row r="959" spans="1:23" x14ac:dyDescent="0.3">
      <c r="A959" s="1" t="s">
        <v>2789</v>
      </c>
      <c r="B959" s="1" t="s">
        <v>2790</v>
      </c>
      <c r="C959" s="1" t="s">
        <v>46</v>
      </c>
      <c r="D959" s="1" t="s">
        <v>141</v>
      </c>
      <c r="E959" s="1">
        <v>2023</v>
      </c>
      <c r="F959" s="1" t="s">
        <v>29</v>
      </c>
      <c r="G959" s="1" t="s">
        <v>1751</v>
      </c>
      <c r="H959" s="1">
        <v>54</v>
      </c>
      <c r="I959" s="1" t="s">
        <v>50</v>
      </c>
      <c r="J959" s="1">
        <v>6.1</v>
      </c>
      <c r="K959" s="1">
        <v>291.5</v>
      </c>
      <c r="L959" s="1" t="s">
        <v>41</v>
      </c>
      <c r="M959" s="1" t="s">
        <v>132</v>
      </c>
      <c r="N959" s="1" t="s">
        <v>91</v>
      </c>
      <c r="O959" s="1">
        <v>5</v>
      </c>
      <c r="P959" s="1">
        <v>198</v>
      </c>
      <c r="Q959" s="1">
        <v>1265.2</v>
      </c>
      <c r="R959" s="8" t="str">
        <f>_xlfn.IFS(J959&gt;=8,"Hit",J959&gt;=6,"Average",J959&lt;6,"Flop")</f>
        <v>Average</v>
      </c>
      <c r="S959" s="9" t="str">
        <f>_xlfn.IFS(K959&gt;=400,"Blockbuster",K959&gt;=200,"Popular",K959&lt;200,"Normal")</f>
        <v>Popular</v>
      </c>
      <c r="T959" s="10" t="str">
        <f>IF(OR(I959="PG",I959="G"),"Yes","No")</f>
        <v>Yes</v>
      </c>
      <c r="U959" s="11" t="str">
        <f>IF(P959&gt;=100,"High","Low")</f>
        <v>High</v>
      </c>
      <c r="V959" s="28">
        <f t="shared" si="28"/>
        <v>1067.2</v>
      </c>
      <c r="W959" s="29">
        <f t="shared" si="29"/>
        <v>638.98989898989896</v>
      </c>
    </row>
    <row r="960" spans="1:23" x14ac:dyDescent="0.3">
      <c r="A960" s="1" t="s">
        <v>2791</v>
      </c>
      <c r="B960" s="1" t="s">
        <v>2792</v>
      </c>
      <c r="C960" s="1" t="s">
        <v>18</v>
      </c>
      <c r="D960" s="1" t="s">
        <v>63</v>
      </c>
      <c r="E960" s="1">
        <v>2016</v>
      </c>
      <c r="F960" s="1" t="s">
        <v>29</v>
      </c>
      <c r="G960" s="1" t="s">
        <v>2793</v>
      </c>
      <c r="H960" s="1">
        <v>162</v>
      </c>
      <c r="I960" s="1" t="s">
        <v>110</v>
      </c>
      <c r="J960" s="1">
        <v>7</v>
      </c>
      <c r="K960" s="1">
        <v>353.9</v>
      </c>
      <c r="L960" s="1" t="s">
        <v>65</v>
      </c>
      <c r="M960" s="1" t="s">
        <v>157</v>
      </c>
      <c r="N960" s="1" t="s">
        <v>79</v>
      </c>
      <c r="O960" s="1"/>
      <c r="P960" s="1">
        <v>103</v>
      </c>
      <c r="Q960" s="1">
        <v>462.9</v>
      </c>
      <c r="R960" s="8" t="str">
        <f>_xlfn.IFS(J960&gt;=8,"Hit",J960&gt;=6,"Average",J960&lt;6,"Flop")</f>
        <v>Average</v>
      </c>
      <c r="S960" s="9" t="str">
        <f>_xlfn.IFS(K960&gt;=400,"Blockbuster",K960&gt;=200,"Popular",K960&lt;200,"Normal")</f>
        <v>Popular</v>
      </c>
      <c r="T960" s="10" t="str">
        <f>IF(OR(I960="PG",I960="G"),"Yes","No")</f>
        <v>No</v>
      </c>
      <c r="U960" s="11" t="str">
        <f>IF(P960&gt;=100,"High","Low")</f>
        <v>High</v>
      </c>
      <c r="V960" s="28">
        <f t="shared" si="28"/>
        <v>359.9</v>
      </c>
      <c r="W960" s="29">
        <f t="shared" si="29"/>
        <v>449.4174757281553</v>
      </c>
    </row>
    <row r="961" spans="1:23" x14ac:dyDescent="0.3">
      <c r="A961" s="1" t="s">
        <v>2794</v>
      </c>
      <c r="B961" s="1" t="s">
        <v>2795</v>
      </c>
      <c r="C961" s="1" t="s">
        <v>46</v>
      </c>
      <c r="D961" s="1" t="s">
        <v>63</v>
      </c>
      <c r="E961" s="1">
        <v>2006</v>
      </c>
      <c r="F961" s="1" t="s">
        <v>20</v>
      </c>
      <c r="G961" s="1" t="s">
        <v>2796</v>
      </c>
      <c r="H961" s="1">
        <v>52</v>
      </c>
      <c r="I961" s="1" t="s">
        <v>50</v>
      </c>
      <c r="J961" s="1">
        <v>5.8</v>
      </c>
      <c r="K961" s="1">
        <v>485.9</v>
      </c>
      <c r="L961" s="1" t="s">
        <v>65</v>
      </c>
      <c r="M961" s="1" t="s">
        <v>85</v>
      </c>
      <c r="N961" s="1" t="s">
        <v>102</v>
      </c>
      <c r="O961" s="1">
        <v>4</v>
      </c>
      <c r="P961" s="1">
        <v>124</v>
      </c>
      <c r="Q961" s="1">
        <v>429.7</v>
      </c>
      <c r="R961" s="8" t="str">
        <f>_xlfn.IFS(J961&gt;=8,"Hit",J961&gt;=6,"Average",J961&lt;6,"Flop")</f>
        <v>Flop</v>
      </c>
      <c r="S961" s="9" t="str">
        <f>_xlfn.IFS(K961&gt;=400,"Blockbuster",K961&gt;=200,"Popular",K961&lt;200,"Normal")</f>
        <v>Blockbuster</v>
      </c>
      <c r="T961" s="10" t="str">
        <f>IF(OR(I961="PG",I961="G"),"Yes","No")</f>
        <v>Yes</v>
      </c>
      <c r="U961" s="11" t="str">
        <f>IF(P961&gt;=100,"High","Low")</f>
        <v>High</v>
      </c>
      <c r="V961" s="28">
        <f t="shared" si="28"/>
        <v>305.7</v>
      </c>
      <c r="W961" s="29">
        <f t="shared" si="29"/>
        <v>346.53225806451616</v>
      </c>
    </row>
    <row r="962" spans="1:23" x14ac:dyDescent="0.3">
      <c r="A962" s="1" t="s">
        <v>2797</v>
      </c>
      <c r="B962" s="1" t="s">
        <v>2798</v>
      </c>
      <c r="C962" s="1" t="s">
        <v>46</v>
      </c>
      <c r="D962" s="1" t="s">
        <v>58</v>
      </c>
      <c r="E962" s="1">
        <v>2007</v>
      </c>
      <c r="F962" s="1" t="s">
        <v>100</v>
      </c>
      <c r="G962" s="1" t="s">
        <v>161</v>
      </c>
      <c r="H962" s="1">
        <v>53</v>
      </c>
      <c r="I962" s="1" t="s">
        <v>50</v>
      </c>
      <c r="J962" s="1">
        <v>6.1</v>
      </c>
      <c r="K962" s="1">
        <v>129.4</v>
      </c>
      <c r="L962" s="1" t="s">
        <v>90</v>
      </c>
      <c r="M962" s="1" t="s">
        <v>66</v>
      </c>
      <c r="N962" s="1" t="s">
        <v>43</v>
      </c>
      <c r="O962" s="1">
        <v>6</v>
      </c>
      <c r="P962" s="1">
        <v>123</v>
      </c>
      <c r="Q962" s="1">
        <v>430.9</v>
      </c>
      <c r="R962" s="8" t="str">
        <f>_xlfn.IFS(J962&gt;=8,"Hit",J962&gt;=6,"Average",J962&lt;6,"Flop")</f>
        <v>Average</v>
      </c>
      <c r="S962" s="9" t="str">
        <f>_xlfn.IFS(K962&gt;=400,"Blockbuster",K962&gt;=200,"Popular",K962&lt;200,"Normal")</f>
        <v>Normal</v>
      </c>
      <c r="T962" s="10" t="str">
        <f>IF(OR(I962="PG",I962="G"),"Yes","No")</f>
        <v>Yes</v>
      </c>
      <c r="U962" s="11" t="str">
        <f>IF(P962&gt;=100,"High","Low")</f>
        <v>High</v>
      </c>
      <c r="V962" s="28">
        <f t="shared" si="28"/>
        <v>307.89999999999998</v>
      </c>
      <c r="W962" s="29">
        <f t="shared" si="29"/>
        <v>350.32520325203251</v>
      </c>
    </row>
    <row r="963" spans="1:23" x14ac:dyDescent="0.3">
      <c r="A963" s="1" t="s">
        <v>2799</v>
      </c>
      <c r="B963" s="1" t="s">
        <v>2800</v>
      </c>
      <c r="C963" s="1" t="s">
        <v>46</v>
      </c>
      <c r="D963" s="1" t="s">
        <v>94</v>
      </c>
      <c r="E963" s="1">
        <v>2001</v>
      </c>
      <c r="F963" s="1" t="s">
        <v>122</v>
      </c>
      <c r="G963" s="1" t="s">
        <v>2801</v>
      </c>
      <c r="H963" s="1">
        <v>60</v>
      </c>
      <c r="I963" s="1" t="s">
        <v>110</v>
      </c>
      <c r="J963" s="1">
        <v>8.4</v>
      </c>
      <c r="K963" s="1">
        <v>214.4</v>
      </c>
      <c r="L963" s="1" t="s">
        <v>90</v>
      </c>
      <c r="M963" s="1" t="s">
        <v>72</v>
      </c>
      <c r="N963" s="1" t="s">
        <v>128</v>
      </c>
      <c r="O963" s="1">
        <v>4</v>
      </c>
      <c r="P963" s="1">
        <v>135</v>
      </c>
      <c r="Q963" s="1">
        <v>373.4</v>
      </c>
      <c r="R963" s="8" t="str">
        <f>_xlfn.IFS(J963&gt;=8,"Hit",J963&gt;=6,"Average",J963&lt;6,"Flop")</f>
        <v>Hit</v>
      </c>
      <c r="S963" s="9" t="str">
        <f>_xlfn.IFS(K963&gt;=400,"Blockbuster",K963&gt;=200,"Popular",K963&lt;200,"Normal")</f>
        <v>Popular</v>
      </c>
      <c r="T963" s="10" t="str">
        <f>IF(OR(I963="PG",I963="G"),"Yes","No")</f>
        <v>No</v>
      </c>
      <c r="U963" s="11" t="str">
        <f>IF(P963&gt;=100,"High","Low")</f>
        <v>High</v>
      </c>
      <c r="V963" s="28">
        <f t="shared" ref="V963:V1026" si="30">Q963-P963</f>
        <v>238.39999999999998</v>
      </c>
      <c r="W963" s="29">
        <f t="shared" ref="W963:W1026" si="31">(Q963/P963)*100</f>
        <v>276.59259259259261</v>
      </c>
    </row>
    <row r="964" spans="1:23" x14ac:dyDescent="0.3">
      <c r="A964" s="1" t="s">
        <v>2802</v>
      </c>
      <c r="B964" s="1" t="s">
        <v>2803</v>
      </c>
      <c r="C964" s="1" t="s">
        <v>18</v>
      </c>
      <c r="D964" s="1" t="s">
        <v>75</v>
      </c>
      <c r="E964" s="1">
        <v>2016</v>
      </c>
      <c r="F964" s="1" t="s">
        <v>38</v>
      </c>
      <c r="G964" s="1" t="s">
        <v>2804</v>
      </c>
      <c r="H964" s="1">
        <v>113</v>
      </c>
      <c r="I964" s="1" t="s">
        <v>22</v>
      </c>
      <c r="J964" s="1">
        <v>4.7</v>
      </c>
      <c r="K964" s="1">
        <v>453.5</v>
      </c>
      <c r="L964" s="1" t="s">
        <v>90</v>
      </c>
      <c r="M964" s="1" t="s">
        <v>42</v>
      </c>
      <c r="N964" s="1" t="s">
        <v>91</v>
      </c>
      <c r="O964" s="1"/>
      <c r="P964" s="1">
        <v>96</v>
      </c>
      <c r="Q964" s="1">
        <v>566.9</v>
      </c>
      <c r="R964" s="8" t="str">
        <f>_xlfn.IFS(J964&gt;=8,"Hit",J964&gt;=6,"Average",J964&lt;6,"Flop")</f>
        <v>Flop</v>
      </c>
      <c r="S964" s="9" t="str">
        <f>_xlfn.IFS(K964&gt;=400,"Blockbuster",K964&gt;=200,"Popular",K964&lt;200,"Normal")</f>
        <v>Blockbuster</v>
      </c>
      <c r="T964" s="10" t="str">
        <f>IF(OR(I964="PG",I964="G"),"Yes","No")</f>
        <v>No</v>
      </c>
      <c r="U964" s="11" t="str">
        <f>IF(P964&gt;=100,"High","Low")</f>
        <v>Low</v>
      </c>
      <c r="V964" s="28">
        <f t="shared" si="30"/>
        <v>470.9</v>
      </c>
      <c r="W964" s="29">
        <f t="shared" si="31"/>
        <v>590.52083333333337</v>
      </c>
    </row>
    <row r="965" spans="1:23" x14ac:dyDescent="0.3">
      <c r="A965" s="1" t="s">
        <v>2805</v>
      </c>
      <c r="B965" s="1" t="s">
        <v>2806</v>
      </c>
      <c r="C965" s="1" t="s">
        <v>46</v>
      </c>
      <c r="D965" s="1" t="s">
        <v>141</v>
      </c>
      <c r="E965" s="1">
        <v>2001</v>
      </c>
      <c r="F965" s="1" t="s">
        <v>48</v>
      </c>
      <c r="G965" s="1" t="s">
        <v>2499</v>
      </c>
      <c r="H965" s="1">
        <v>38</v>
      </c>
      <c r="I965" s="1" t="s">
        <v>40</v>
      </c>
      <c r="J965" s="1">
        <v>4.5999999999999996</v>
      </c>
      <c r="K965" s="1">
        <v>470</v>
      </c>
      <c r="L965" s="1" t="s">
        <v>41</v>
      </c>
      <c r="M965" s="1" t="s">
        <v>24</v>
      </c>
      <c r="N965" s="1" t="s">
        <v>128</v>
      </c>
      <c r="O965" s="1">
        <v>4</v>
      </c>
      <c r="P965" s="1">
        <v>63</v>
      </c>
      <c r="Q965" s="1">
        <v>190.6</v>
      </c>
      <c r="R965" s="8" t="str">
        <f>_xlfn.IFS(J965&gt;=8,"Hit",J965&gt;=6,"Average",J965&lt;6,"Flop")</f>
        <v>Flop</v>
      </c>
      <c r="S965" s="9" t="str">
        <f>_xlfn.IFS(K965&gt;=400,"Blockbuster",K965&gt;=200,"Popular",K965&lt;200,"Normal")</f>
        <v>Blockbuster</v>
      </c>
      <c r="T965" s="10" t="str">
        <f>IF(OR(I965="PG",I965="G"),"Yes","No")</f>
        <v>Yes</v>
      </c>
      <c r="U965" s="11" t="str">
        <f>IF(P965&gt;=100,"High","Low")</f>
        <v>Low</v>
      </c>
      <c r="V965" s="28">
        <f t="shared" si="30"/>
        <v>127.6</v>
      </c>
      <c r="W965" s="29">
        <f t="shared" si="31"/>
        <v>302.53968253968253</v>
      </c>
    </row>
    <row r="966" spans="1:23" x14ac:dyDescent="0.3">
      <c r="A966" s="1" t="s">
        <v>2807</v>
      </c>
      <c r="B966" s="1" t="s">
        <v>2808</v>
      </c>
      <c r="C966" s="1" t="s">
        <v>18</v>
      </c>
      <c r="D966" s="1" t="s">
        <v>58</v>
      </c>
      <c r="E966" s="1">
        <v>2000</v>
      </c>
      <c r="F966" s="1" t="s">
        <v>83</v>
      </c>
      <c r="G966" s="1" t="s">
        <v>2090</v>
      </c>
      <c r="H966" s="1">
        <v>115</v>
      </c>
      <c r="I966" s="1" t="s">
        <v>110</v>
      </c>
      <c r="J966" s="1">
        <v>6.7</v>
      </c>
      <c r="K966" s="1">
        <v>554.4</v>
      </c>
      <c r="L966" s="1" t="s">
        <v>23</v>
      </c>
      <c r="M966" s="1" t="s">
        <v>42</v>
      </c>
      <c r="N966" s="1" t="s">
        <v>55</v>
      </c>
      <c r="O966" s="1"/>
      <c r="P966" s="1">
        <v>71</v>
      </c>
      <c r="Q966" s="1">
        <v>416.9</v>
      </c>
      <c r="R966" s="8" t="str">
        <f>_xlfn.IFS(J966&gt;=8,"Hit",J966&gt;=6,"Average",J966&lt;6,"Flop")</f>
        <v>Average</v>
      </c>
      <c r="S966" s="9" t="str">
        <f>_xlfn.IFS(K966&gt;=400,"Blockbuster",K966&gt;=200,"Popular",K966&lt;200,"Normal")</f>
        <v>Blockbuster</v>
      </c>
      <c r="T966" s="10" t="str">
        <f>IF(OR(I966="PG",I966="G"),"Yes","No")</f>
        <v>No</v>
      </c>
      <c r="U966" s="11" t="str">
        <f>IF(P966&gt;=100,"High","Low")</f>
        <v>Low</v>
      </c>
      <c r="V966" s="28">
        <f t="shared" si="30"/>
        <v>345.9</v>
      </c>
      <c r="W966" s="29">
        <f t="shared" si="31"/>
        <v>587.1830985915492</v>
      </c>
    </row>
    <row r="967" spans="1:23" x14ac:dyDescent="0.3">
      <c r="A967" s="1" t="s">
        <v>2809</v>
      </c>
      <c r="B967" s="1" t="s">
        <v>2810</v>
      </c>
      <c r="C967" s="1" t="s">
        <v>18</v>
      </c>
      <c r="D967" s="1" t="s">
        <v>94</v>
      </c>
      <c r="E967" s="1">
        <v>2009</v>
      </c>
      <c r="F967" s="1" t="s">
        <v>38</v>
      </c>
      <c r="G967" s="1" t="s">
        <v>2811</v>
      </c>
      <c r="H967" s="1">
        <v>119</v>
      </c>
      <c r="I967" s="1" t="s">
        <v>22</v>
      </c>
      <c r="J967" s="1">
        <v>6.3</v>
      </c>
      <c r="K967" s="1">
        <v>399.1</v>
      </c>
      <c r="L967" s="1" t="s">
        <v>90</v>
      </c>
      <c r="M967" s="1" t="s">
        <v>157</v>
      </c>
      <c r="N967" s="1" t="s">
        <v>55</v>
      </c>
      <c r="O967" s="1"/>
      <c r="P967" s="1">
        <v>165</v>
      </c>
      <c r="Q967" s="1">
        <v>546.79999999999995</v>
      </c>
      <c r="R967" s="8" t="str">
        <f>_xlfn.IFS(J967&gt;=8,"Hit",J967&gt;=6,"Average",J967&lt;6,"Flop")</f>
        <v>Average</v>
      </c>
      <c r="S967" s="9" t="str">
        <f>_xlfn.IFS(K967&gt;=400,"Blockbuster",K967&gt;=200,"Popular",K967&lt;200,"Normal")</f>
        <v>Popular</v>
      </c>
      <c r="T967" s="10" t="str">
        <f>IF(OR(I967="PG",I967="G"),"Yes","No")</f>
        <v>No</v>
      </c>
      <c r="U967" s="11" t="str">
        <f>IF(P967&gt;=100,"High","Low")</f>
        <v>High</v>
      </c>
      <c r="V967" s="28">
        <f t="shared" si="30"/>
        <v>381.79999999999995</v>
      </c>
      <c r="W967" s="29">
        <f t="shared" si="31"/>
        <v>331.39393939393938</v>
      </c>
    </row>
    <row r="968" spans="1:23" x14ac:dyDescent="0.3">
      <c r="A968" s="1" t="s">
        <v>2812</v>
      </c>
      <c r="B968" s="1" t="s">
        <v>2813</v>
      </c>
      <c r="C968" s="1" t="s">
        <v>46</v>
      </c>
      <c r="D968" s="1" t="s">
        <v>58</v>
      </c>
      <c r="E968" s="1">
        <v>2001</v>
      </c>
      <c r="F968" s="1" t="s">
        <v>181</v>
      </c>
      <c r="G968" s="1" t="s">
        <v>2814</v>
      </c>
      <c r="H968" s="1">
        <v>36</v>
      </c>
      <c r="I968" s="1" t="s">
        <v>31</v>
      </c>
      <c r="J968" s="1">
        <v>4.7</v>
      </c>
      <c r="K968" s="1">
        <v>422.5</v>
      </c>
      <c r="L968" s="1" t="s">
        <v>23</v>
      </c>
      <c r="M968" s="1" t="s">
        <v>157</v>
      </c>
      <c r="N968" s="1" t="s">
        <v>102</v>
      </c>
      <c r="O968" s="1">
        <v>5</v>
      </c>
      <c r="P968" s="1">
        <v>139</v>
      </c>
      <c r="Q968" s="1">
        <v>675.5</v>
      </c>
      <c r="R968" s="8" t="str">
        <f>_xlfn.IFS(J968&gt;=8,"Hit",J968&gt;=6,"Average",J968&lt;6,"Flop")</f>
        <v>Flop</v>
      </c>
      <c r="S968" s="9" t="str">
        <f>_xlfn.IFS(K968&gt;=400,"Blockbuster",K968&gt;=200,"Popular",K968&lt;200,"Normal")</f>
        <v>Blockbuster</v>
      </c>
      <c r="T968" s="10" t="str">
        <f>IF(OR(I968="PG",I968="G"),"Yes","No")</f>
        <v>No</v>
      </c>
      <c r="U968" s="11" t="str">
        <f>IF(P968&gt;=100,"High","Low")</f>
        <v>High</v>
      </c>
      <c r="V968" s="28">
        <f t="shared" si="30"/>
        <v>536.5</v>
      </c>
      <c r="W968" s="29">
        <f t="shared" si="31"/>
        <v>485.97122302158277</v>
      </c>
    </row>
    <row r="969" spans="1:23" x14ac:dyDescent="0.3">
      <c r="A969" s="1" t="s">
        <v>2815</v>
      </c>
      <c r="B969" s="1" t="s">
        <v>2816</v>
      </c>
      <c r="C969" s="1" t="s">
        <v>46</v>
      </c>
      <c r="D969" s="1" t="s">
        <v>58</v>
      </c>
      <c r="E969" s="1">
        <v>2004</v>
      </c>
      <c r="F969" s="1" t="s">
        <v>38</v>
      </c>
      <c r="G969" s="1" t="s">
        <v>2817</v>
      </c>
      <c r="H969" s="1">
        <v>34</v>
      </c>
      <c r="I969" s="1" t="s">
        <v>50</v>
      </c>
      <c r="J969" s="1">
        <v>8.4</v>
      </c>
      <c r="K969" s="1">
        <v>463.1</v>
      </c>
      <c r="L969" s="1" t="s">
        <v>32</v>
      </c>
      <c r="M969" s="1" t="s">
        <v>72</v>
      </c>
      <c r="N969" s="1" t="s">
        <v>67</v>
      </c>
      <c r="O969" s="1">
        <v>8</v>
      </c>
      <c r="P969" s="1">
        <v>123</v>
      </c>
      <c r="Q969" s="1">
        <v>669.2</v>
      </c>
      <c r="R969" s="8" t="str">
        <f>_xlfn.IFS(J969&gt;=8,"Hit",J969&gt;=6,"Average",J969&lt;6,"Flop")</f>
        <v>Hit</v>
      </c>
      <c r="S969" s="9" t="str">
        <f>_xlfn.IFS(K969&gt;=400,"Blockbuster",K969&gt;=200,"Popular",K969&lt;200,"Normal")</f>
        <v>Blockbuster</v>
      </c>
      <c r="T969" s="10" t="str">
        <f>IF(OR(I969="PG",I969="G"),"Yes","No")</f>
        <v>Yes</v>
      </c>
      <c r="U969" s="11" t="str">
        <f>IF(P969&gt;=100,"High","Low")</f>
        <v>High</v>
      </c>
      <c r="V969" s="28">
        <f t="shared" si="30"/>
        <v>546.20000000000005</v>
      </c>
      <c r="W969" s="29">
        <f t="shared" si="31"/>
        <v>544.06504065040656</v>
      </c>
    </row>
    <row r="970" spans="1:23" x14ac:dyDescent="0.3">
      <c r="A970" s="1" t="s">
        <v>2818</v>
      </c>
      <c r="B970" s="1" t="s">
        <v>2819</v>
      </c>
      <c r="C970" s="1" t="s">
        <v>18</v>
      </c>
      <c r="D970" s="1" t="s">
        <v>19</v>
      </c>
      <c r="E970" s="1">
        <v>2013</v>
      </c>
      <c r="F970" s="1" t="s">
        <v>76</v>
      </c>
      <c r="G970" s="1" t="s">
        <v>2820</v>
      </c>
      <c r="H970" s="1">
        <v>109</v>
      </c>
      <c r="I970" s="1" t="s">
        <v>50</v>
      </c>
      <c r="J970" s="1">
        <v>4.9000000000000004</v>
      </c>
      <c r="K970" s="1">
        <v>27.6</v>
      </c>
      <c r="L970" s="1" t="s">
        <v>71</v>
      </c>
      <c r="M970" s="1" t="s">
        <v>54</v>
      </c>
      <c r="N970" s="1" t="s">
        <v>128</v>
      </c>
      <c r="O970" s="1"/>
      <c r="P970" s="1">
        <v>131</v>
      </c>
      <c r="Q970" s="1">
        <v>690.2</v>
      </c>
      <c r="R970" s="8" t="str">
        <f>_xlfn.IFS(J970&gt;=8,"Hit",J970&gt;=6,"Average",J970&lt;6,"Flop")</f>
        <v>Flop</v>
      </c>
      <c r="S970" s="9" t="str">
        <f>_xlfn.IFS(K970&gt;=400,"Blockbuster",K970&gt;=200,"Popular",K970&lt;200,"Normal")</f>
        <v>Normal</v>
      </c>
      <c r="T970" s="10" t="str">
        <f>IF(OR(I970="PG",I970="G"),"Yes","No")</f>
        <v>Yes</v>
      </c>
      <c r="U970" s="11" t="str">
        <f>IF(P970&gt;=100,"High","Low")</f>
        <v>High</v>
      </c>
      <c r="V970" s="28">
        <f t="shared" si="30"/>
        <v>559.20000000000005</v>
      </c>
      <c r="W970" s="29">
        <f t="shared" si="31"/>
        <v>526.87022900763361</v>
      </c>
    </row>
    <row r="971" spans="1:23" x14ac:dyDescent="0.3">
      <c r="A971" s="1" t="s">
        <v>2821</v>
      </c>
      <c r="B971" s="1" t="s">
        <v>2822</v>
      </c>
      <c r="C971" s="1" t="s">
        <v>18</v>
      </c>
      <c r="D971" s="1" t="s">
        <v>19</v>
      </c>
      <c r="E971" s="1">
        <v>2006</v>
      </c>
      <c r="F971" s="1" t="s">
        <v>29</v>
      </c>
      <c r="G971" s="1" t="s">
        <v>861</v>
      </c>
      <c r="H971" s="1">
        <v>112</v>
      </c>
      <c r="I971" s="1" t="s">
        <v>40</v>
      </c>
      <c r="J971" s="1">
        <v>9.3000000000000007</v>
      </c>
      <c r="K971" s="1">
        <v>337.4</v>
      </c>
      <c r="L971" s="1" t="s">
        <v>71</v>
      </c>
      <c r="M971" s="1" t="s">
        <v>78</v>
      </c>
      <c r="N971" s="1" t="s">
        <v>178</v>
      </c>
      <c r="O971" s="1"/>
      <c r="P971" s="1">
        <v>65</v>
      </c>
      <c r="Q971" s="1">
        <v>312.10000000000002</v>
      </c>
      <c r="R971" s="8" t="str">
        <f>_xlfn.IFS(J971&gt;=8,"Hit",J971&gt;=6,"Average",J971&lt;6,"Flop")</f>
        <v>Hit</v>
      </c>
      <c r="S971" s="9" t="str">
        <f>_xlfn.IFS(K971&gt;=400,"Blockbuster",K971&gt;=200,"Popular",K971&lt;200,"Normal")</f>
        <v>Popular</v>
      </c>
      <c r="T971" s="10" t="str">
        <f>IF(OR(I971="PG",I971="G"),"Yes","No")</f>
        <v>Yes</v>
      </c>
      <c r="U971" s="11" t="str">
        <f>IF(P971&gt;=100,"High","Low")</f>
        <v>Low</v>
      </c>
      <c r="V971" s="28">
        <f t="shared" si="30"/>
        <v>247.10000000000002</v>
      </c>
      <c r="W971" s="29">
        <f t="shared" si="31"/>
        <v>480.15384615384613</v>
      </c>
    </row>
    <row r="972" spans="1:23" x14ac:dyDescent="0.3">
      <c r="A972" s="1" t="s">
        <v>2823</v>
      </c>
      <c r="B972" s="1" t="s">
        <v>2824</v>
      </c>
      <c r="C972" s="1" t="s">
        <v>46</v>
      </c>
      <c r="D972" s="1" t="s">
        <v>117</v>
      </c>
      <c r="E972" s="1">
        <v>2019</v>
      </c>
      <c r="F972" s="1" t="s">
        <v>83</v>
      </c>
      <c r="G972" s="1" t="s">
        <v>2825</v>
      </c>
      <c r="H972" s="1">
        <v>33</v>
      </c>
      <c r="I972" s="1" t="s">
        <v>50</v>
      </c>
      <c r="J972" s="1">
        <v>7.7</v>
      </c>
      <c r="K972" s="1">
        <v>64.900000000000006</v>
      </c>
      <c r="L972" s="1" t="s">
        <v>71</v>
      </c>
      <c r="M972" s="1" t="s">
        <v>72</v>
      </c>
      <c r="N972" s="1" t="s">
        <v>67</v>
      </c>
      <c r="O972" s="1">
        <v>7</v>
      </c>
      <c r="P972" s="1">
        <v>118</v>
      </c>
      <c r="Q972" s="1">
        <v>663.4</v>
      </c>
      <c r="R972" s="8" t="str">
        <f>_xlfn.IFS(J972&gt;=8,"Hit",J972&gt;=6,"Average",J972&lt;6,"Flop")</f>
        <v>Average</v>
      </c>
      <c r="S972" s="9" t="str">
        <f>_xlfn.IFS(K972&gt;=400,"Blockbuster",K972&gt;=200,"Popular",K972&lt;200,"Normal")</f>
        <v>Normal</v>
      </c>
      <c r="T972" s="10" t="str">
        <f>IF(OR(I972="PG",I972="G"),"Yes","No")</f>
        <v>Yes</v>
      </c>
      <c r="U972" s="11" t="str">
        <f>IF(P972&gt;=100,"High","Low")</f>
        <v>High</v>
      </c>
      <c r="V972" s="28">
        <f t="shared" si="30"/>
        <v>545.4</v>
      </c>
      <c r="W972" s="29">
        <f t="shared" si="31"/>
        <v>562.20338983050851</v>
      </c>
    </row>
    <row r="973" spans="1:23" x14ac:dyDescent="0.3">
      <c r="A973" s="1" t="s">
        <v>2826</v>
      </c>
      <c r="B973" s="1" t="s">
        <v>2827</v>
      </c>
      <c r="C973" s="1" t="s">
        <v>18</v>
      </c>
      <c r="D973" s="1" t="s">
        <v>94</v>
      </c>
      <c r="E973" s="1">
        <v>2018</v>
      </c>
      <c r="F973" s="1" t="s">
        <v>181</v>
      </c>
      <c r="G973" s="1" t="s">
        <v>2327</v>
      </c>
      <c r="H973" s="1">
        <v>110</v>
      </c>
      <c r="I973" s="1" t="s">
        <v>31</v>
      </c>
      <c r="J973" s="1">
        <v>4.7</v>
      </c>
      <c r="K973" s="1">
        <v>56.5</v>
      </c>
      <c r="L973" s="1" t="s">
        <v>71</v>
      </c>
      <c r="M973" s="1" t="s">
        <v>72</v>
      </c>
      <c r="N973" s="1" t="s">
        <v>55</v>
      </c>
      <c r="O973" s="1"/>
      <c r="P973" s="1">
        <v>181</v>
      </c>
      <c r="Q973" s="1">
        <v>361.1</v>
      </c>
      <c r="R973" s="8" t="str">
        <f>_xlfn.IFS(J973&gt;=8,"Hit",J973&gt;=6,"Average",J973&lt;6,"Flop")</f>
        <v>Flop</v>
      </c>
      <c r="S973" s="9" t="str">
        <f>_xlfn.IFS(K973&gt;=400,"Blockbuster",K973&gt;=200,"Popular",K973&lt;200,"Normal")</f>
        <v>Normal</v>
      </c>
      <c r="T973" s="10" t="str">
        <f>IF(OR(I973="PG",I973="G"),"Yes","No")</f>
        <v>No</v>
      </c>
      <c r="U973" s="11" t="str">
        <f>IF(P973&gt;=100,"High","Low")</f>
        <v>High</v>
      </c>
      <c r="V973" s="28">
        <f t="shared" si="30"/>
        <v>180.10000000000002</v>
      </c>
      <c r="W973" s="29">
        <f t="shared" si="31"/>
        <v>199.50276243093924</v>
      </c>
    </row>
    <row r="974" spans="1:23" x14ac:dyDescent="0.3">
      <c r="A974" s="1" t="s">
        <v>2828</v>
      </c>
      <c r="B974" s="1" t="s">
        <v>2829</v>
      </c>
      <c r="C974" s="1" t="s">
        <v>18</v>
      </c>
      <c r="D974" s="1" t="s">
        <v>141</v>
      </c>
      <c r="E974" s="1">
        <v>2009</v>
      </c>
      <c r="F974" s="1" t="s">
        <v>76</v>
      </c>
      <c r="G974" s="1" t="s">
        <v>2830</v>
      </c>
      <c r="H974" s="1">
        <v>176</v>
      </c>
      <c r="I974" s="1" t="s">
        <v>40</v>
      </c>
      <c r="J974" s="1">
        <v>6.1</v>
      </c>
      <c r="K974" s="1">
        <v>494.4</v>
      </c>
      <c r="L974" s="1" t="s">
        <v>171</v>
      </c>
      <c r="M974" s="1" t="s">
        <v>33</v>
      </c>
      <c r="N974" s="1" t="s">
        <v>91</v>
      </c>
      <c r="O974" s="1"/>
      <c r="P974" s="1">
        <v>152</v>
      </c>
      <c r="Q974" s="1">
        <v>373.5</v>
      </c>
      <c r="R974" s="8" t="str">
        <f>_xlfn.IFS(J974&gt;=8,"Hit",J974&gt;=6,"Average",J974&lt;6,"Flop")</f>
        <v>Average</v>
      </c>
      <c r="S974" s="9" t="str">
        <f>_xlfn.IFS(K974&gt;=400,"Blockbuster",K974&gt;=200,"Popular",K974&lt;200,"Normal")</f>
        <v>Blockbuster</v>
      </c>
      <c r="T974" s="10" t="str">
        <f>IF(OR(I974="PG",I974="G"),"Yes","No")</f>
        <v>Yes</v>
      </c>
      <c r="U974" s="11" t="str">
        <f>IF(P974&gt;=100,"High","Low")</f>
        <v>High</v>
      </c>
      <c r="V974" s="28">
        <f t="shared" si="30"/>
        <v>221.5</v>
      </c>
      <c r="W974" s="29">
        <f t="shared" si="31"/>
        <v>245.72368421052633</v>
      </c>
    </row>
    <row r="975" spans="1:23" x14ac:dyDescent="0.3">
      <c r="A975" s="1" t="s">
        <v>2831</v>
      </c>
      <c r="B975" s="1" t="s">
        <v>2832</v>
      </c>
      <c r="C975" s="1" t="s">
        <v>46</v>
      </c>
      <c r="D975" s="1" t="s">
        <v>117</v>
      </c>
      <c r="E975" s="1">
        <v>2011</v>
      </c>
      <c r="F975" s="1" t="s">
        <v>95</v>
      </c>
      <c r="G975" s="1" t="s">
        <v>2833</v>
      </c>
      <c r="H975" s="1">
        <v>53</v>
      </c>
      <c r="I975" s="1" t="s">
        <v>40</v>
      </c>
      <c r="J975" s="1">
        <v>9.5</v>
      </c>
      <c r="K975" s="1">
        <v>177.2</v>
      </c>
      <c r="L975" s="1" t="s">
        <v>32</v>
      </c>
      <c r="M975" s="1" t="s">
        <v>33</v>
      </c>
      <c r="N975" s="1" t="s">
        <v>34</v>
      </c>
      <c r="O975" s="1">
        <v>5</v>
      </c>
      <c r="P975" s="1">
        <v>125</v>
      </c>
      <c r="Q975" s="1">
        <v>410.7</v>
      </c>
      <c r="R975" s="8" t="str">
        <f>_xlfn.IFS(J975&gt;=8,"Hit",J975&gt;=6,"Average",J975&lt;6,"Flop")</f>
        <v>Hit</v>
      </c>
      <c r="S975" s="9" t="str">
        <f>_xlfn.IFS(K975&gt;=400,"Blockbuster",K975&gt;=200,"Popular",K975&lt;200,"Normal")</f>
        <v>Normal</v>
      </c>
      <c r="T975" s="10" t="str">
        <f>IF(OR(I975="PG",I975="G"),"Yes","No")</f>
        <v>Yes</v>
      </c>
      <c r="U975" s="11" t="str">
        <f>IF(P975&gt;=100,"High","Low")</f>
        <v>High</v>
      </c>
      <c r="V975" s="28">
        <f t="shared" si="30"/>
        <v>285.7</v>
      </c>
      <c r="W975" s="29">
        <f t="shared" si="31"/>
        <v>328.56</v>
      </c>
    </row>
    <row r="976" spans="1:23" x14ac:dyDescent="0.3">
      <c r="A976" s="1" t="s">
        <v>2834</v>
      </c>
      <c r="B976" s="1" t="s">
        <v>2835</v>
      </c>
      <c r="C976" s="1" t="s">
        <v>18</v>
      </c>
      <c r="D976" s="1" t="s">
        <v>19</v>
      </c>
      <c r="E976" s="1">
        <v>2022</v>
      </c>
      <c r="F976" s="1" t="s">
        <v>38</v>
      </c>
      <c r="G976" s="1" t="s">
        <v>2836</v>
      </c>
      <c r="H976" s="1">
        <v>149</v>
      </c>
      <c r="I976" s="1" t="s">
        <v>50</v>
      </c>
      <c r="J976" s="1">
        <v>7.4</v>
      </c>
      <c r="K976" s="1">
        <v>471.2</v>
      </c>
      <c r="L976" s="1" t="s">
        <v>41</v>
      </c>
      <c r="M976" s="1" t="s">
        <v>97</v>
      </c>
      <c r="N976" s="1" t="s">
        <v>25</v>
      </c>
      <c r="O976" s="1"/>
      <c r="P976" s="1">
        <v>65</v>
      </c>
      <c r="Q976" s="1">
        <v>101.6</v>
      </c>
      <c r="R976" s="8" t="str">
        <f>_xlfn.IFS(J976&gt;=8,"Hit",J976&gt;=6,"Average",J976&lt;6,"Flop")</f>
        <v>Average</v>
      </c>
      <c r="S976" s="9" t="str">
        <f>_xlfn.IFS(K976&gt;=400,"Blockbuster",K976&gt;=200,"Popular",K976&lt;200,"Normal")</f>
        <v>Blockbuster</v>
      </c>
      <c r="T976" s="10" t="str">
        <f>IF(OR(I976="PG",I976="G"),"Yes","No")</f>
        <v>Yes</v>
      </c>
      <c r="U976" s="11" t="str">
        <f>IF(P976&gt;=100,"High","Low")</f>
        <v>Low</v>
      </c>
      <c r="V976" s="28">
        <f t="shared" si="30"/>
        <v>36.599999999999994</v>
      </c>
      <c r="W976" s="29">
        <f t="shared" si="31"/>
        <v>156.30769230769229</v>
      </c>
    </row>
    <row r="977" spans="1:23" x14ac:dyDescent="0.3">
      <c r="A977" s="1" t="s">
        <v>2837</v>
      </c>
      <c r="B977" s="1" t="s">
        <v>2838</v>
      </c>
      <c r="C977" s="1" t="s">
        <v>18</v>
      </c>
      <c r="D977" s="1" t="s">
        <v>141</v>
      </c>
      <c r="E977" s="1">
        <v>2011</v>
      </c>
      <c r="F977" s="1" t="s">
        <v>76</v>
      </c>
      <c r="G977" s="1" t="s">
        <v>2839</v>
      </c>
      <c r="H977" s="1">
        <v>99</v>
      </c>
      <c r="I977" s="1" t="s">
        <v>40</v>
      </c>
      <c r="J977" s="1">
        <v>5.0999999999999996</v>
      </c>
      <c r="K977" s="1">
        <v>206.6</v>
      </c>
      <c r="L977" s="1" t="s">
        <v>41</v>
      </c>
      <c r="M977" s="1" t="s">
        <v>33</v>
      </c>
      <c r="N977" s="1" t="s">
        <v>102</v>
      </c>
      <c r="O977" s="1"/>
      <c r="P977" s="1">
        <v>166</v>
      </c>
      <c r="Q977" s="1">
        <v>1072.7</v>
      </c>
      <c r="R977" s="8" t="str">
        <f>_xlfn.IFS(J977&gt;=8,"Hit",J977&gt;=6,"Average",J977&lt;6,"Flop")</f>
        <v>Flop</v>
      </c>
      <c r="S977" s="9" t="str">
        <f>_xlfn.IFS(K977&gt;=400,"Blockbuster",K977&gt;=200,"Popular",K977&lt;200,"Normal")</f>
        <v>Popular</v>
      </c>
      <c r="T977" s="10" t="str">
        <f>IF(OR(I977="PG",I977="G"),"Yes","No")</f>
        <v>Yes</v>
      </c>
      <c r="U977" s="11" t="str">
        <f>IF(P977&gt;=100,"High","Low")</f>
        <v>High</v>
      </c>
      <c r="V977" s="28">
        <f t="shared" si="30"/>
        <v>906.7</v>
      </c>
      <c r="W977" s="29">
        <f t="shared" si="31"/>
        <v>646.20481927710841</v>
      </c>
    </row>
    <row r="978" spans="1:23" x14ac:dyDescent="0.3">
      <c r="A978" s="1" t="s">
        <v>2840</v>
      </c>
      <c r="B978" s="1" t="s">
        <v>2841</v>
      </c>
      <c r="C978" s="1" t="s">
        <v>18</v>
      </c>
      <c r="D978" s="1" t="s">
        <v>58</v>
      </c>
      <c r="E978" s="1">
        <v>2016</v>
      </c>
      <c r="F978" s="1" t="s">
        <v>83</v>
      </c>
      <c r="G978" s="1" t="s">
        <v>2842</v>
      </c>
      <c r="H978" s="1">
        <v>165</v>
      </c>
      <c r="I978" s="1" t="s">
        <v>40</v>
      </c>
      <c r="J978" s="1">
        <v>9.1</v>
      </c>
      <c r="K978" s="1">
        <v>60.1</v>
      </c>
      <c r="L978" s="1" t="s">
        <v>90</v>
      </c>
      <c r="M978" s="1" t="s">
        <v>124</v>
      </c>
      <c r="N978" s="1" t="s">
        <v>158</v>
      </c>
      <c r="O978" s="1"/>
      <c r="P978" s="1">
        <v>83</v>
      </c>
      <c r="Q978" s="1">
        <v>141.6</v>
      </c>
      <c r="R978" s="8" t="str">
        <f>_xlfn.IFS(J978&gt;=8,"Hit",J978&gt;=6,"Average",J978&lt;6,"Flop")</f>
        <v>Hit</v>
      </c>
      <c r="S978" s="9" t="str">
        <f>_xlfn.IFS(K978&gt;=400,"Blockbuster",K978&gt;=200,"Popular",K978&lt;200,"Normal")</f>
        <v>Normal</v>
      </c>
      <c r="T978" s="10" t="str">
        <f>IF(OR(I978="PG",I978="G"),"Yes","No")</f>
        <v>Yes</v>
      </c>
      <c r="U978" s="11" t="str">
        <f>IF(P978&gt;=100,"High","Low")</f>
        <v>Low</v>
      </c>
      <c r="V978" s="28">
        <f t="shared" si="30"/>
        <v>58.599999999999994</v>
      </c>
      <c r="W978" s="29">
        <f t="shared" si="31"/>
        <v>170.60240963855421</v>
      </c>
    </row>
    <row r="979" spans="1:23" x14ac:dyDescent="0.3">
      <c r="A979" s="1" t="s">
        <v>2843</v>
      </c>
      <c r="B979" s="1" t="s">
        <v>2844</v>
      </c>
      <c r="C979" s="1" t="s">
        <v>18</v>
      </c>
      <c r="D979" s="1" t="s">
        <v>75</v>
      </c>
      <c r="E979" s="1">
        <v>2009</v>
      </c>
      <c r="F979" s="1" t="s">
        <v>181</v>
      </c>
      <c r="G979" s="1" t="s">
        <v>2845</v>
      </c>
      <c r="H979" s="1">
        <v>150</v>
      </c>
      <c r="I979" s="1" t="s">
        <v>50</v>
      </c>
      <c r="J979" s="1">
        <v>7.7</v>
      </c>
      <c r="K979" s="1">
        <v>527.4</v>
      </c>
      <c r="L979" s="1" t="s">
        <v>90</v>
      </c>
      <c r="M979" s="1" t="s">
        <v>66</v>
      </c>
      <c r="N979" s="1" t="s">
        <v>102</v>
      </c>
      <c r="O979" s="1"/>
      <c r="P979" s="1">
        <v>110</v>
      </c>
      <c r="Q979" s="1">
        <v>350.5</v>
      </c>
      <c r="R979" s="8" t="str">
        <f>_xlfn.IFS(J979&gt;=8,"Hit",J979&gt;=6,"Average",J979&lt;6,"Flop")</f>
        <v>Average</v>
      </c>
      <c r="S979" s="9" t="str">
        <f>_xlfn.IFS(K979&gt;=400,"Blockbuster",K979&gt;=200,"Popular",K979&lt;200,"Normal")</f>
        <v>Blockbuster</v>
      </c>
      <c r="T979" s="10" t="str">
        <f>IF(OR(I979="PG",I979="G"),"Yes","No")</f>
        <v>Yes</v>
      </c>
      <c r="U979" s="11" t="str">
        <f>IF(P979&gt;=100,"High","Low")</f>
        <v>High</v>
      </c>
      <c r="V979" s="28">
        <f t="shared" si="30"/>
        <v>240.5</v>
      </c>
      <c r="W979" s="29">
        <f t="shared" si="31"/>
        <v>318.63636363636363</v>
      </c>
    </row>
    <row r="980" spans="1:23" x14ac:dyDescent="0.3">
      <c r="A980" s="1" t="s">
        <v>2846</v>
      </c>
      <c r="B980" s="1" t="s">
        <v>2847</v>
      </c>
      <c r="C980" s="1" t="s">
        <v>18</v>
      </c>
      <c r="D980" s="1" t="s">
        <v>117</v>
      </c>
      <c r="E980" s="1">
        <v>2002</v>
      </c>
      <c r="F980" s="1" t="s">
        <v>83</v>
      </c>
      <c r="G980" s="1" t="s">
        <v>2848</v>
      </c>
      <c r="H980" s="1">
        <v>155</v>
      </c>
      <c r="I980" s="1" t="s">
        <v>31</v>
      </c>
      <c r="J980" s="1">
        <v>7.9</v>
      </c>
      <c r="K980" s="1">
        <v>468.1</v>
      </c>
      <c r="L980" s="1" t="s">
        <v>32</v>
      </c>
      <c r="M980" s="1" t="s">
        <v>54</v>
      </c>
      <c r="N980" s="1" t="s">
        <v>55</v>
      </c>
      <c r="O980" s="1"/>
      <c r="P980" s="1">
        <v>142</v>
      </c>
      <c r="Q980" s="1">
        <v>334.6</v>
      </c>
      <c r="R980" s="8" t="str">
        <f>_xlfn.IFS(J980&gt;=8,"Hit",J980&gt;=6,"Average",J980&lt;6,"Flop")</f>
        <v>Average</v>
      </c>
      <c r="S980" s="9" t="str">
        <f>_xlfn.IFS(K980&gt;=400,"Blockbuster",K980&gt;=200,"Popular",K980&lt;200,"Normal")</f>
        <v>Blockbuster</v>
      </c>
      <c r="T980" s="10" t="str">
        <f>IF(OR(I980="PG",I980="G"),"Yes","No")</f>
        <v>No</v>
      </c>
      <c r="U980" s="11" t="str">
        <f>IF(P980&gt;=100,"High","Low")</f>
        <v>High</v>
      </c>
      <c r="V980" s="28">
        <f t="shared" si="30"/>
        <v>192.60000000000002</v>
      </c>
      <c r="W980" s="29">
        <f t="shared" si="31"/>
        <v>235.63380281690144</v>
      </c>
    </row>
    <row r="981" spans="1:23" x14ac:dyDescent="0.3">
      <c r="A981" s="1" t="s">
        <v>2849</v>
      </c>
      <c r="B981" s="1" t="s">
        <v>2850</v>
      </c>
      <c r="C981" s="1" t="s">
        <v>18</v>
      </c>
      <c r="D981" s="1" t="s">
        <v>47</v>
      </c>
      <c r="E981" s="1">
        <v>2002</v>
      </c>
      <c r="F981" s="1" t="s">
        <v>38</v>
      </c>
      <c r="G981" s="1" t="s">
        <v>2851</v>
      </c>
      <c r="H981" s="1">
        <v>116</v>
      </c>
      <c r="I981" s="1" t="s">
        <v>50</v>
      </c>
      <c r="J981" s="1">
        <v>8.8000000000000007</v>
      </c>
      <c r="K981" s="1">
        <v>514.79999999999995</v>
      </c>
      <c r="L981" s="1" t="s">
        <v>65</v>
      </c>
      <c r="M981" s="1" t="s">
        <v>72</v>
      </c>
      <c r="N981" s="1" t="s">
        <v>119</v>
      </c>
      <c r="O981" s="1"/>
      <c r="P981" s="1">
        <v>47</v>
      </c>
      <c r="Q981" s="1">
        <v>150.30000000000001</v>
      </c>
      <c r="R981" s="8" t="str">
        <f>_xlfn.IFS(J981&gt;=8,"Hit",J981&gt;=6,"Average",J981&lt;6,"Flop")</f>
        <v>Hit</v>
      </c>
      <c r="S981" s="9" t="str">
        <f>_xlfn.IFS(K981&gt;=400,"Blockbuster",K981&gt;=200,"Popular",K981&lt;200,"Normal")</f>
        <v>Blockbuster</v>
      </c>
      <c r="T981" s="10" t="str">
        <f>IF(OR(I981="PG",I981="G"),"Yes","No")</f>
        <v>Yes</v>
      </c>
      <c r="U981" s="11" t="str">
        <f>IF(P981&gt;=100,"High","Low")</f>
        <v>Low</v>
      </c>
      <c r="V981" s="28">
        <f t="shared" si="30"/>
        <v>103.30000000000001</v>
      </c>
      <c r="W981" s="29">
        <f t="shared" si="31"/>
        <v>319.78723404255322</v>
      </c>
    </row>
    <row r="982" spans="1:23" x14ac:dyDescent="0.3">
      <c r="A982" s="1" t="s">
        <v>2852</v>
      </c>
      <c r="B982" s="1" t="s">
        <v>2853</v>
      </c>
      <c r="C982" s="1" t="s">
        <v>46</v>
      </c>
      <c r="D982" s="1" t="s">
        <v>63</v>
      </c>
      <c r="E982" s="1">
        <v>2001</v>
      </c>
      <c r="F982" s="1" t="s">
        <v>76</v>
      </c>
      <c r="G982" s="1" t="s">
        <v>763</v>
      </c>
      <c r="H982" s="1">
        <v>46</v>
      </c>
      <c r="I982" s="1" t="s">
        <v>40</v>
      </c>
      <c r="J982" s="1">
        <v>4.7</v>
      </c>
      <c r="K982" s="1">
        <v>475.2</v>
      </c>
      <c r="L982" s="1" t="s">
        <v>90</v>
      </c>
      <c r="M982" s="1" t="s">
        <v>24</v>
      </c>
      <c r="N982" s="1" t="s">
        <v>119</v>
      </c>
      <c r="O982" s="1">
        <v>5</v>
      </c>
      <c r="P982" s="1">
        <v>77</v>
      </c>
      <c r="Q982" s="1">
        <v>385.4</v>
      </c>
      <c r="R982" s="8" t="str">
        <f>_xlfn.IFS(J982&gt;=8,"Hit",J982&gt;=6,"Average",J982&lt;6,"Flop")</f>
        <v>Flop</v>
      </c>
      <c r="S982" s="9" t="str">
        <f>_xlfn.IFS(K982&gt;=400,"Blockbuster",K982&gt;=200,"Popular",K982&lt;200,"Normal")</f>
        <v>Blockbuster</v>
      </c>
      <c r="T982" s="10" t="str">
        <f>IF(OR(I982="PG",I982="G"),"Yes","No")</f>
        <v>Yes</v>
      </c>
      <c r="U982" s="11" t="str">
        <f>IF(P982&gt;=100,"High","Low")</f>
        <v>Low</v>
      </c>
      <c r="V982" s="28">
        <f t="shared" si="30"/>
        <v>308.39999999999998</v>
      </c>
      <c r="W982" s="29">
        <f t="shared" si="31"/>
        <v>500.51948051948045</v>
      </c>
    </row>
    <row r="983" spans="1:23" x14ac:dyDescent="0.3">
      <c r="A983" s="1" t="s">
        <v>2854</v>
      </c>
      <c r="B983" s="1" t="s">
        <v>2855</v>
      </c>
      <c r="C983" s="1" t="s">
        <v>46</v>
      </c>
      <c r="D983" s="1" t="s">
        <v>75</v>
      </c>
      <c r="E983" s="1">
        <v>2016</v>
      </c>
      <c r="F983" s="1" t="s">
        <v>122</v>
      </c>
      <c r="G983" s="1" t="s">
        <v>1159</v>
      </c>
      <c r="H983" s="1">
        <v>36</v>
      </c>
      <c r="I983" s="1" t="s">
        <v>31</v>
      </c>
      <c r="J983" s="1">
        <v>5.3</v>
      </c>
      <c r="K983" s="1">
        <v>347.6</v>
      </c>
      <c r="L983" s="1" t="s">
        <v>65</v>
      </c>
      <c r="M983" s="1" t="s">
        <v>132</v>
      </c>
      <c r="N983" s="1" t="s">
        <v>25</v>
      </c>
      <c r="O983" s="1">
        <v>8</v>
      </c>
      <c r="P983" s="1">
        <v>185</v>
      </c>
      <c r="Q983" s="1">
        <v>556.79999999999995</v>
      </c>
      <c r="R983" s="8" t="str">
        <f>_xlfn.IFS(J983&gt;=8,"Hit",J983&gt;=6,"Average",J983&lt;6,"Flop")</f>
        <v>Flop</v>
      </c>
      <c r="S983" s="9" t="str">
        <f>_xlfn.IFS(K983&gt;=400,"Blockbuster",K983&gt;=200,"Popular",K983&lt;200,"Normal")</f>
        <v>Popular</v>
      </c>
      <c r="T983" s="10" t="str">
        <f>IF(OR(I983="PG",I983="G"),"Yes","No")</f>
        <v>No</v>
      </c>
      <c r="U983" s="11" t="str">
        <f>IF(P983&gt;=100,"High","Low")</f>
        <v>High</v>
      </c>
      <c r="V983" s="28">
        <f t="shared" si="30"/>
        <v>371.79999999999995</v>
      </c>
      <c r="W983" s="29">
        <f t="shared" si="31"/>
        <v>300.97297297297297</v>
      </c>
    </row>
    <row r="984" spans="1:23" x14ac:dyDescent="0.3">
      <c r="A984" s="1" t="s">
        <v>2856</v>
      </c>
      <c r="B984" s="1" t="s">
        <v>2857</v>
      </c>
      <c r="C984" s="1" t="s">
        <v>46</v>
      </c>
      <c r="D984" s="1" t="s">
        <v>28</v>
      </c>
      <c r="E984" s="1">
        <v>2014</v>
      </c>
      <c r="F984" s="1" t="s">
        <v>38</v>
      </c>
      <c r="G984" s="1" t="s">
        <v>2858</v>
      </c>
      <c r="H984" s="1">
        <v>55</v>
      </c>
      <c r="I984" s="1" t="s">
        <v>40</v>
      </c>
      <c r="J984" s="1">
        <v>6.7</v>
      </c>
      <c r="K984" s="1">
        <v>356.4</v>
      </c>
      <c r="L984" s="1" t="s">
        <v>32</v>
      </c>
      <c r="M984" s="1" t="s">
        <v>85</v>
      </c>
      <c r="N984" s="1" t="s">
        <v>102</v>
      </c>
      <c r="O984" s="1">
        <v>7</v>
      </c>
      <c r="P984" s="1">
        <v>38</v>
      </c>
      <c r="Q984" s="1">
        <v>179.5</v>
      </c>
      <c r="R984" s="8" t="str">
        <f>_xlfn.IFS(J984&gt;=8,"Hit",J984&gt;=6,"Average",J984&lt;6,"Flop")</f>
        <v>Average</v>
      </c>
      <c r="S984" s="9" t="str">
        <f>_xlfn.IFS(K984&gt;=400,"Blockbuster",K984&gt;=200,"Popular",K984&lt;200,"Normal")</f>
        <v>Popular</v>
      </c>
      <c r="T984" s="10" t="str">
        <f>IF(OR(I984="PG",I984="G"),"Yes","No")</f>
        <v>Yes</v>
      </c>
      <c r="U984" s="11" t="str">
        <f>IF(P984&gt;=100,"High","Low")</f>
        <v>Low</v>
      </c>
      <c r="V984" s="28">
        <f t="shared" si="30"/>
        <v>141.5</v>
      </c>
      <c r="W984" s="29">
        <f t="shared" si="31"/>
        <v>472.36842105263162</v>
      </c>
    </row>
    <row r="985" spans="1:23" x14ac:dyDescent="0.3">
      <c r="A985" s="1" t="s">
        <v>2859</v>
      </c>
      <c r="B985" s="1" t="s">
        <v>2860</v>
      </c>
      <c r="C985" s="1" t="s">
        <v>46</v>
      </c>
      <c r="D985" s="1" t="s">
        <v>47</v>
      </c>
      <c r="E985" s="1">
        <v>2017</v>
      </c>
      <c r="F985" s="1" t="s">
        <v>181</v>
      </c>
      <c r="G985" s="1" t="s">
        <v>2861</v>
      </c>
      <c r="H985" s="1">
        <v>48</v>
      </c>
      <c r="I985" s="1" t="s">
        <v>22</v>
      </c>
      <c r="J985" s="1">
        <v>7.8</v>
      </c>
      <c r="K985" s="1">
        <v>248.4</v>
      </c>
      <c r="L985" s="1" t="s">
        <v>90</v>
      </c>
      <c r="M985" s="1" t="s">
        <v>72</v>
      </c>
      <c r="N985" s="1" t="s">
        <v>128</v>
      </c>
      <c r="O985" s="1">
        <v>4</v>
      </c>
      <c r="P985" s="1">
        <v>118</v>
      </c>
      <c r="Q985" s="1">
        <v>652.29999999999995</v>
      </c>
      <c r="R985" s="8" t="str">
        <f>_xlfn.IFS(J985&gt;=8,"Hit",J985&gt;=6,"Average",J985&lt;6,"Flop")</f>
        <v>Average</v>
      </c>
      <c r="S985" s="9" t="str">
        <f>_xlfn.IFS(K985&gt;=400,"Blockbuster",K985&gt;=200,"Popular",K985&lt;200,"Normal")</f>
        <v>Popular</v>
      </c>
      <c r="T985" s="10" t="str">
        <f>IF(OR(I985="PG",I985="G"),"Yes","No")</f>
        <v>No</v>
      </c>
      <c r="U985" s="11" t="str">
        <f>IF(P985&gt;=100,"High","Low")</f>
        <v>High</v>
      </c>
      <c r="V985" s="28">
        <f t="shared" si="30"/>
        <v>534.29999999999995</v>
      </c>
      <c r="W985" s="29">
        <f t="shared" si="31"/>
        <v>552.79661016949149</v>
      </c>
    </row>
    <row r="986" spans="1:23" x14ac:dyDescent="0.3">
      <c r="A986" s="1" t="s">
        <v>2862</v>
      </c>
      <c r="B986" s="1" t="s">
        <v>2863</v>
      </c>
      <c r="C986" s="1" t="s">
        <v>18</v>
      </c>
      <c r="D986" s="1" t="s">
        <v>37</v>
      </c>
      <c r="E986" s="1">
        <v>2000</v>
      </c>
      <c r="F986" s="1" t="s">
        <v>122</v>
      </c>
      <c r="G986" s="1" t="s">
        <v>518</v>
      </c>
      <c r="H986" s="1">
        <v>142</v>
      </c>
      <c r="I986" s="1" t="s">
        <v>50</v>
      </c>
      <c r="J986" s="1">
        <v>5.2</v>
      </c>
      <c r="K986" s="1">
        <v>255.9</v>
      </c>
      <c r="L986" s="1" t="s">
        <v>90</v>
      </c>
      <c r="M986" s="1" t="s">
        <v>78</v>
      </c>
      <c r="N986" s="1" t="s">
        <v>178</v>
      </c>
      <c r="O986" s="1"/>
      <c r="P986" s="1">
        <v>125</v>
      </c>
      <c r="Q986" s="1">
        <v>470.6</v>
      </c>
      <c r="R986" s="8" t="str">
        <f>_xlfn.IFS(J986&gt;=8,"Hit",J986&gt;=6,"Average",J986&lt;6,"Flop")</f>
        <v>Flop</v>
      </c>
      <c r="S986" s="9" t="str">
        <f>_xlfn.IFS(K986&gt;=400,"Blockbuster",K986&gt;=200,"Popular",K986&lt;200,"Normal")</f>
        <v>Popular</v>
      </c>
      <c r="T986" s="10" t="str">
        <f>IF(OR(I986="PG",I986="G"),"Yes","No")</f>
        <v>Yes</v>
      </c>
      <c r="U986" s="11" t="str">
        <f>IF(P986&gt;=100,"High","Low")</f>
        <v>High</v>
      </c>
      <c r="V986" s="28">
        <f t="shared" si="30"/>
        <v>345.6</v>
      </c>
      <c r="W986" s="29">
        <f t="shared" si="31"/>
        <v>376.48</v>
      </c>
    </row>
    <row r="987" spans="1:23" x14ac:dyDescent="0.3">
      <c r="A987" s="1" t="s">
        <v>2864</v>
      </c>
      <c r="B987" s="1" t="s">
        <v>2865</v>
      </c>
      <c r="C987" s="1" t="s">
        <v>46</v>
      </c>
      <c r="D987" s="1" t="s">
        <v>47</v>
      </c>
      <c r="E987" s="1">
        <v>2021</v>
      </c>
      <c r="F987" s="1" t="s">
        <v>122</v>
      </c>
      <c r="G987" s="1" t="s">
        <v>2131</v>
      </c>
      <c r="H987" s="1">
        <v>33</v>
      </c>
      <c r="I987" s="1" t="s">
        <v>22</v>
      </c>
      <c r="J987" s="1">
        <v>5.7</v>
      </c>
      <c r="K987" s="1">
        <v>566.29999999999995</v>
      </c>
      <c r="L987" s="1" t="s">
        <v>65</v>
      </c>
      <c r="M987" s="1" t="s">
        <v>33</v>
      </c>
      <c r="N987" s="1" t="s">
        <v>86</v>
      </c>
      <c r="O987" s="1">
        <v>5</v>
      </c>
      <c r="P987" s="1">
        <v>39</v>
      </c>
      <c r="Q987" s="1">
        <v>230.5</v>
      </c>
      <c r="R987" s="8" t="str">
        <f>_xlfn.IFS(J987&gt;=8,"Hit",J987&gt;=6,"Average",J987&lt;6,"Flop")</f>
        <v>Flop</v>
      </c>
      <c r="S987" s="9" t="str">
        <f>_xlfn.IFS(K987&gt;=400,"Blockbuster",K987&gt;=200,"Popular",K987&lt;200,"Normal")</f>
        <v>Blockbuster</v>
      </c>
      <c r="T987" s="10" t="str">
        <f>IF(OR(I987="PG",I987="G"),"Yes","No")</f>
        <v>No</v>
      </c>
      <c r="U987" s="11" t="str">
        <f>IF(P987&gt;=100,"High","Low")</f>
        <v>Low</v>
      </c>
      <c r="V987" s="28">
        <f t="shared" si="30"/>
        <v>191.5</v>
      </c>
      <c r="W987" s="29">
        <f t="shared" si="31"/>
        <v>591.02564102564111</v>
      </c>
    </row>
    <row r="988" spans="1:23" x14ac:dyDescent="0.3">
      <c r="A988" s="1" t="s">
        <v>2866</v>
      </c>
      <c r="B988" s="1" t="s">
        <v>2867</v>
      </c>
      <c r="C988" s="1" t="s">
        <v>18</v>
      </c>
      <c r="D988" s="1" t="s">
        <v>19</v>
      </c>
      <c r="E988" s="1">
        <v>2014</v>
      </c>
      <c r="F988" s="1" t="s">
        <v>83</v>
      </c>
      <c r="G988" s="1" t="s">
        <v>2868</v>
      </c>
      <c r="H988" s="1">
        <v>147</v>
      </c>
      <c r="I988" s="1" t="s">
        <v>40</v>
      </c>
      <c r="J988" s="1">
        <v>8.1</v>
      </c>
      <c r="K988" s="1">
        <v>356.7</v>
      </c>
      <c r="L988" s="1" t="s">
        <v>171</v>
      </c>
      <c r="M988" s="1" t="s">
        <v>146</v>
      </c>
      <c r="N988" s="1" t="s">
        <v>119</v>
      </c>
      <c r="O988" s="1"/>
      <c r="P988" s="1">
        <v>126</v>
      </c>
      <c r="Q988" s="1">
        <v>746.4</v>
      </c>
      <c r="R988" s="8" t="str">
        <f>_xlfn.IFS(J988&gt;=8,"Hit",J988&gt;=6,"Average",J988&lt;6,"Flop")</f>
        <v>Hit</v>
      </c>
      <c r="S988" s="9" t="str">
        <f>_xlfn.IFS(K988&gt;=400,"Blockbuster",K988&gt;=200,"Popular",K988&lt;200,"Normal")</f>
        <v>Popular</v>
      </c>
      <c r="T988" s="10" t="str">
        <f>IF(OR(I988="PG",I988="G"),"Yes","No")</f>
        <v>Yes</v>
      </c>
      <c r="U988" s="11" t="str">
        <f>IF(P988&gt;=100,"High","Low")</f>
        <v>High</v>
      </c>
      <c r="V988" s="28">
        <f t="shared" si="30"/>
        <v>620.4</v>
      </c>
      <c r="W988" s="29">
        <f t="shared" si="31"/>
        <v>592.38095238095229</v>
      </c>
    </row>
    <row r="989" spans="1:23" x14ac:dyDescent="0.3">
      <c r="A989" s="1" t="s">
        <v>2869</v>
      </c>
      <c r="B989" s="1" t="s">
        <v>2870</v>
      </c>
      <c r="C989" s="1" t="s">
        <v>46</v>
      </c>
      <c r="D989" s="1" t="s">
        <v>75</v>
      </c>
      <c r="E989" s="1">
        <v>2007</v>
      </c>
      <c r="F989" s="1" t="s">
        <v>122</v>
      </c>
      <c r="G989" s="1" t="s">
        <v>2871</v>
      </c>
      <c r="H989" s="1">
        <v>41</v>
      </c>
      <c r="I989" s="1" t="s">
        <v>40</v>
      </c>
      <c r="J989" s="1">
        <v>9.3000000000000007</v>
      </c>
      <c r="K989" s="1">
        <v>266.10000000000002</v>
      </c>
      <c r="L989" s="1" t="s">
        <v>32</v>
      </c>
      <c r="M989" s="1" t="s">
        <v>24</v>
      </c>
      <c r="N989" s="1" t="s">
        <v>86</v>
      </c>
      <c r="O989" s="1">
        <v>7</v>
      </c>
      <c r="P989" s="1">
        <v>70</v>
      </c>
      <c r="Q989" s="1">
        <v>429.6</v>
      </c>
      <c r="R989" s="8" t="str">
        <f>_xlfn.IFS(J989&gt;=8,"Hit",J989&gt;=6,"Average",J989&lt;6,"Flop")</f>
        <v>Hit</v>
      </c>
      <c r="S989" s="9" t="str">
        <f>_xlfn.IFS(K989&gt;=400,"Blockbuster",K989&gt;=200,"Popular",K989&lt;200,"Normal")</f>
        <v>Popular</v>
      </c>
      <c r="T989" s="10" t="str">
        <f>IF(OR(I989="PG",I989="G"),"Yes","No")</f>
        <v>Yes</v>
      </c>
      <c r="U989" s="11" t="str">
        <f>IF(P989&gt;=100,"High","Low")</f>
        <v>Low</v>
      </c>
      <c r="V989" s="28">
        <f t="shared" si="30"/>
        <v>359.6</v>
      </c>
      <c r="W989" s="29">
        <f t="shared" si="31"/>
        <v>613.71428571428578</v>
      </c>
    </row>
    <row r="990" spans="1:23" x14ac:dyDescent="0.3">
      <c r="A990" s="1" t="s">
        <v>2872</v>
      </c>
      <c r="B990" s="1" t="s">
        <v>2873</v>
      </c>
      <c r="C990" s="1" t="s">
        <v>18</v>
      </c>
      <c r="D990" s="1" t="s">
        <v>94</v>
      </c>
      <c r="E990" s="1">
        <v>2016</v>
      </c>
      <c r="F990" s="1" t="s">
        <v>122</v>
      </c>
      <c r="G990" s="1" t="s">
        <v>2874</v>
      </c>
      <c r="H990" s="1">
        <v>114</v>
      </c>
      <c r="I990" s="1" t="s">
        <v>110</v>
      </c>
      <c r="J990" s="1">
        <v>6.7</v>
      </c>
      <c r="K990" s="1">
        <v>9.6</v>
      </c>
      <c r="L990" s="1" t="s">
        <v>65</v>
      </c>
      <c r="M990" s="1" t="s">
        <v>54</v>
      </c>
      <c r="N990" s="1" t="s">
        <v>178</v>
      </c>
      <c r="O990" s="1"/>
      <c r="P990" s="1">
        <v>149</v>
      </c>
      <c r="Q990" s="1">
        <v>943.4</v>
      </c>
      <c r="R990" s="8" t="str">
        <f>_xlfn.IFS(J990&gt;=8,"Hit",J990&gt;=6,"Average",J990&lt;6,"Flop")</f>
        <v>Average</v>
      </c>
      <c r="S990" s="9" t="str">
        <f>_xlfn.IFS(K990&gt;=400,"Blockbuster",K990&gt;=200,"Popular",K990&lt;200,"Normal")</f>
        <v>Normal</v>
      </c>
      <c r="T990" s="10" t="str">
        <f>IF(OR(I990="PG",I990="G"),"Yes","No")</f>
        <v>No</v>
      </c>
      <c r="U990" s="11" t="str">
        <f>IF(P990&gt;=100,"High","Low")</f>
        <v>High</v>
      </c>
      <c r="V990" s="28">
        <f t="shared" si="30"/>
        <v>794.4</v>
      </c>
      <c r="W990" s="29">
        <f t="shared" si="31"/>
        <v>633.15436241610735</v>
      </c>
    </row>
    <row r="991" spans="1:23" x14ac:dyDescent="0.3">
      <c r="A991" s="1" t="s">
        <v>2875</v>
      </c>
      <c r="B991" s="1" t="s">
        <v>2876</v>
      </c>
      <c r="C991" s="1" t="s">
        <v>46</v>
      </c>
      <c r="D991" s="1" t="s">
        <v>117</v>
      </c>
      <c r="E991" s="1">
        <v>2012</v>
      </c>
      <c r="F991" s="1" t="s">
        <v>76</v>
      </c>
      <c r="G991" s="1" t="s">
        <v>2615</v>
      </c>
      <c r="H991" s="1">
        <v>59</v>
      </c>
      <c r="I991" s="1" t="s">
        <v>50</v>
      </c>
      <c r="J991" s="1">
        <v>7</v>
      </c>
      <c r="K991" s="1">
        <v>541.70000000000005</v>
      </c>
      <c r="L991" s="1" t="s">
        <v>41</v>
      </c>
      <c r="M991" s="1" t="s">
        <v>146</v>
      </c>
      <c r="N991" s="1" t="s">
        <v>158</v>
      </c>
      <c r="O991" s="1">
        <v>7</v>
      </c>
      <c r="P991" s="1">
        <v>166</v>
      </c>
      <c r="Q991" s="1">
        <v>788.9</v>
      </c>
      <c r="R991" s="8" t="str">
        <f>_xlfn.IFS(J991&gt;=8,"Hit",J991&gt;=6,"Average",J991&lt;6,"Flop")</f>
        <v>Average</v>
      </c>
      <c r="S991" s="9" t="str">
        <f>_xlfn.IFS(K991&gt;=400,"Blockbuster",K991&gt;=200,"Popular",K991&lt;200,"Normal")</f>
        <v>Blockbuster</v>
      </c>
      <c r="T991" s="10" t="str">
        <f>IF(OR(I991="PG",I991="G"),"Yes","No")</f>
        <v>Yes</v>
      </c>
      <c r="U991" s="11" t="str">
        <f>IF(P991&gt;=100,"High","Low")</f>
        <v>High</v>
      </c>
      <c r="V991" s="28">
        <f t="shared" si="30"/>
        <v>622.9</v>
      </c>
      <c r="W991" s="29">
        <f t="shared" si="31"/>
        <v>475.24096385542168</v>
      </c>
    </row>
    <row r="992" spans="1:23" x14ac:dyDescent="0.3">
      <c r="A992" s="1" t="s">
        <v>2877</v>
      </c>
      <c r="B992" s="1" t="s">
        <v>2878</v>
      </c>
      <c r="C992" s="1" t="s">
        <v>46</v>
      </c>
      <c r="D992" s="1" t="s">
        <v>63</v>
      </c>
      <c r="E992" s="1">
        <v>2018</v>
      </c>
      <c r="F992" s="1" t="s">
        <v>100</v>
      </c>
      <c r="G992" s="1" t="s">
        <v>2879</v>
      </c>
      <c r="H992" s="1">
        <v>54</v>
      </c>
      <c r="I992" s="1" t="s">
        <v>31</v>
      </c>
      <c r="J992" s="1">
        <v>4.7</v>
      </c>
      <c r="K992" s="1">
        <v>477.3</v>
      </c>
      <c r="L992" s="1" t="s">
        <v>90</v>
      </c>
      <c r="M992" s="1" t="s">
        <v>54</v>
      </c>
      <c r="N992" s="1" t="s">
        <v>178</v>
      </c>
      <c r="O992" s="1">
        <v>4</v>
      </c>
      <c r="P992" s="1">
        <v>40</v>
      </c>
      <c r="Q992" s="1">
        <v>200.7</v>
      </c>
      <c r="R992" s="8" t="str">
        <f>_xlfn.IFS(J992&gt;=8,"Hit",J992&gt;=6,"Average",J992&lt;6,"Flop")</f>
        <v>Flop</v>
      </c>
      <c r="S992" s="9" t="str">
        <f>_xlfn.IFS(K992&gt;=400,"Blockbuster",K992&gt;=200,"Popular",K992&lt;200,"Normal")</f>
        <v>Blockbuster</v>
      </c>
      <c r="T992" s="10" t="str">
        <f>IF(OR(I992="PG",I992="G"),"Yes","No")</f>
        <v>No</v>
      </c>
      <c r="U992" s="11" t="str">
        <f>IF(P992&gt;=100,"High","Low")</f>
        <v>Low</v>
      </c>
      <c r="V992" s="28">
        <f t="shared" si="30"/>
        <v>160.69999999999999</v>
      </c>
      <c r="W992" s="29">
        <f t="shared" si="31"/>
        <v>501.75</v>
      </c>
    </row>
    <row r="993" spans="1:23" x14ac:dyDescent="0.3">
      <c r="A993" s="1" t="s">
        <v>2880</v>
      </c>
      <c r="B993" s="1" t="s">
        <v>2881</v>
      </c>
      <c r="C993" s="1" t="s">
        <v>18</v>
      </c>
      <c r="D993" s="1" t="s">
        <v>37</v>
      </c>
      <c r="E993" s="1">
        <v>2005</v>
      </c>
      <c r="F993" s="1" t="s">
        <v>38</v>
      </c>
      <c r="G993" s="1" t="s">
        <v>2882</v>
      </c>
      <c r="H993" s="1">
        <v>133</v>
      </c>
      <c r="I993" s="1" t="s">
        <v>31</v>
      </c>
      <c r="J993" s="1">
        <v>7.1</v>
      </c>
      <c r="K993" s="1">
        <v>422.8</v>
      </c>
      <c r="L993" s="1" t="s">
        <v>32</v>
      </c>
      <c r="M993" s="1" t="s">
        <v>132</v>
      </c>
      <c r="N993" s="1" t="s">
        <v>60</v>
      </c>
      <c r="O993" s="1"/>
      <c r="P993" s="1">
        <v>146</v>
      </c>
      <c r="Q993" s="1">
        <v>820.7</v>
      </c>
      <c r="R993" s="8" t="str">
        <f>_xlfn.IFS(J993&gt;=8,"Hit",J993&gt;=6,"Average",J993&lt;6,"Flop")</f>
        <v>Average</v>
      </c>
      <c r="S993" s="9" t="str">
        <f>_xlfn.IFS(K993&gt;=400,"Blockbuster",K993&gt;=200,"Popular",K993&lt;200,"Normal")</f>
        <v>Blockbuster</v>
      </c>
      <c r="T993" s="10" t="str">
        <f>IF(OR(I993="PG",I993="G"),"Yes","No")</f>
        <v>No</v>
      </c>
      <c r="U993" s="11" t="str">
        <f>IF(P993&gt;=100,"High","Low")</f>
        <v>High</v>
      </c>
      <c r="V993" s="28">
        <f t="shared" si="30"/>
        <v>674.7</v>
      </c>
      <c r="W993" s="29">
        <f t="shared" si="31"/>
        <v>562.1232876712329</v>
      </c>
    </row>
    <row r="994" spans="1:23" x14ac:dyDescent="0.3">
      <c r="A994" s="1" t="s">
        <v>2883</v>
      </c>
      <c r="B994" s="1" t="s">
        <v>2884</v>
      </c>
      <c r="C994" s="1" t="s">
        <v>46</v>
      </c>
      <c r="D994" s="1" t="s">
        <v>141</v>
      </c>
      <c r="E994" s="1">
        <v>2004</v>
      </c>
      <c r="F994" s="1" t="s">
        <v>95</v>
      </c>
      <c r="G994" s="1" t="s">
        <v>2420</v>
      </c>
      <c r="H994" s="1">
        <v>31</v>
      </c>
      <c r="I994" s="1" t="s">
        <v>50</v>
      </c>
      <c r="J994" s="1">
        <v>8.1</v>
      </c>
      <c r="K994" s="1">
        <v>171.6</v>
      </c>
      <c r="L994" s="1" t="s">
        <v>171</v>
      </c>
      <c r="M994" s="1" t="s">
        <v>132</v>
      </c>
      <c r="N994" s="1" t="s">
        <v>86</v>
      </c>
      <c r="O994" s="1">
        <v>8</v>
      </c>
      <c r="P994" s="1">
        <v>109</v>
      </c>
      <c r="Q994" s="1">
        <v>351.4</v>
      </c>
      <c r="R994" s="8" t="str">
        <f>_xlfn.IFS(J994&gt;=8,"Hit",J994&gt;=6,"Average",J994&lt;6,"Flop")</f>
        <v>Hit</v>
      </c>
      <c r="S994" s="9" t="str">
        <f>_xlfn.IFS(K994&gt;=400,"Blockbuster",K994&gt;=200,"Popular",K994&lt;200,"Normal")</f>
        <v>Normal</v>
      </c>
      <c r="T994" s="10" t="str">
        <f>IF(OR(I994="PG",I994="G"),"Yes","No")</f>
        <v>Yes</v>
      </c>
      <c r="U994" s="11" t="str">
        <f>IF(P994&gt;=100,"High","Low")</f>
        <v>High</v>
      </c>
      <c r="V994" s="28">
        <f t="shared" si="30"/>
        <v>242.39999999999998</v>
      </c>
      <c r="W994" s="29">
        <f t="shared" si="31"/>
        <v>322.38532110091739</v>
      </c>
    </row>
    <row r="995" spans="1:23" x14ac:dyDescent="0.3">
      <c r="A995" s="1" t="s">
        <v>2885</v>
      </c>
      <c r="B995" s="1" t="s">
        <v>2886</v>
      </c>
      <c r="C995" s="1" t="s">
        <v>18</v>
      </c>
      <c r="D995" s="1" t="s">
        <v>141</v>
      </c>
      <c r="E995" s="1">
        <v>2022</v>
      </c>
      <c r="F995" s="1" t="s">
        <v>95</v>
      </c>
      <c r="G995" s="1" t="s">
        <v>2887</v>
      </c>
      <c r="H995" s="1">
        <v>177</v>
      </c>
      <c r="I995" s="1" t="s">
        <v>50</v>
      </c>
      <c r="J995" s="1">
        <v>8.4</v>
      </c>
      <c r="K995" s="1">
        <v>543.4</v>
      </c>
      <c r="L995" s="1" t="s">
        <v>41</v>
      </c>
      <c r="M995" s="1" t="s">
        <v>157</v>
      </c>
      <c r="N995" s="1" t="s">
        <v>178</v>
      </c>
      <c r="O995" s="1"/>
      <c r="P995" s="1">
        <v>134</v>
      </c>
      <c r="Q995" s="1">
        <v>207</v>
      </c>
      <c r="R995" s="8" t="str">
        <f>_xlfn.IFS(J995&gt;=8,"Hit",J995&gt;=6,"Average",J995&lt;6,"Flop")</f>
        <v>Hit</v>
      </c>
      <c r="S995" s="9" t="str">
        <f>_xlfn.IFS(K995&gt;=400,"Blockbuster",K995&gt;=200,"Popular",K995&lt;200,"Normal")</f>
        <v>Blockbuster</v>
      </c>
      <c r="T995" s="10" t="str">
        <f>IF(OR(I995="PG",I995="G"),"Yes","No")</f>
        <v>Yes</v>
      </c>
      <c r="U995" s="11" t="str">
        <f>IF(P995&gt;=100,"High","Low")</f>
        <v>High</v>
      </c>
      <c r="V995" s="28">
        <f t="shared" si="30"/>
        <v>73</v>
      </c>
      <c r="W995" s="29">
        <f t="shared" si="31"/>
        <v>154.47761194029849</v>
      </c>
    </row>
    <row r="996" spans="1:23" x14ac:dyDescent="0.3">
      <c r="A996" s="1" t="s">
        <v>2888</v>
      </c>
      <c r="B996" s="1" t="s">
        <v>2889</v>
      </c>
      <c r="C996" s="1" t="s">
        <v>46</v>
      </c>
      <c r="D996" s="1" t="s">
        <v>28</v>
      </c>
      <c r="E996" s="1">
        <v>2025</v>
      </c>
      <c r="F996" s="1" t="s">
        <v>122</v>
      </c>
      <c r="G996" s="1" t="s">
        <v>2890</v>
      </c>
      <c r="H996" s="1">
        <v>46</v>
      </c>
      <c r="I996" s="1" t="s">
        <v>31</v>
      </c>
      <c r="J996" s="1">
        <v>5.4</v>
      </c>
      <c r="K996" s="1">
        <v>25.2</v>
      </c>
      <c r="L996" s="1" t="s">
        <v>90</v>
      </c>
      <c r="M996" s="1" t="s">
        <v>33</v>
      </c>
      <c r="N996" s="1" t="s">
        <v>60</v>
      </c>
      <c r="O996" s="1">
        <v>8</v>
      </c>
      <c r="P996" s="1">
        <v>176</v>
      </c>
      <c r="Q996" s="1">
        <v>605.20000000000005</v>
      </c>
      <c r="R996" s="8" t="str">
        <f>_xlfn.IFS(J996&gt;=8,"Hit",J996&gt;=6,"Average",J996&lt;6,"Flop")</f>
        <v>Flop</v>
      </c>
      <c r="S996" s="9" t="str">
        <f>_xlfn.IFS(K996&gt;=400,"Blockbuster",K996&gt;=200,"Popular",K996&lt;200,"Normal")</f>
        <v>Normal</v>
      </c>
      <c r="T996" s="10" t="str">
        <f>IF(OR(I996="PG",I996="G"),"Yes","No")</f>
        <v>No</v>
      </c>
      <c r="U996" s="11" t="str">
        <f>IF(P996&gt;=100,"High","Low")</f>
        <v>High</v>
      </c>
      <c r="V996" s="28">
        <f t="shared" si="30"/>
        <v>429.20000000000005</v>
      </c>
      <c r="W996" s="29">
        <f t="shared" si="31"/>
        <v>343.86363636363637</v>
      </c>
    </row>
    <row r="997" spans="1:23" x14ac:dyDescent="0.3">
      <c r="A997" s="1" t="s">
        <v>2891</v>
      </c>
      <c r="B997" s="1" t="s">
        <v>2892</v>
      </c>
      <c r="C997" s="1" t="s">
        <v>46</v>
      </c>
      <c r="D997" s="1" t="s">
        <v>75</v>
      </c>
      <c r="E997" s="1">
        <v>2000</v>
      </c>
      <c r="F997" s="1" t="s">
        <v>20</v>
      </c>
      <c r="G997" s="1" t="s">
        <v>2893</v>
      </c>
      <c r="H997" s="1">
        <v>32</v>
      </c>
      <c r="I997" s="1" t="s">
        <v>40</v>
      </c>
      <c r="J997" s="1">
        <v>7.6</v>
      </c>
      <c r="K997" s="1">
        <v>386.2</v>
      </c>
      <c r="L997" s="1" t="s">
        <v>32</v>
      </c>
      <c r="M997" s="1" t="s">
        <v>24</v>
      </c>
      <c r="N997" s="1" t="s">
        <v>102</v>
      </c>
      <c r="O997" s="1">
        <v>2</v>
      </c>
      <c r="P997" s="1">
        <v>19</v>
      </c>
      <c r="Q997" s="1">
        <v>30.4</v>
      </c>
      <c r="R997" s="8" t="str">
        <f>_xlfn.IFS(J997&gt;=8,"Hit",J997&gt;=6,"Average",J997&lt;6,"Flop")</f>
        <v>Average</v>
      </c>
      <c r="S997" s="9" t="str">
        <f>_xlfn.IFS(K997&gt;=400,"Blockbuster",K997&gt;=200,"Popular",K997&lt;200,"Normal")</f>
        <v>Popular</v>
      </c>
      <c r="T997" s="10" t="str">
        <f>IF(OR(I997="PG",I997="G"),"Yes","No")</f>
        <v>Yes</v>
      </c>
      <c r="U997" s="11" t="str">
        <f>IF(P997&gt;=100,"High","Low")</f>
        <v>Low</v>
      </c>
      <c r="V997" s="28">
        <f t="shared" si="30"/>
        <v>11.399999999999999</v>
      </c>
      <c r="W997" s="29">
        <f t="shared" si="31"/>
        <v>160</v>
      </c>
    </row>
    <row r="998" spans="1:23" x14ac:dyDescent="0.3">
      <c r="A998" s="1" t="s">
        <v>2894</v>
      </c>
      <c r="B998" s="1" t="s">
        <v>2895</v>
      </c>
      <c r="C998" s="1" t="s">
        <v>46</v>
      </c>
      <c r="D998" s="1" t="s">
        <v>37</v>
      </c>
      <c r="E998" s="1">
        <v>2018</v>
      </c>
      <c r="F998" s="1" t="s">
        <v>48</v>
      </c>
      <c r="G998" s="1" t="s">
        <v>1104</v>
      </c>
      <c r="H998" s="1">
        <v>53</v>
      </c>
      <c r="I998" s="1" t="s">
        <v>22</v>
      </c>
      <c r="J998" s="1">
        <v>6.2</v>
      </c>
      <c r="K998" s="1">
        <v>398.8</v>
      </c>
      <c r="L998" s="1" t="s">
        <v>41</v>
      </c>
      <c r="M998" s="1" t="s">
        <v>106</v>
      </c>
      <c r="N998" s="1" t="s">
        <v>79</v>
      </c>
      <c r="O998" s="1">
        <v>8</v>
      </c>
      <c r="P998" s="1">
        <v>43</v>
      </c>
      <c r="Q998" s="1">
        <v>74.900000000000006</v>
      </c>
      <c r="R998" s="8" t="str">
        <f>_xlfn.IFS(J998&gt;=8,"Hit",J998&gt;=6,"Average",J998&lt;6,"Flop")</f>
        <v>Average</v>
      </c>
      <c r="S998" s="9" t="str">
        <f>_xlfn.IFS(K998&gt;=400,"Blockbuster",K998&gt;=200,"Popular",K998&lt;200,"Normal")</f>
        <v>Popular</v>
      </c>
      <c r="T998" s="10" t="str">
        <f>IF(OR(I998="PG",I998="G"),"Yes","No")</f>
        <v>No</v>
      </c>
      <c r="U998" s="11" t="str">
        <f>IF(P998&gt;=100,"High","Low")</f>
        <v>Low</v>
      </c>
      <c r="V998" s="28">
        <f t="shared" si="30"/>
        <v>31.900000000000006</v>
      </c>
      <c r="W998" s="29">
        <f t="shared" si="31"/>
        <v>174.18604651162792</v>
      </c>
    </row>
    <row r="999" spans="1:23" x14ac:dyDescent="0.3">
      <c r="A999" s="1" t="s">
        <v>2896</v>
      </c>
      <c r="B999" s="1" t="s">
        <v>2897</v>
      </c>
      <c r="C999" s="1" t="s">
        <v>18</v>
      </c>
      <c r="D999" s="1" t="s">
        <v>58</v>
      </c>
      <c r="E999" s="1">
        <v>2014</v>
      </c>
      <c r="F999" s="1" t="s">
        <v>122</v>
      </c>
      <c r="G999" s="1" t="s">
        <v>2898</v>
      </c>
      <c r="H999" s="1">
        <v>143</v>
      </c>
      <c r="I999" s="1" t="s">
        <v>40</v>
      </c>
      <c r="J999" s="1">
        <v>4.5999999999999996</v>
      </c>
      <c r="K999" s="1">
        <v>243.1</v>
      </c>
      <c r="L999" s="1" t="s">
        <v>32</v>
      </c>
      <c r="M999" s="1" t="s">
        <v>106</v>
      </c>
      <c r="N999" s="1" t="s">
        <v>91</v>
      </c>
      <c r="O999" s="1"/>
      <c r="P999" s="1">
        <v>137</v>
      </c>
      <c r="Q999" s="1">
        <v>766.9</v>
      </c>
      <c r="R999" s="8" t="str">
        <f>_xlfn.IFS(J999&gt;=8,"Hit",J999&gt;=6,"Average",J999&lt;6,"Flop")</f>
        <v>Flop</v>
      </c>
      <c r="S999" s="9" t="str">
        <f>_xlfn.IFS(K999&gt;=400,"Blockbuster",K999&gt;=200,"Popular",K999&lt;200,"Normal")</f>
        <v>Popular</v>
      </c>
      <c r="T999" s="10" t="str">
        <f>IF(OR(I999="PG",I999="G"),"Yes","No")</f>
        <v>Yes</v>
      </c>
      <c r="U999" s="11" t="str">
        <f>IF(P999&gt;=100,"High","Low")</f>
        <v>High</v>
      </c>
      <c r="V999" s="28">
        <f t="shared" si="30"/>
        <v>629.9</v>
      </c>
      <c r="W999" s="29">
        <f t="shared" si="31"/>
        <v>559.78102189781021</v>
      </c>
    </row>
    <row r="1000" spans="1:23" x14ac:dyDescent="0.3">
      <c r="A1000" s="1" t="s">
        <v>2899</v>
      </c>
      <c r="B1000" s="1" t="s">
        <v>2900</v>
      </c>
      <c r="C1000" s="1" t="s">
        <v>18</v>
      </c>
      <c r="D1000" s="1" t="s">
        <v>37</v>
      </c>
      <c r="E1000" s="1">
        <v>2002</v>
      </c>
      <c r="F1000" s="1" t="s">
        <v>181</v>
      </c>
      <c r="G1000" s="1" t="s">
        <v>2901</v>
      </c>
      <c r="H1000" s="1">
        <v>127</v>
      </c>
      <c r="I1000" s="1" t="s">
        <v>22</v>
      </c>
      <c r="J1000" s="1">
        <v>7.5</v>
      </c>
      <c r="K1000" s="1">
        <v>537.70000000000005</v>
      </c>
      <c r="L1000" s="1" t="s">
        <v>90</v>
      </c>
      <c r="M1000" s="1" t="s">
        <v>24</v>
      </c>
      <c r="N1000" s="1" t="s">
        <v>178</v>
      </c>
      <c r="O1000" s="1"/>
      <c r="P1000" s="1">
        <v>151</v>
      </c>
      <c r="Q1000" s="1">
        <v>403.3</v>
      </c>
      <c r="R1000" s="8" t="str">
        <f>_xlfn.IFS(J1000&gt;=8,"Hit",J1000&gt;=6,"Average",J1000&lt;6,"Flop")</f>
        <v>Average</v>
      </c>
      <c r="S1000" s="9" t="str">
        <f>_xlfn.IFS(K1000&gt;=400,"Blockbuster",K1000&gt;=200,"Popular",K1000&lt;200,"Normal")</f>
        <v>Blockbuster</v>
      </c>
      <c r="T1000" s="10" t="str">
        <f>IF(OR(I1000="PG",I1000="G"),"Yes","No")</f>
        <v>No</v>
      </c>
      <c r="U1000" s="11" t="str">
        <f>IF(P1000&gt;=100,"High","Low")</f>
        <v>High</v>
      </c>
      <c r="V1000" s="28">
        <f t="shared" si="30"/>
        <v>252.3</v>
      </c>
      <c r="W1000" s="29">
        <f t="shared" si="31"/>
        <v>267.08609271523176</v>
      </c>
    </row>
    <row r="1001" spans="1:23" x14ac:dyDescent="0.3">
      <c r="A1001" s="1" t="s">
        <v>2902</v>
      </c>
      <c r="B1001" s="1" t="s">
        <v>2903</v>
      </c>
      <c r="C1001" s="1" t="s">
        <v>46</v>
      </c>
      <c r="D1001" s="1" t="s">
        <v>19</v>
      </c>
      <c r="E1001" s="1">
        <v>2023</v>
      </c>
      <c r="F1001" s="1" t="s">
        <v>29</v>
      </c>
      <c r="G1001" s="1" t="s">
        <v>2904</v>
      </c>
      <c r="H1001" s="1">
        <v>42</v>
      </c>
      <c r="I1001" s="1" t="s">
        <v>110</v>
      </c>
      <c r="J1001" s="1">
        <v>7.1</v>
      </c>
      <c r="K1001" s="1">
        <v>534.29999999999995</v>
      </c>
      <c r="L1001" s="1" t="s">
        <v>41</v>
      </c>
      <c r="M1001" s="1" t="s">
        <v>111</v>
      </c>
      <c r="N1001" s="1" t="s">
        <v>67</v>
      </c>
      <c r="O1001" s="1">
        <v>4</v>
      </c>
      <c r="P1001" s="1">
        <v>107</v>
      </c>
      <c r="Q1001" s="1">
        <v>129.4</v>
      </c>
      <c r="R1001" s="8" t="str">
        <f>_xlfn.IFS(J1001&gt;=8,"Hit",J1001&gt;=6,"Average",J1001&lt;6,"Flop")</f>
        <v>Average</v>
      </c>
      <c r="S1001" s="9" t="str">
        <f>_xlfn.IFS(K1001&gt;=400,"Blockbuster",K1001&gt;=200,"Popular",K1001&lt;200,"Normal")</f>
        <v>Blockbuster</v>
      </c>
      <c r="T1001" s="10" t="str">
        <f>IF(OR(I1001="PG",I1001="G"),"Yes","No")</f>
        <v>No</v>
      </c>
      <c r="U1001" s="11" t="str">
        <f>IF(P1001&gt;=100,"High","Low")</f>
        <v>High</v>
      </c>
      <c r="V1001" s="28">
        <f t="shared" si="30"/>
        <v>22.400000000000006</v>
      </c>
      <c r="W1001" s="29">
        <f t="shared" si="31"/>
        <v>120.93457943925235</v>
      </c>
    </row>
    <row r="1002" spans="1:23" x14ac:dyDescent="0.3">
      <c r="A1002" s="1" t="s">
        <v>2905</v>
      </c>
      <c r="B1002" s="1" t="s">
        <v>2906</v>
      </c>
      <c r="C1002" s="1" t="s">
        <v>18</v>
      </c>
      <c r="D1002" s="1" t="s">
        <v>141</v>
      </c>
      <c r="E1002" s="1">
        <v>2006</v>
      </c>
      <c r="F1002" s="1" t="s">
        <v>76</v>
      </c>
      <c r="G1002" s="1" t="s">
        <v>1714</v>
      </c>
      <c r="H1002" s="1">
        <v>178</v>
      </c>
      <c r="I1002" s="1" t="s">
        <v>110</v>
      </c>
      <c r="J1002" s="1">
        <v>8.5</v>
      </c>
      <c r="K1002" s="1">
        <v>74.599999999999994</v>
      </c>
      <c r="L1002" s="1" t="s">
        <v>71</v>
      </c>
      <c r="M1002" s="1" t="s">
        <v>157</v>
      </c>
      <c r="N1002" s="1" t="s">
        <v>43</v>
      </c>
      <c r="O1002" s="1"/>
      <c r="P1002" s="1">
        <v>49</v>
      </c>
      <c r="Q1002" s="1">
        <v>226.6</v>
      </c>
      <c r="R1002" s="8" t="str">
        <f>_xlfn.IFS(J1002&gt;=8,"Hit",J1002&gt;=6,"Average",J1002&lt;6,"Flop")</f>
        <v>Hit</v>
      </c>
      <c r="S1002" s="9" t="str">
        <f>_xlfn.IFS(K1002&gt;=400,"Blockbuster",K1002&gt;=200,"Popular",K1002&lt;200,"Normal")</f>
        <v>Normal</v>
      </c>
      <c r="T1002" s="10" t="str">
        <f>IF(OR(I1002="PG",I1002="G"),"Yes","No")</f>
        <v>No</v>
      </c>
      <c r="U1002" s="11" t="str">
        <f>IF(P1002&gt;=100,"High","Low")</f>
        <v>Low</v>
      </c>
      <c r="V1002" s="28">
        <f t="shared" si="30"/>
        <v>177.6</v>
      </c>
      <c r="W1002" s="29">
        <f t="shared" si="31"/>
        <v>462.44897959183675</v>
      </c>
    </row>
    <row r="1003" spans="1:23" x14ac:dyDescent="0.3">
      <c r="A1003" s="1" t="s">
        <v>2907</v>
      </c>
      <c r="B1003" s="1" t="s">
        <v>2908</v>
      </c>
      <c r="C1003" s="1" t="s">
        <v>46</v>
      </c>
      <c r="D1003" s="1" t="s">
        <v>117</v>
      </c>
      <c r="E1003" s="1">
        <v>2011</v>
      </c>
      <c r="F1003" s="1" t="s">
        <v>38</v>
      </c>
      <c r="G1003" s="1" t="s">
        <v>331</v>
      </c>
      <c r="H1003" s="1">
        <v>54</v>
      </c>
      <c r="I1003" s="1" t="s">
        <v>31</v>
      </c>
      <c r="J1003" s="1">
        <v>5.8</v>
      </c>
      <c r="K1003" s="1">
        <v>443.9</v>
      </c>
      <c r="L1003" s="1" t="s">
        <v>171</v>
      </c>
      <c r="M1003" s="1" t="s">
        <v>42</v>
      </c>
      <c r="N1003" s="1" t="s">
        <v>79</v>
      </c>
      <c r="O1003" s="1">
        <v>3</v>
      </c>
      <c r="P1003" s="1">
        <v>67</v>
      </c>
      <c r="Q1003" s="1">
        <v>98.7</v>
      </c>
      <c r="R1003" s="8" t="str">
        <f>_xlfn.IFS(J1003&gt;=8,"Hit",J1003&gt;=6,"Average",J1003&lt;6,"Flop")</f>
        <v>Flop</v>
      </c>
      <c r="S1003" s="9" t="str">
        <f>_xlfn.IFS(K1003&gt;=400,"Blockbuster",K1003&gt;=200,"Popular",K1003&lt;200,"Normal")</f>
        <v>Blockbuster</v>
      </c>
      <c r="T1003" s="10" t="str">
        <f>IF(OR(I1003="PG",I1003="G"),"Yes","No")</f>
        <v>No</v>
      </c>
      <c r="U1003" s="11" t="str">
        <f>IF(P1003&gt;=100,"High","Low")</f>
        <v>Low</v>
      </c>
      <c r="V1003" s="28">
        <f t="shared" si="30"/>
        <v>31.700000000000003</v>
      </c>
      <c r="W1003" s="29">
        <f t="shared" si="31"/>
        <v>147.31343283582089</v>
      </c>
    </row>
    <row r="1004" spans="1:23" x14ac:dyDescent="0.3">
      <c r="A1004" s="1" t="s">
        <v>2909</v>
      </c>
      <c r="B1004" s="1" t="s">
        <v>2910</v>
      </c>
      <c r="C1004" s="1" t="s">
        <v>46</v>
      </c>
      <c r="D1004" s="1" t="s">
        <v>37</v>
      </c>
      <c r="E1004" s="1">
        <v>2002</v>
      </c>
      <c r="F1004" s="1" t="s">
        <v>38</v>
      </c>
      <c r="G1004" s="1" t="s">
        <v>2911</v>
      </c>
      <c r="H1004" s="1">
        <v>46</v>
      </c>
      <c r="I1004" s="1" t="s">
        <v>50</v>
      </c>
      <c r="J1004" s="1">
        <v>5.6</v>
      </c>
      <c r="K1004" s="1">
        <v>15.5</v>
      </c>
      <c r="L1004" s="1" t="s">
        <v>171</v>
      </c>
      <c r="M1004" s="1" t="s">
        <v>132</v>
      </c>
      <c r="N1004" s="1" t="s">
        <v>55</v>
      </c>
      <c r="O1004" s="1">
        <v>2</v>
      </c>
      <c r="P1004" s="1">
        <v>82</v>
      </c>
      <c r="Q1004" s="1">
        <v>333.7</v>
      </c>
      <c r="R1004" s="8" t="str">
        <f>_xlfn.IFS(J1004&gt;=8,"Hit",J1004&gt;=6,"Average",J1004&lt;6,"Flop")</f>
        <v>Flop</v>
      </c>
      <c r="S1004" s="9" t="str">
        <f>_xlfn.IFS(K1004&gt;=400,"Blockbuster",K1004&gt;=200,"Popular",K1004&lt;200,"Normal")</f>
        <v>Normal</v>
      </c>
      <c r="T1004" s="10" t="str">
        <f>IF(OR(I1004="PG",I1004="G"),"Yes","No")</f>
        <v>Yes</v>
      </c>
      <c r="U1004" s="11" t="str">
        <f>IF(P1004&gt;=100,"High","Low")</f>
        <v>Low</v>
      </c>
      <c r="V1004" s="28">
        <f t="shared" si="30"/>
        <v>251.7</v>
      </c>
      <c r="W1004" s="29">
        <f t="shared" si="31"/>
        <v>406.95121951219511</v>
      </c>
    </row>
    <row r="1005" spans="1:23" x14ac:dyDescent="0.3">
      <c r="A1005" s="1" t="s">
        <v>2912</v>
      </c>
      <c r="B1005" s="1" t="s">
        <v>2913</v>
      </c>
      <c r="C1005" s="1" t="s">
        <v>46</v>
      </c>
      <c r="D1005" s="1" t="s">
        <v>47</v>
      </c>
      <c r="E1005" s="1">
        <v>2018</v>
      </c>
      <c r="F1005" s="1" t="s">
        <v>83</v>
      </c>
      <c r="G1005" s="1" t="s">
        <v>2914</v>
      </c>
      <c r="H1005" s="1">
        <v>37</v>
      </c>
      <c r="I1005" s="1" t="s">
        <v>22</v>
      </c>
      <c r="J1005" s="1">
        <v>6.5</v>
      </c>
      <c r="K1005" s="1">
        <v>345.4</v>
      </c>
      <c r="L1005" s="1" t="s">
        <v>32</v>
      </c>
      <c r="M1005" s="1" t="s">
        <v>132</v>
      </c>
      <c r="N1005" s="1" t="s">
        <v>128</v>
      </c>
      <c r="O1005" s="1">
        <v>5</v>
      </c>
      <c r="P1005" s="1">
        <v>45</v>
      </c>
      <c r="Q1005" s="1">
        <v>117.9</v>
      </c>
      <c r="R1005" s="8" t="str">
        <f>_xlfn.IFS(J1005&gt;=8,"Hit",J1005&gt;=6,"Average",J1005&lt;6,"Flop")</f>
        <v>Average</v>
      </c>
      <c r="S1005" s="9" t="str">
        <f>_xlfn.IFS(K1005&gt;=400,"Blockbuster",K1005&gt;=200,"Popular",K1005&lt;200,"Normal")</f>
        <v>Popular</v>
      </c>
      <c r="T1005" s="10" t="str">
        <f>IF(OR(I1005="PG",I1005="G"),"Yes","No")</f>
        <v>No</v>
      </c>
      <c r="U1005" s="11" t="str">
        <f>IF(P1005&gt;=100,"High","Low")</f>
        <v>Low</v>
      </c>
      <c r="V1005" s="28">
        <f t="shared" si="30"/>
        <v>72.900000000000006</v>
      </c>
      <c r="W1005" s="29">
        <f t="shared" si="31"/>
        <v>262</v>
      </c>
    </row>
    <row r="1006" spans="1:23" x14ac:dyDescent="0.3">
      <c r="A1006" s="1" t="s">
        <v>2915</v>
      </c>
      <c r="B1006" s="1" t="s">
        <v>2916</v>
      </c>
      <c r="C1006" s="1" t="s">
        <v>46</v>
      </c>
      <c r="D1006" s="1" t="s">
        <v>58</v>
      </c>
      <c r="E1006" s="1">
        <v>2005</v>
      </c>
      <c r="F1006" s="1" t="s">
        <v>100</v>
      </c>
      <c r="G1006" s="1" t="s">
        <v>2917</v>
      </c>
      <c r="H1006" s="1">
        <v>33</v>
      </c>
      <c r="I1006" s="1" t="s">
        <v>40</v>
      </c>
      <c r="J1006" s="1">
        <v>5.8</v>
      </c>
      <c r="K1006" s="1">
        <v>311.5</v>
      </c>
      <c r="L1006" s="1" t="s">
        <v>90</v>
      </c>
      <c r="M1006" s="1" t="s">
        <v>33</v>
      </c>
      <c r="N1006" s="1" t="s">
        <v>153</v>
      </c>
      <c r="O1006" s="1">
        <v>5</v>
      </c>
      <c r="P1006" s="1">
        <v>38</v>
      </c>
      <c r="Q1006" s="1">
        <v>141.6</v>
      </c>
      <c r="R1006" s="8" t="str">
        <f>_xlfn.IFS(J1006&gt;=8,"Hit",J1006&gt;=6,"Average",J1006&lt;6,"Flop")</f>
        <v>Flop</v>
      </c>
      <c r="S1006" s="9" t="str">
        <f>_xlfn.IFS(K1006&gt;=400,"Blockbuster",K1006&gt;=200,"Popular",K1006&lt;200,"Normal")</f>
        <v>Popular</v>
      </c>
      <c r="T1006" s="10" t="str">
        <f>IF(OR(I1006="PG",I1006="G"),"Yes","No")</f>
        <v>Yes</v>
      </c>
      <c r="U1006" s="11" t="str">
        <f>IF(P1006&gt;=100,"High","Low")</f>
        <v>Low</v>
      </c>
      <c r="V1006" s="28">
        <f t="shared" si="30"/>
        <v>103.6</v>
      </c>
      <c r="W1006" s="29">
        <f t="shared" si="31"/>
        <v>372.63157894736844</v>
      </c>
    </row>
    <row r="1007" spans="1:23" x14ac:dyDescent="0.3">
      <c r="A1007" s="1" t="s">
        <v>2918</v>
      </c>
      <c r="B1007" s="1" t="s">
        <v>2919</v>
      </c>
      <c r="C1007" s="1" t="s">
        <v>46</v>
      </c>
      <c r="D1007" s="1" t="s">
        <v>117</v>
      </c>
      <c r="E1007" s="1">
        <v>2006</v>
      </c>
      <c r="F1007" s="1" t="s">
        <v>122</v>
      </c>
      <c r="G1007" s="1" t="s">
        <v>2920</v>
      </c>
      <c r="H1007" s="1">
        <v>44</v>
      </c>
      <c r="I1007" s="1" t="s">
        <v>110</v>
      </c>
      <c r="J1007" s="1">
        <v>9.3000000000000007</v>
      </c>
      <c r="K1007" s="1">
        <v>67.599999999999994</v>
      </c>
      <c r="L1007" s="1" t="s">
        <v>65</v>
      </c>
      <c r="M1007" s="1" t="s">
        <v>78</v>
      </c>
      <c r="N1007" s="1" t="s">
        <v>60</v>
      </c>
      <c r="O1007" s="1">
        <v>6</v>
      </c>
      <c r="P1007" s="1">
        <v>116</v>
      </c>
      <c r="Q1007" s="1">
        <v>695.6</v>
      </c>
      <c r="R1007" s="8" t="str">
        <f>_xlfn.IFS(J1007&gt;=8,"Hit",J1007&gt;=6,"Average",J1007&lt;6,"Flop")</f>
        <v>Hit</v>
      </c>
      <c r="S1007" s="9" t="str">
        <f>_xlfn.IFS(K1007&gt;=400,"Blockbuster",K1007&gt;=200,"Popular",K1007&lt;200,"Normal")</f>
        <v>Normal</v>
      </c>
      <c r="T1007" s="10" t="str">
        <f>IF(OR(I1007="PG",I1007="G"),"Yes","No")</f>
        <v>No</v>
      </c>
      <c r="U1007" s="11" t="str">
        <f>IF(P1007&gt;=100,"High","Low")</f>
        <v>High</v>
      </c>
      <c r="V1007" s="28">
        <f t="shared" si="30"/>
        <v>579.6</v>
      </c>
      <c r="W1007" s="29">
        <f t="shared" si="31"/>
        <v>599.65517241379314</v>
      </c>
    </row>
    <row r="1008" spans="1:23" x14ac:dyDescent="0.3">
      <c r="A1008" s="1" t="s">
        <v>2921</v>
      </c>
      <c r="B1008" s="1" t="s">
        <v>2922</v>
      </c>
      <c r="C1008" s="1" t="s">
        <v>46</v>
      </c>
      <c r="D1008" s="1" t="s">
        <v>47</v>
      </c>
      <c r="E1008" s="1">
        <v>2015</v>
      </c>
      <c r="F1008" s="1" t="s">
        <v>122</v>
      </c>
      <c r="G1008" s="1" t="s">
        <v>1879</v>
      </c>
      <c r="H1008" s="1">
        <v>36</v>
      </c>
      <c r="I1008" s="1" t="s">
        <v>110</v>
      </c>
      <c r="J1008" s="1">
        <v>9.6</v>
      </c>
      <c r="K1008" s="1">
        <v>271.39999999999998</v>
      </c>
      <c r="L1008" s="1" t="s">
        <v>32</v>
      </c>
      <c r="M1008" s="1" t="s">
        <v>111</v>
      </c>
      <c r="N1008" s="1" t="s">
        <v>102</v>
      </c>
      <c r="O1008" s="1">
        <v>8</v>
      </c>
      <c r="P1008" s="1">
        <v>93</v>
      </c>
      <c r="Q1008" s="1">
        <v>374.2</v>
      </c>
      <c r="R1008" s="8" t="str">
        <f>_xlfn.IFS(J1008&gt;=8,"Hit",J1008&gt;=6,"Average",J1008&lt;6,"Flop")</f>
        <v>Hit</v>
      </c>
      <c r="S1008" s="9" t="str">
        <f>_xlfn.IFS(K1008&gt;=400,"Blockbuster",K1008&gt;=200,"Popular",K1008&lt;200,"Normal")</f>
        <v>Popular</v>
      </c>
      <c r="T1008" s="10" t="str">
        <f>IF(OR(I1008="PG",I1008="G"),"Yes","No")</f>
        <v>No</v>
      </c>
      <c r="U1008" s="11" t="str">
        <f>IF(P1008&gt;=100,"High","Low")</f>
        <v>Low</v>
      </c>
      <c r="V1008" s="28">
        <f t="shared" si="30"/>
        <v>281.2</v>
      </c>
      <c r="W1008" s="29">
        <f t="shared" si="31"/>
        <v>402.36559139784947</v>
      </c>
    </row>
    <row r="1009" spans="1:23" x14ac:dyDescent="0.3">
      <c r="A1009" s="1" t="s">
        <v>2923</v>
      </c>
      <c r="B1009" s="1" t="s">
        <v>2924</v>
      </c>
      <c r="C1009" s="1" t="s">
        <v>46</v>
      </c>
      <c r="D1009" s="1" t="s">
        <v>63</v>
      </c>
      <c r="E1009" s="1">
        <v>2010</v>
      </c>
      <c r="F1009" s="1" t="s">
        <v>122</v>
      </c>
      <c r="G1009" s="1" t="s">
        <v>2925</v>
      </c>
      <c r="H1009" s="1">
        <v>58</v>
      </c>
      <c r="I1009" s="1" t="s">
        <v>31</v>
      </c>
      <c r="J1009" s="1">
        <v>6.1</v>
      </c>
      <c r="K1009" s="1">
        <v>420.7</v>
      </c>
      <c r="L1009" s="1" t="s">
        <v>65</v>
      </c>
      <c r="M1009" s="1" t="s">
        <v>146</v>
      </c>
      <c r="N1009" s="1" t="s">
        <v>60</v>
      </c>
      <c r="O1009" s="1">
        <v>6</v>
      </c>
      <c r="P1009" s="1">
        <v>19</v>
      </c>
      <c r="Q1009" s="1">
        <v>98.6</v>
      </c>
      <c r="R1009" s="8" t="str">
        <f>_xlfn.IFS(J1009&gt;=8,"Hit",J1009&gt;=6,"Average",J1009&lt;6,"Flop")</f>
        <v>Average</v>
      </c>
      <c r="S1009" s="9" t="str">
        <f>_xlfn.IFS(K1009&gt;=400,"Blockbuster",K1009&gt;=200,"Popular",K1009&lt;200,"Normal")</f>
        <v>Blockbuster</v>
      </c>
      <c r="T1009" s="10" t="str">
        <f>IF(OR(I1009="PG",I1009="G"),"Yes","No")</f>
        <v>No</v>
      </c>
      <c r="U1009" s="11" t="str">
        <f>IF(P1009&gt;=100,"High","Low")</f>
        <v>Low</v>
      </c>
      <c r="V1009" s="28">
        <f t="shared" si="30"/>
        <v>79.599999999999994</v>
      </c>
      <c r="W1009" s="29">
        <f t="shared" si="31"/>
        <v>518.9473684210526</v>
      </c>
    </row>
    <row r="1010" spans="1:23" x14ac:dyDescent="0.3">
      <c r="A1010" s="1" t="s">
        <v>2926</v>
      </c>
      <c r="B1010" s="1" t="s">
        <v>2927</v>
      </c>
      <c r="C1010" s="1" t="s">
        <v>18</v>
      </c>
      <c r="D1010" s="1" t="s">
        <v>75</v>
      </c>
      <c r="E1010" s="1">
        <v>2015</v>
      </c>
      <c r="F1010" s="1" t="s">
        <v>29</v>
      </c>
      <c r="G1010" s="1" t="s">
        <v>2928</v>
      </c>
      <c r="H1010" s="1">
        <v>164</v>
      </c>
      <c r="I1010" s="1" t="s">
        <v>31</v>
      </c>
      <c r="J1010" s="1">
        <v>8.6</v>
      </c>
      <c r="K1010" s="1">
        <v>401.1</v>
      </c>
      <c r="L1010" s="1" t="s">
        <v>65</v>
      </c>
      <c r="M1010" s="1" t="s">
        <v>54</v>
      </c>
      <c r="N1010" s="1" t="s">
        <v>128</v>
      </c>
      <c r="O1010" s="1"/>
      <c r="P1010" s="1">
        <v>11</v>
      </c>
      <c r="Q1010" s="1">
        <v>23.6</v>
      </c>
      <c r="R1010" s="8" t="str">
        <f>_xlfn.IFS(J1010&gt;=8,"Hit",J1010&gt;=6,"Average",J1010&lt;6,"Flop")</f>
        <v>Hit</v>
      </c>
      <c r="S1010" s="9" t="str">
        <f>_xlfn.IFS(K1010&gt;=400,"Blockbuster",K1010&gt;=200,"Popular",K1010&lt;200,"Normal")</f>
        <v>Blockbuster</v>
      </c>
      <c r="T1010" s="10" t="str">
        <f>IF(OR(I1010="PG",I1010="G"),"Yes","No")</f>
        <v>No</v>
      </c>
      <c r="U1010" s="11" t="str">
        <f>IF(P1010&gt;=100,"High","Low")</f>
        <v>Low</v>
      </c>
      <c r="V1010" s="28">
        <f t="shared" si="30"/>
        <v>12.600000000000001</v>
      </c>
      <c r="W1010" s="29">
        <f t="shared" si="31"/>
        <v>214.54545454545456</v>
      </c>
    </row>
    <row r="1011" spans="1:23" x14ac:dyDescent="0.3">
      <c r="A1011" s="1" t="s">
        <v>2929</v>
      </c>
      <c r="B1011" s="1" t="s">
        <v>2930</v>
      </c>
      <c r="C1011" s="1" t="s">
        <v>46</v>
      </c>
      <c r="D1011" s="1" t="s">
        <v>47</v>
      </c>
      <c r="E1011" s="1">
        <v>2019</v>
      </c>
      <c r="F1011" s="1" t="s">
        <v>38</v>
      </c>
      <c r="G1011" s="1" t="s">
        <v>2931</v>
      </c>
      <c r="H1011" s="1">
        <v>59</v>
      </c>
      <c r="I1011" s="1" t="s">
        <v>40</v>
      </c>
      <c r="J1011" s="1">
        <v>5.2</v>
      </c>
      <c r="K1011" s="1">
        <v>112.8</v>
      </c>
      <c r="L1011" s="1" t="s">
        <v>171</v>
      </c>
      <c r="M1011" s="1" t="s">
        <v>97</v>
      </c>
      <c r="N1011" s="1" t="s">
        <v>55</v>
      </c>
      <c r="O1011" s="1">
        <v>6</v>
      </c>
      <c r="P1011" s="1">
        <v>141</v>
      </c>
      <c r="Q1011" s="1">
        <v>358.8</v>
      </c>
      <c r="R1011" s="8" t="str">
        <f>_xlfn.IFS(J1011&gt;=8,"Hit",J1011&gt;=6,"Average",J1011&lt;6,"Flop")</f>
        <v>Flop</v>
      </c>
      <c r="S1011" s="9" t="str">
        <f>_xlfn.IFS(K1011&gt;=400,"Blockbuster",K1011&gt;=200,"Popular",K1011&lt;200,"Normal")</f>
        <v>Normal</v>
      </c>
      <c r="T1011" s="10" t="str">
        <f>IF(OR(I1011="PG",I1011="G"),"Yes","No")</f>
        <v>Yes</v>
      </c>
      <c r="U1011" s="11" t="str">
        <f>IF(P1011&gt;=100,"High","Low")</f>
        <v>High</v>
      </c>
      <c r="V1011" s="28">
        <f t="shared" si="30"/>
        <v>217.8</v>
      </c>
      <c r="W1011" s="29">
        <f t="shared" si="31"/>
        <v>254.46808510638297</v>
      </c>
    </row>
    <row r="1012" spans="1:23" x14ac:dyDescent="0.3">
      <c r="A1012" s="1" t="s">
        <v>2932</v>
      </c>
      <c r="B1012" s="1" t="s">
        <v>2933</v>
      </c>
      <c r="C1012" s="1" t="s">
        <v>46</v>
      </c>
      <c r="D1012" s="1" t="s">
        <v>75</v>
      </c>
      <c r="E1012" s="1">
        <v>2018</v>
      </c>
      <c r="F1012" s="1" t="s">
        <v>122</v>
      </c>
      <c r="G1012" s="1" t="s">
        <v>2836</v>
      </c>
      <c r="H1012" s="1">
        <v>57</v>
      </c>
      <c r="I1012" s="1" t="s">
        <v>110</v>
      </c>
      <c r="J1012" s="1">
        <v>7.5</v>
      </c>
      <c r="K1012" s="1">
        <v>54.8</v>
      </c>
      <c r="L1012" s="1" t="s">
        <v>65</v>
      </c>
      <c r="M1012" s="1" t="s">
        <v>72</v>
      </c>
      <c r="N1012" s="1" t="s">
        <v>158</v>
      </c>
      <c r="O1012" s="1">
        <v>6</v>
      </c>
      <c r="P1012" s="1">
        <v>181</v>
      </c>
      <c r="Q1012" s="1">
        <v>1110.0999999999999</v>
      </c>
      <c r="R1012" s="8" t="str">
        <f>_xlfn.IFS(J1012&gt;=8,"Hit",J1012&gt;=6,"Average",J1012&lt;6,"Flop")</f>
        <v>Average</v>
      </c>
      <c r="S1012" s="9" t="str">
        <f>_xlfn.IFS(K1012&gt;=400,"Blockbuster",K1012&gt;=200,"Popular",K1012&lt;200,"Normal")</f>
        <v>Normal</v>
      </c>
      <c r="T1012" s="10" t="str">
        <f>IF(OR(I1012="PG",I1012="G"),"Yes","No")</f>
        <v>No</v>
      </c>
      <c r="U1012" s="11" t="str">
        <f>IF(P1012&gt;=100,"High","Low")</f>
        <v>High</v>
      </c>
      <c r="V1012" s="28">
        <f t="shared" si="30"/>
        <v>929.09999999999991</v>
      </c>
      <c r="W1012" s="29">
        <f t="shared" si="31"/>
        <v>613.31491712707179</v>
      </c>
    </row>
    <row r="1013" spans="1:23" x14ac:dyDescent="0.3">
      <c r="A1013" s="1" t="s">
        <v>2934</v>
      </c>
      <c r="B1013" s="1" t="s">
        <v>2935</v>
      </c>
      <c r="C1013" s="1" t="s">
        <v>46</v>
      </c>
      <c r="D1013" s="1" t="s">
        <v>58</v>
      </c>
      <c r="E1013" s="1">
        <v>2009</v>
      </c>
      <c r="F1013" s="1" t="s">
        <v>48</v>
      </c>
      <c r="G1013" s="1" t="s">
        <v>2936</v>
      </c>
      <c r="H1013" s="1">
        <v>45</v>
      </c>
      <c r="I1013" s="1" t="s">
        <v>31</v>
      </c>
      <c r="J1013" s="1">
        <v>9.5</v>
      </c>
      <c r="K1013" s="1">
        <v>178.1</v>
      </c>
      <c r="L1013" s="1" t="s">
        <v>90</v>
      </c>
      <c r="M1013" s="1" t="s">
        <v>132</v>
      </c>
      <c r="N1013" s="1" t="s">
        <v>158</v>
      </c>
      <c r="O1013" s="1">
        <v>3</v>
      </c>
      <c r="P1013" s="1">
        <v>132</v>
      </c>
      <c r="Q1013" s="1">
        <v>650.1</v>
      </c>
      <c r="R1013" s="8" t="str">
        <f>_xlfn.IFS(J1013&gt;=8,"Hit",J1013&gt;=6,"Average",J1013&lt;6,"Flop")</f>
        <v>Hit</v>
      </c>
      <c r="S1013" s="9" t="str">
        <f>_xlfn.IFS(K1013&gt;=400,"Blockbuster",K1013&gt;=200,"Popular",K1013&lt;200,"Normal")</f>
        <v>Normal</v>
      </c>
      <c r="T1013" s="10" t="str">
        <f>IF(OR(I1013="PG",I1013="G"),"Yes","No")</f>
        <v>No</v>
      </c>
      <c r="U1013" s="11" t="str">
        <f>IF(P1013&gt;=100,"High","Low")</f>
        <v>High</v>
      </c>
      <c r="V1013" s="28">
        <f t="shared" si="30"/>
        <v>518.1</v>
      </c>
      <c r="W1013" s="29">
        <f t="shared" si="31"/>
        <v>492.5</v>
      </c>
    </row>
    <row r="1014" spans="1:23" x14ac:dyDescent="0.3">
      <c r="A1014" s="1" t="s">
        <v>2937</v>
      </c>
      <c r="B1014" s="1" t="s">
        <v>2938</v>
      </c>
      <c r="C1014" s="1" t="s">
        <v>18</v>
      </c>
      <c r="D1014" s="1" t="s">
        <v>47</v>
      </c>
      <c r="E1014" s="1">
        <v>2014</v>
      </c>
      <c r="F1014" s="1" t="s">
        <v>83</v>
      </c>
      <c r="G1014" s="1" t="s">
        <v>609</v>
      </c>
      <c r="H1014" s="1">
        <v>156</v>
      </c>
      <c r="I1014" s="1" t="s">
        <v>22</v>
      </c>
      <c r="J1014" s="1">
        <v>7.5</v>
      </c>
      <c r="K1014" s="1">
        <v>83.2</v>
      </c>
      <c r="L1014" s="1" t="s">
        <v>65</v>
      </c>
      <c r="M1014" s="1" t="s">
        <v>132</v>
      </c>
      <c r="N1014" s="1" t="s">
        <v>119</v>
      </c>
      <c r="O1014" s="1"/>
      <c r="P1014" s="1">
        <v>78</v>
      </c>
      <c r="Q1014" s="1">
        <v>429.5</v>
      </c>
      <c r="R1014" s="8" t="str">
        <f>_xlfn.IFS(J1014&gt;=8,"Hit",J1014&gt;=6,"Average",J1014&lt;6,"Flop")</f>
        <v>Average</v>
      </c>
      <c r="S1014" s="9" t="str">
        <f>_xlfn.IFS(K1014&gt;=400,"Blockbuster",K1014&gt;=200,"Popular",K1014&lt;200,"Normal")</f>
        <v>Normal</v>
      </c>
      <c r="T1014" s="10" t="str">
        <f>IF(OR(I1014="PG",I1014="G"),"Yes","No")</f>
        <v>No</v>
      </c>
      <c r="U1014" s="11" t="str">
        <f>IF(P1014&gt;=100,"High","Low")</f>
        <v>Low</v>
      </c>
      <c r="V1014" s="28">
        <f t="shared" si="30"/>
        <v>351.5</v>
      </c>
      <c r="W1014" s="29">
        <f t="shared" si="31"/>
        <v>550.64102564102564</v>
      </c>
    </row>
    <row r="1015" spans="1:23" x14ac:dyDescent="0.3">
      <c r="A1015" s="1" t="s">
        <v>2939</v>
      </c>
      <c r="B1015" s="1" t="s">
        <v>2940</v>
      </c>
      <c r="C1015" s="1" t="s">
        <v>18</v>
      </c>
      <c r="D1015" s="1" t="s">
        <v>75</v>
      </c>
      <c r="E1015" s="1">
        <v>2003</v>
      </c>
      <c r="F1015" s="1" t="s">
        <v>29</v>
      </c>
      <c r="G1015" s="1" t="s">
        <v>1848</v>
      </c>
      <c r="H1015" s="1">
        <v>152</v>
      </c>
      <c r="I1015" s="1" t="s">
        <v>50</v>
      </c>
      <c r="J1015" s="1">
        <v>9.5</v>
      </c>
      <c r="K1015" s="1">
        <v>165.3</v>
      </c>
      <c r="L1015" s="1" t="s">
        <v>23</v>
      </c>
      <c r="M1015" s="1" t="s">
        <v>132</v>
      </c>
      <c r="N1015" s="1" t="s">
        <v>158</v>
      </c>
      <c r="O1015" s="1"/>
      <c r="P1015" s="1">
        <v>164</v>
      </c>
      <c r="Q1015" s="1">
        <v>227.5</v>
      </c>
      <c r="R1015" s="8" t="str">
        <f>_xlfn.IFS(J1015&gt;=8,"Hit",J1015&gt;=6,"Average",J1015&lt;6,"Flop")</f>
        <v>Hit</v>
      </c>
      <c r="S1015" s="9" t="str">
        <f>_xlfn.IFS(K1015&gt;=400,"Blockbuster",K1015&gt;=200,"Popular",K1015&lt;200,"Normal")</f>
        <v>Normal</v>
      </c>
      <c r="T1015" s="10" t="str">
        <f>IF(OR(I1015="PG",I1015="G"),"Yes","No")</f>
        <v>Yes</v>
      </c>
      <c r="U1015" s="11" t="str">
        <f>IF(P1015&gt;=100,"High","Low")</f>
        <v>High</v>
      </c>
      <c r="V1015" s="28">
        <f t="shared" si="30"/>
        <v>63.5</v>
      </c>
      <c r="W1015" s="29">
        <f t="shared" si="31"/>
        <v>138.71951219512195</v>
      </c>
    </row>
    <row r="1016" spans="1:23" x14ac:dyDescent="0.3">
      <c r="A1016" s="1" t="s">
        <v>2941</v>
      </c>
      <c r="B1016" s="1" t="s">
        <v>2942</v>
      </c>
      <c r="C1016" s="1" t="s">
        <v>46</v>
      </c>
      <c r="D1016" s="1" t="s">
        <v>117</v>
      </c>
      <c r="E1016" s="1">
        <v>2000</v>
      </c>
      <c r="F1016" s="1" t="s">
        <v>48</v>
      </c>
      <c r="G1016" s="1" t="s">
        <v>600</v>
      </c>
      <c r="H1016" s="1">
        <v>51</v>
      </c>
      <c r="I1016" s="1" t="s">
        <v>22</v>
      </c>
      <c r="J1016" s="1">
        <v>6.3</v>
      </c>
      <c r="K1016" s="1">
        <v>421</v>
      </c>
      <c r="L1016" s="1" t="s">
        <v>41</v>
      </c>
      <c r="M1016" s="1" t="s">
        <v>132</v>
      </c>
      <c r="N1016" s="1" t="s">
        <v>178</v>
      </c>
      <c r="O1016" s="1">
        <v>6</v>
      </c>
      <c r="P1016" s="1">
        <v>198</v>
      </c>
      <c r="Q1016" s="1">
        <v>410.6</v>
      </c>
      <c r="R1016" s="8" t="str">
        <f>_xlfn.IFS(J1016&gt;=8,"Hit",J1016&gt;=6,"Average",J1016&lt;6,"Flop")</f>
        <v>Average</v>
      </c>
      <c r="S1016" s="9" t="str">
        <f>_xlfn.IFS(K1016&gt;=400,"Blockbuster",K1016&gt;=200,"Popular",K1016&lt;200,"Normal")</f>
        <v>Blockbuster</v>
      </c>
      <c r="T1016" s="10" t="str">
        <f>IF(OR(I1016="PG",I1016="G"),"Yes","No")</f>
        <v>No</v>
      </c>
      <c r="U1016" s="11" t="str">
        <f>IF(P1016&gt;=100,"High","Low")</f>
        <v>High</v>
      </c>
      <c r="V1016" s="28">
        <f t="shared" si="30"/>
        <v>212.60000000000002</v>
      </c>
      <c r="W1016" s="29">
        <f t="shared" si="31"/>
        <v>207.37373737373738</v>
      </c>
    </row>
    <row r="1017" spans="1:23" x14ac:dyDescent="0.3">
      <c r="A1017" s="1" t="s">
        <v>2943</v>
      </c>
      <c r="B1017" s="1" t="s">
        <v>2944</v>
      </c>
      <c r="C1017" s="1" t="s">
        <v>46</v>
      </c>
      <c r="D1017" s="1" t="s">
        <v>82</v>
      </c>
      <c r="E1017" s="1">
        <v>2006</v>
      </c>
      <c r="F1017" s="1" t="s">
        <v>181</v>
      </c>
      <c r="G1017" s="1" t="s">
        <v>1709</v>
      </c>
      <c r="H1017" s="1">
        <v>42</v>
      </c>
      <c r="I1017" s="1" t="s">
        <v>22</v>
      </c>
      <c r="J1017" s="1">
        <v>7.6</v>
      </c>
      <c r="K1017" s="1">
        <v>319.2</v>
      </c>
      <c r="L1017" s="1" t="s">
        <v>32</v>
      </c>
      <c r="M1017" s="1" t="s">
        <v>42</v>
      </c>
      <c r="N1017" s="1" t="s">
        <v>91</v>
      </c>
      <c r="O1017" s="1">
        <v>4</v>
      </c>
      <c r="P1017" s="1">
        <v>110</v>
      </c>
      <c r="Q1017" s="1">
        <v>300.10000000000002</v>
      </c>
      <c r="R1017" s="8" t="str">
        <f>_xlfn.IFS(J1017&gt;=8,"Hit",J1017&gt;=6,"Average",J1017&lt;6,"Flop")</f>
        <v>Average</v>
      </c>
      <c r="S1017" s="9" t="str">
        <f>_xlfn.IFS(K1017&gt;=400,"Blockbuster",K1017&gt;=200,"Popular",K1017&lt;200,"Normal")</f>
        <v>Popular</v>
      </c>
      <c r="T1017" s="10" t="str">
        <f>IF(OR(I1017="PG",I1017="G"),"Yes","No")</f>
        <v>No</v>
      </c>
      <c r="U1017" s="11" t="str">
        <f>IF(P1017&gt;=100,"High","Low")</f>
        <v>High</v>
      </c>
      <c r="V1017" s="28">
        <f t="shared" si="30"/>
        <v>190.10000000000002</v>
      </c>
      <c r="W1017" s="29">
        <f t="shared" si="31"/>
        <v>272.81818181818187</v>
      </c>
    </row>
    <row r="1018" spans="1:23" x14ac:dyDescent="0.3">
      <c r="A1018" s="1" t="s">
        <v>2945</v>
      </c>
      <c r="B1018" s="1" t="s">
        <v>2946</v>
      </c>
      <c r="C1018" s="1" t="s">
        <v>18</v>
      </c>
      <c r="D1018" s="1" t="s">
        <v>117</v>
      </c>
      <c r="E1018" s="1">
        <v>2017</v>
      </c>
      <c r="F1018" s="1" t="s">
        <v>29</v>
      </c>
      <c r="G1018" s="1" t="s">
        <v>2947</v>
      </c>
      <c r="H1018" s="1">
        <v>141</v>
      </c>
      <c r="I1018" s="1" t="s">
        <v>22</v>
      </c>
      <c r="J1018" s="1">
        <v>6.5</v>
      </c>
      <c r="K1018" s="1">
        <v>451.6</v>
      </c>
      <c r="L1018" s="1" t="s">
        <v>65</v>
      </c>
      <c r="M1018" s="1" t="s">
        <v>42</v>
      </c>
      <c r="N1018" s="1" t="s">
        <v>79</v>
      </c>
      <c r="O1018" s="1"/>
      <c r="P1018" s="1">
        <v>103</v>
      </c>
      <c r="Q1018" s="1">
        <v>362.2</v>
      </c>
      <c r="R1018" s="8" t="str">
        <f>_xlfn.IFS(J1018&gt;=8,"Hit",J1018&gt;=6,"Average",J1018&lt;6,"Flop")</f>
        <v>Average</v>
      </c>
      <c r="S1018" s="9" t="str">
        <f>_xlfn.IFS(K1018&gt;=400,"Blockbuster",K1018&gt;=200,"Popular",K1018&lt;200,"Normal")</f>
        <v>Blockbuster</v>
      </c>
      <c r="T1018" s="10" t="str">
        <f>IF(OR(I1018="PG",I1018="G"),"Yes","No")</f>
        <v>No</v>
      </c>
      <c r="U1018" s="11" t="str">
        <f>IF(P1018&gt;=100,"High","Low")</f>
        <v>High</v>
      </c>
      <c r="V1018" s="28">
        <f t="shared" si="30"/>
        <v>259.2</v>
      </c>
      <c r="W1018" s="29">
        <f t="shared" si="31"/>
        <v>351.65048543689318</v>
      </c>
    </row>
    <row r="1019" spans="1:23" x14ac:dyDescent="0.3">
      <c r="A1019" s="1" t="s">
        <v>2948</v>
      </c>
      <c r="B1019" s="1" t="s">
        <v>2949</v>
      </c>
      <c r="C1019" s="1" t="s">
        <v>18</v>
      </c>
      <c r="D1019" s="1" t="s">
        <v>28</v>
      </c>
      <c r="E1019" s="1">
        <v>2025</v>
      </c>
      <c r="F1019" s="1" t="s">
        <v>76</v>
      </c>
      <c r="G1019" s="1" t="s">
        <v>2950</v>
      </c>
      <c r="H1019" s="1">
        <v>144</v>
      </c>
      <c r="I1019" s="1" t="s">
        <v>31</v>
      </c>
      <c r="J1019" s="1">
        <v>5.8</v>
      </c>
      <c r="K1019" s="1">
        <v>120.4</v>
      </c>
      <c r="L1019" s="1" t="s">
        <v>71</v>
      </c>
      <c r="M1019" s="1" t="s">
        <v>33</v>
      </c>
      <c r="N1019" s="1" t="s">
        <v>178</v>
      </c>
      <c r="O1019" s="1"/>
      <c r="P1019" s="1">
        <v>83</v>
      </c>
      <c r="Q1019" s="1">
        <v>440.4</v>
      </c>
      <c r="R1019" s="8" t="str">
        <f>_xlfn.IFS(J1019&gt;=8,"Hit",J1019&gt;=6,"Average",J1019&lt;6,"Flop")</f>
        <v>Flop</v>
      </c>
      <c r="S1019" s="9" t="str">
        <f>_xlfn.IFS(K1019&gt;=400,"Blockbuster",K1019&gt;=200,"Popular",K1019&lt;200,"Normal")</f>
        <v>Normal</v>
      </c>
      <c r="T1019" s="10" t="str">
        <f>IF(OR(I1019="PG",I1019="G"),"Yes","No")</f>
        <v>No</v>
      </c>
      <c r="U1019" s="11" t="str">
        <f>IF(P1019&gt;=100,"High","Low")</f>
        <v>Low</v>
      </c>
      <c r="V1019" s="28">
        <f t="shared" si="30"/>
        <v>357.4</v>
      </c>
      <c r="W1019" s="29">
        <f t="shared" si="31"/>
        <v>530.60240963855426</v>
      </c>
    </row>
    <row r="1020" spans="1:23" x14ac:dyDescent="0.3">
      <c r="A1020" s="1" t="s">
        <v>2951</v>
      </c>
      <c r="B1020" s="1" t="s">
        <v>2952</v>
      </c>
      <c r="C1020" s="1" t="s">
        <v>18</v>
      </c>
      <c r="D1020" s="1" t="s">
        <v>37</v>
      </c>
      <c r="E1020" s="1">
        <v>2013</v>
      </c>
      <c r="F1020" s="1" t="s">
        <v>20</v>
      </c>
      <c r="G1020" s="1" t="s">
        <v>2953</v>
      </c>
      <c r="H1020" s="1">
        <v>179</v>
      </c>
      <c r="I1020" s="1" t="s">
        <v>40</v>
      </c>
      <c r="J1020" s="1">
        <v>6.7</v>
      </c>
      <c r="K1020" s="1">
        <v>268.7</v>
      </c>
      <c r="L1020" s="1" t="s">
        <v>171</v>
      </c>
      <c r="M1020" s="1" t="s">
        <v>85</v>
      </c>
      <c r="N1020" s="1" t="s">
        <v>119</v>
      </c>
      <c r="O1020" s="1"/>
      <c r="P1020" s="1">
        <v>23</v>
      </c>
      <c r="Q1020" s="1">
        <v>27.8</v>
      </c>
      <c r="R1020" s="8" t="str">
        <f>_xlfn.IFS(J1020&gt;=8,"Hit",J1020&gt;=6,"Average",J1020&lt;6,"Flop")</f>
        <v>Average</v>
      </c>
      <c r="S1020" s="9" t="str">
        <f>_xlfn.IFS(K1020&gt;=400,"Blockbuster",K1020&gt;=200,"Popular",K1020&lt;200,"Normal")</f>
        <v>Popular</v>
      </c>
      <c r="T1020" s="10" t="str">
        <f>IF(OR(I1020="PG",I1020="G"),"Yes","No")</f>
        <v>Yes</v>
      </c>
      <c r="U1020" s="11" t="str">
        <f>IF(P1020&gt;=100,"High","Low")</f>
        <v>Low</v>
      </c>
      <c r="V1020" s="28">
        <f t="shared" si="30"/>
        <v>4.8000000000000007</v>
      </c>
      <c r="W1020" s="29">
        <f t="shared" si="31"/>
        <v>120.86956521739131</v>
      </c>
    </row>
    <row r="1021" spans="1:23" x14ac:dyDescent="0.3">
      <c r="A1021" s="1" t="s">
        <v>2954</v>
      </c>
      <c r="B1021" s="1" t="s">
        <v>2955</v>
      </c>
      <c r="C1021" s="1" t="s">
        <v>46</v>
      </c>
      <c r="D1021" s="1" t="s">
        <v>82</v>
      </c>
      <c r="E1021" s="1">
        <v>2011</v>
      </c>
      <c r="F1021" s="1" t="s">
        <v>95</v>
      </c>
      <c r="G1021" s="1" t="s">
        <v>2956</v>
      </c>
      <c r="H1021" s="1">
        <v>47</v>
      </c>
      <c r="I1021" s="1" t="s">
        <v>110</v>
      </c>
      <c r="J1021" s="1">
        <v>7.2</v>
      </c>
      <c r="K1021" s="1">
        <v>16.8</v>
      </c>
      <c r="L1021" s="1" t="s">
        <v>171</v>
      </c>
      <c r="M1021" s="1" t="s">
        <v>124</v>
      </c>
      <c r="N1021" s="1" t="s">
        <v>60</v>
      </c>
      <c r="O1021" s="1">
        <v>8</v>
      </c>
      <c r="P1021" s="1">
        <v>139</v>
      </c>
      <c r="Q1021" s="1">
        <v>539</v>
      </c>
      <c r="R1021" s="8" t="str">
        <f>_xlfn.IFS(J1021&gt;=8,"Hit",J1021&gt;=6,"Average",J1021&lt;6,"Flop")</f>
        <v>Average</v>
      </c>
      <c r="S1021" s="9" t="str">
        <f>_xlfn.IFS(K1021&gt;=400,"Blockbuster",K1021&gt;=200,"Popular",K1021&lt;200,"Normal")</f>
        <v>Normal</v>
      </c>
      <c r="T1021" s="10" t="str">
        <f>IF(OR(I1021="PG",I1021="G"),"Yes","No")</f>
        <v>No</v>
      </c>
      <c r="U1021" s="11" t="str">
        <f>IF(P1021&gt;=100,"High","Low")</f>
        <v>High</v>
      </c>
      <c r="V1021" s="28">
        <f t="shared" si="30"/>
        <v>400</v>
      </c>
      <c r="W1021" s="29">
        <f t="shared" si="31"/>
        <v>387.76978417266184</v>
      </c>
    </row>
    <row r="1022" spans="1:23" x14ac:dyDescent="0.3">
      <c r="A1022" s="1" t="s">
        <v>2957</v>
      </c>
      <c r="B1022" s="1" t="s">
        <v>2958</v>
      </c>
      <c r="C1022" s="1" t="s">
        <v>46</v>
      </c>
      <c r="D1022" s="1" t="s">
        <v>37</v>
      </c>
      <c r="E1022" s="1">
        <v>2008</v>
      </c>
      <c r="F1022" s="1" t="s">
        <v>48</v>
      </c>
      <c r="G1022" s="1" t="s">
        <v>2959</v>
      </c>
      <c r="H1022" s="1">
        <v>51</v>
      </c>
      <c r="I1022" s="1" t="s">
        <v>110</v>
      </c>
      <c r="J1022" s="1">
        <v>8.8000000000000007</v>
      </c>
      <c r="K1022" s="1">
        <v>256.39999999999998</v>
      </c>
      <c r="L1022" s="1" t="s">
        <v>90</v>
      </c>
      <c r="M1022" s="1" t="s">
        <v>106</v>
      </c>
      <c r="N1022" s="1" t="s">
        <v>25</v>
      </c>
      <c r="O1022" s="1">
        <v>1</v>
      </c>
      <c r="P1022" s="1">
        <v>110</v>
      </c>
      <c r="Q1022" s="1">
        <v>432.5</v>
      </c>
      <c r="R1022" s="8" t="str">
        <f>_xlfn.IFS(J1022&gt;=8,"Hit",J1022&gt;=6,"Average",J1022&lt;6,"Flop")</f>
        <v>Hit</v>
      </c>
      <c r="S1022" s="9" t="str">
        <f>_xlfn.IFS(K1022&gt;=400,"Blockbuster",K1022&gt;=200,"Popular",K1022&lt;200,"Normal")</f>
        <v>Popular</v>
      </c>
      <c r="T1022" s="10" t="str">
        <f>IF(OR(I1022="PG",I1022="G"),"Yes","No")</f>
        <v>No</v>
      </c>
      <c r="U1022" s="11" t="str">
        <f>IF(P1022&gt;=100,"High","Low")</f>
        <v>High</v>
      </c>
      <c r="V1022" s="28">
        <f t="shared" si="30"/>
        <v>322.5</v>
      </c>
      <c r="W1022" s="29">
        <f t="shared" si="31"/>
        <v>393.18181818181819</v>
      </c>
    </row>
    <row r="1023" spans="1:23" x14ac:dyDescent="0.3">
      <c r="A1023" s="1" t="s">
        <v>2960</v>
      </c>
      <c r="B1023" s="1" t="s">
        <v>2961</v>
      </c>
      <c r="C1023" s="1" t="s">
        <v>46</v>
      </c>
      <c r="D1023" s="1" t="s">
        <v>94</v>
      </c>
      <c r="E1023" s="1">
        <v>2022</v>
      </c>
      <c r="F1023" s="1" t="s">
        <v>76</v>
      </c>
      <c r="G1023" s="1" t="s">
        <v>2962</v>
      </c>
      <c r="H1023" s="1">
        <v>53</v>
      </c>
      <c r="I1023" s="1" t="s">
        <v>40</v>
      </c>
      <c r="J1023" s="1">
        <v>8.8000000000000007</v>
      </c>
      <c r="K1023" s="1">
        <v>436.4</v>
      </c>
      <c r="L1023" s="1" t="s">
        <v>23</v>
      </c>
      <c r="M1023" s="1" t="s">
        <v>106</v>
      </c>
      <c r="N1023" s="1" t="s">
        <v>119</v>
      </c>
      <c r="O1023" s="1">
        <v>5</v>
      </c>
      <c r="P1023" s="1">
        <v>118</v>
      </c>
      <c r="Q1023" s="1">
        <v>398.8</v>
      </c>
      <c r="R1023" s="8" t="str">
        <f>_xlfn.IFS(J1023&gt;=8,"Hit",J1023&gt;=6,"Average",J1023&lt;6,"Flop")</f>
        <v>Hit</v>
      </c>
      <c r="S1023" s="9" t="str">
        <f>_xlfn.IFS(K1023&gt;=400,"Blockbuster",K1023&gt;=200,"Popular",K1023&lt;200,"Normal")</f>
        <v>Blockbuster</v>
      </c>
      <c r="T1023" s="10" t="str">
        <f>IF(OR(I1023="PG",I1023="G"),"Yes","No")</f>
        <v>Yes</v>
      </c>
      <c r="U1023" s="11" t="str">
        <f>IF(P1023&gt;=100,"High","Low")</f>
        <v>High</v>
      </c>
      <c r="V1023" s="28">
        <f t="shared" si="30"/>
        <v>280.8</v>
      </c>
      <c r="W1023" s="29">
        <f t="shared" si="31"/>
        <v>337.96610169491527</v>
      </c>
    </row>
    <row r="1024" spans="1:23" x14ac:dyDescent="0.3">
      <c r="A1024" s="1" t="s">
        <v>2963</v>
      </c>
      <c r="B1024" s="1" t="s">
        <v>2964</v>
      </c>
      <c r="C1024" s="1" t="s">
        <v>18</v>
      </c>
      <c r="D1024" s="1" t="s">
        <v>82</v>
      </c>
      <c r="E1024" s="1">
        <v>2002</v>
      </c>
      <c r="F1024" s="1" t="s">
        <v>122</v>
      </c>
      <c r="G1024" s="1" t="s">
        <v>2965</v>
      </c>
      <c r="H1024" s="1">
        <v>172</v>
      </c>
      <c r="I1024" s="1" t="s">
        <v>40</v>
      </c>
      <c r="J1024" s="1">
        <v>7.2</v>
      </c>
      <c r="K1024" s="1">
        <v>338.7</v>
      </c>
      <c r="L1024" s="1" t="s">
        <v>90</v>
      </c>
      <c r="M1024" s="1" t="s">
        <v>111</v>
      </c>
      <c r="N1024" s="1" t="s">
        <v>91</v>
      </c>
      <c r="O1024" s="1"/>
      <c r="P1024" s="1">
        <v>150</v>
      </c>
      <c r="Q1024" s="1">
        <v>584.5</v>
      </c>
      <c r="R1024" s="8" t="str">
        <f>_xlfn.IFS(J1024&gt;=8,"Hit",J1024&gt;=6,"Average",J1024&lt;6,"Flop")</f>
        <v>Average</v>
      </c>
      <c r="S1024" s="9" t="str">
        <f>_xlfn.IFS(K1024&gt;=400,"Blockbuster",K1024&gt;=200,"Popular",K1024&lt;200,"Normal")</f>
        <v>Popular</v>
      </c>
      <c r="T1024" s="10" t="str">
        <f>IF(OR(I1024="PG",I1024="G"),"Yes","No")</f>
        <v>Yes</v>
      </c>
      <c r="U1024" s="11" t="str">
        <f>IF(P1024&gt;=100,"High","Low")</f>
        <v>High</v>
      </c>
      <c r="V1024" s="28">
        <f t="shared" si="30"/>
        <v>434.5</v>
      </c>
      <c r="W1024" s="29">
        <f t="shared" si="31"/>
        <v>389.66666666666663</v>
      </c>
    </row>
    <row r="1025" spans="1:23" x14ac:dyDescent="0.3">
      <c r="A1025" s="1" t="s">
        <v>2966</v>
      </c>
      <c r="B1025" s="1" t="s">
        <v>2967</v>
      </c>
      <c r="C1025" s="1" t="s">
        <v>46</v>
      </c>
      <c r="D1025" s="1" t="s">
        <v>141</v>
      </c>
      <c r="E1025" s="1">
        <v>2009</v>
      </c>
      <c r="F1025" s="1" t="s">
        <v>100</v>
      </c>
      <c r="G1025" s="1" t="s">
        <v>2968</v>
      </c>
      <c r="H1025" s="1">
        <v>41</v>
      </c>
      <c r="I1025" s="1" t="s">
        <v>110</v>
      </c>
      <c r="J1025" s="1">
        <v>5.7</v>
      </c>
      <c r="K1025" s="1">
        <v>434.3</v>
      </c>
      <c r="L1025" s="1" t="s">
        <v>171</v>
      </c>
      <c r="M1025" s="1" t="s">
        <v>54</v>
      </c>
      <c r="N1025" s="1" t="s">
        <v>128</v>
      </c>
      <c r="O1025" s="1">
        <v>5</v>
      </c>
      <c r="P1025" s="1">
        <v>198</v>
      </c>
      <c r="Q1025" s="1">
        <v>962.1</v>
      </c>
      <c r="R1025" s="8" t="str">
        <f>_xlfn.IFS(J1025&gt;=8,"Hit",J1025&gt;=6,"Average",J1025&lt;6,"Flop")</f>
        <v>Flop</v>
      </c>
      <c r="S1025" s="9" t="str">
        <f>_xlfn.IFS(K1025&gt;=400,"Blockbuster",K1025&gt;=200,"Popular",K1025&lt;200,"Normal")</f>
        <v>Blockbuster</v>
      </c>
      <c r="T1025" s="10" t="str">
        <f>IF(OR(I1025="PG",I1025="G"),"Yes","No")</f>
        <v>No</v>
      </c>
      <c r="U1025" s="11" t="str">
        <f>IF(P1025&gt;=100,"High","Low")</f>
        <v>High</v>
      </c>
      <c r="V1025" s="28">
        <f t="shared" si="30"/>
        <v>764.1</v>
      </c>
      <c r="W1025" s="29">
        <f t="shared" si="31"/>
        <v>485.90909090909093</v>
      </c>
    </row>
    <row r="1026" spans="1:23" x14ac:dyDescent="0.3">
      <c r="A1026" s="1" t="s">
        <v>2969</v>
      </c>
      <c r="B1026" s="1" t="s">
        <v>2970</v>
      </c>
      <c r="C1026" s="1" t="s">
        <v>46</v>
      </c>
      <c r="D1026" s="1" t="s">
        <v>82</v>
      </c>
      <c r="E1026" s="1">
        <v>2025</v>
      </c>
      <c r="F1026" s="1" t="s">
        <v>83</v>
      </c>
      <c r="G1026" s="1" t="s">
        <v>2971</v>
      </c>
      <c r="H1026" s="1">
        <v>50</v>
      </c>
      <c r="I1026" s="1" t="s">
        <v>31</v>
      </c>
      <c r="J1026" s="1">
        <v>6.7</v>
      </c>
      <c r="K1026" s="1">
        <v>16.7</v>
      </c>
      <c r="L1026" s="1" t="s">
        <v>41</v>
      </c>
      <c r="M1026" s="1" t="s">
        <v>24</v>
      </c>
      <c r="N1026" s="1" t="s">
        <v>119</v>
      </c>
      <c r="O1026" s="1">
        <v>2</v>
      </c>
      <c r="P1026" s="1">
        <v>103</v>
      </c>
      <c r="Q1026" s="1">
        <v>332.1</v>
      </c>
      <c r="R1026" s="8" t="str">
        <f>_xlfn.IFS(J1026&gt;=8,"Hit",J1026&gt;=6,"Average",J1026&lt;6,"Flop")</f>
        <v>Average</v>
      </c>
      <c r="S1026" s="9" t="str">
        <f>_xlfn.IFS(K1026&gt;=400,"Blockbuster",K1026&gt;=200,"Popular",K1026&lt;200,"Normal")</f>
        <v>Normal</v>
      </c>
      <c r="T1026" s="10" t="str">
        <f>IF(OR(I1026="PG",I1026="G"),"Yes","No")</f>
        <v>No</v>
      </c>
      <c r="U1026" s="11" t="str">
        <f>IF(P1026&gt;=100,"High","Low")</f>
        <v>High</v>
      </c>
      <c r="V1026" s="28">
        <f t="shared" si="30"/>
        <v>229.10000000000002</v>
      </c>
      <c r="W1026" s="29">
        <f t="shared" si="31"/>
        <v>322.42718446601947</v>
      </c>
    </row>
    <row r="1027" spans="1:23" x14ac:dyDescent="0.3">
      <c r="A1027" s="1" t="s">
        <v>2972</v>
      </c>
      <c r="B1027" s="1" t="s">
        <v>2973</v>
      </c>
      <c r="C1027" s="1" t="s">
        <v>46</v>
      </c>
      <c r="D1027" s="1" t="s">
        <v>75</v>
      </c>
      <c r="E1027" s="1">
        <v>2020</v>
      </c>
      <c r="F1027" s="1" t="s">
        <v>83</v>
      </c>
      <c r="G1027" s="1" t="s">
        <v>2974</v>
      </c>
      <c r="H1027" s="1">
        <v>43</v>
      </c>
      <c r="I1027" s="1" t="s">
        <v>40</v>
      </c>
      <c r="J1027" s="1">
        <v>5</v>
      </c>
      <c r="K1027" s="1">
        <v>2.2000000000000002</v>
      </c>
      <c r="L1027" s="1" t="s">
        <v>32</v>
      </c>
      <c r="M1027" s="1" t="s">
        <v>97</v>
      </c>
      <c r="N1027" s="1" t="s">
        <v>55</v>
      </c>
      <c r="O1027" s="1">
        <v>8</v>
      </c>
      <c r="P1027" s="1">
        <v>49</v>
      </c>
      <c r="Q1027" s="1">
        <v>307.8</v>
      </c>
      <c r="R1027" s="8" t="str">
        <f>_xlfn.IFS(J1027&gt;=8,"Hit",J1027&gt;=6,"Average",J1027&lt;6,"Flop")</f>
        <v>Flop</v>
      </c>
      <c r="S1027" s="9" t="str">
        <f>_xlfn.IFS(K1027&gt;=400,"Blockbuster",K1027&gt;=200,"Popular",K1027&lt;200,"Normal")</f>
        <v>Normal</v>
      </c>
      <c r="T1027" s="10" t="str">
        <f>IF(OR(I1027="PG",I1027="G"),"Yes","No")</f>
        <v>Yes</v>
      </c>
      <c r="U1027" s="11" t="str">
        <f>IF(P1027&gt;=100,"High","Low")</f>
        <v>Low</v>
      </c>
      <c r="V1027" s="28">
        <f t="shared" ref="V1027:V1090" si="32">Q1027-P1027</f>
        <v>258.8</v>
      </c>
      <c r="W1027" s="29">
        <f t="shared" ref="W1027:W1090" si="33">(Q1027/P1027)*100</f>
        <v>628.16326530612253</v>
      </c>
    </row>
    <row r="1028" spans="1:23" x14ac:dyDescent="0.3">
      <c r="A1028" s="1" t="s">
        <v>2975</v>
      </c>
      <c r="B1028" s="1" t="s">
        <v>2976</v>
      </c>
      <c r="C1028" s="1" t="s">
        <v>18</v>
      </c>
      <c r="D1028" s="1" t="s">
        <v>82</v>
      </c>
      <c r="E1028" s="1">
        <v>2003</v>
      </c>
      <c r="F1028" s="1" t="s">
        <v>83</v>
      </c>
      <c r="G1028" s="1" t="s">
        <v>2977</v>
      </c>
      <c r="H1028" s="1">
        <v>143</v>
      </c>
      <c r="I1028" s="1" t="s">
        <v>40</v>
      </c>
      <c r="J1028" s="1">
        <v>6.6</v>
      </c>
      <c r="K1028" s="1">
        <v>242.3</v>
      </c>
      <c r="L1028" s="1" t="s">
        <v>171</v>
      </c>
      <c r="M1028" s="1" t="s">
        <v>97</v>
      </c>
      <c r="N1028" s="1" t="s">
        <v>79</v>
      </c>
      <c r="O1028" s="1"/>
      <c r="P1028" s="1">
        <v>73</v>
      </c>
      <c r="Q1028" s="1">
        <v>347.1</v>
      </c>
      <c r="R1028" s="8" t="str">
        <f>_xlfn.IFS(J1028&gt;=8,"Hit",J1028&gt;=6,"Average",J1028&lt;6,"Flop")</f>
        <v>Average</v>
      </c>
      <c r="S1028" s="9" t="str">
        <f>_xlfn.IFS(K1028&gt;=400,"Blockbuster",K1028&gt;=200,"Popular",K1028&lt;200,"Normal")</f>
        <v>Popular</v>
      </c>
      <c r="T1028" s="10" t="str">
        <f>IF(OR(I1028="PG",I1028="G"),"Yes","No")</f>
        <v>Yes</v>
      </c>
      <c r="U1028" s="11" t="str">
        <f>IF(P1028&gt;=100,"High","Low")</f>
        <v>Low</v>
      </c>
      <c r="V1028" s="28">
        <f t="shared" si="32"/>
        <v>274.10000000000002</v>
      </c>
      <c r="W1028" s="29">
        <f t="shared" si="33"/>
        <v>475.47945205479454</v>
      </c>
    </row>
    <row r="1029" spans="1:23" x14ac:dyDescent="0.3">
      <c r="A1029" s="1" t="s">
        <v>2978</v>
      </c>
      <c r="B1029" s="1" t="s">
        <v>2979</v>
      </c>
      <c r="C1029" s="1" t="s">
        <v>18</v>
      </c>
      <c r="D1029" s="1" t="s">
        <v>19</v>
      </c>
      <c r="E1029" s="1">
        <v>2018</v>
      </c>
      <c r="F1029" s="1" t="s">
        <v>20</v>
      </c>
      <c r="G1029" s="1" t="s">
        <v>2980</v>
      </c>
      <c r="H1029" s="1">
        <v>119</v>
      </c>
      <c r="I1029" s="1" t="s">
        <v>110</v>
      </c>
      <c r="J1029" s="1">
        <v>7.8</v>
      </c>
      <c r="K1029" s="1">
        <v>226</v>
      </c>
      <c r="L1029" s="1" t="s">
        <v>71</v>
      </c>
      <c r="M1029" s="1" t="s">
        <v>124</v>
      </c>
      <c r="N1029" s="1" t="s">
        <v>67</v>
      </c>
      <c r="O1029" s="1"/>
      <c r="P1029" s="1">
        <v>125</v>
      </c>
      <c r="Q1029" s="1">
        <v>582.20000000000005</v>
      </c>
      <c r="R1029" s="8" t="str">
        <f>_xlfn.IFS(J1029&gt;=8,"Hit",J1029&gt;=6,"Average",J1029&lt;6,"Flop")</f>
        <v>Average</v>
      </c>
      <c r="S1029" s="9" t="str">
        <f>_xlfn.IFS(K1029&gt;=400,"Blockbuster",K1029&gt;=200,"Popular",K1029&lt;200,"Normal")</f>
        <v>Popular</v>
      </c>
      <c r="T1029" s="10" t="str">
        <f>IF(OR(I1029="PG",I1029="G"),"Yes","No")</f>
        <v>No</v>
      </c>
      <c r="U1029" s="11" t="str">
        <f>IF(P1029&gt;=100,"High","Low")</f>
        <v>High</v>
      </c>
      <c r="V1029" s="28">
        <f t="shared" si="32"/>
        <v>457.20000000000005</v>
      </c>
      <c r="W1029" s="29">
        <f t="shared" si="33"/>
        <v>465.76000000000005</v>
      </c>
    </row>
    <row r="1030" spans="1:23" x14ac:dyDescent="0.3">
      <c r="A1030" s="1" t="s">
        <v>2981</v>
      </c>
      <c r="B1030" s="1" t="s">
        <v>2982</v>
      </c>
      <c r="C1030" s="1" t="s">
        <v>18</v>
      </c>
      <c r="D1030" s="1" t="s">
        <v>47</v>
      </c>
      <c r="E1030" s="1">
        <v>2023</v>
      </c>
      <c r="F1030" s="1" t="s">
        <v>181</v>
      </c>
      <c r="G1030" s="1" t="s">
        <v>1856</v>
      </c>
      <c r="H1030" s="1">
        <v>171</v>
      </c>
      <c r="I1030" s="1" t="s">
        <v>22</v>
      </c>
      <c r="J1030" s="1">
        <v>8.6999999999999993</v>
      </c>
      <c r="K1030" s="1">
        <v>556.70000000000005</v>
      </c>
      <c r="L1030" s="1" t="s">
        <v>32</v>
      </c>
      <c r="M1030" s="1" t="s">
        <v>72</v>
      </c>
      <c r="N1030" s="1" t="s">
        <v>91</v>
      </c>
      <c r="O1030" s="1"/>
      <c r="P1030" s="1">
        <v>135</v>
      </c>
      <c r="Q1030" s="1">
        <v>455.1</v>
      </c>
      <c r="R1030" s="8" t="str">
        <f>_xlfn.IFS(J1030&gt;=8,"Hit",J1030&gt;=6,"Average",J1030&lt;6,"Flop")</f>
        <v>Hit</v>
      </c>
      <c r="S1030" s="9" t="str">
        <f>_xlfn.IFS(K1030&gt;=400,"Blockbuster",K1030&gt;=200,"Popular",K1030&lt;200,"Normal")</f>
        <v>Blockbuster</v>
      </c>
      <c r="T1030" s="10" t="str">
        <f>IF(OR(I1030="PG",I1030="G"),"Yes","No")</f>
        <v>No</v>
      </c>
      <c r="U1030" s="11" t="str">
        <f>IF(P1030&gt;=100,"High","Low")</f>
        <v>High</v>
      </c>
      <c r="V1030" s="28">
        <f t="shared" si="32"/>
        <v>320.10000000000002</v>
      </c>
      <c r="W1030" s="29">
        <f t="shared" si="33"/>
        <v>337.11111111111114</v>
      </c>
    </row>
    <row r="1031" spans="1:23" x14ac:dyDescent="0.3">
      <c r="A1031" s="1" t="s">
        <v>2983</v>
      </c>
      <c r="B1031" s="1" t="s">
        <v>2984</v>
      </c>
      <c r="C1031" s="1" t="s">
        <v>18</v>
      </c>
      <c r="D1031" s="1" t="s">
        <v>37</v>
      </c>
      <c r="E1031" s="1">
        <v>2017</v>
      </c>
      <c r="F1031" s="1" t="s">
        <v>95</v>
      </c>
      <c r="G1031" s="1" t="s">
        <v>2985</v>
      </c>
      <c r="H1031" s="1">
        <v>151</v>
      </c>
      <c r="I1031" s="1" t="s">
        <v>40</v>
      </c>
      <c r="J1031" s="1">
        <v>8.1999999999999993</v>
      </c>
      <c r="K1031" s="1">
        <v>317.60000000000002</v>
      </c>
      <c r="L1031" s="1" t="s">
        <v>171</v>
      </c>
      <c r="M1031" s="1" t="s">
        <v>24</v>
      </c>
      <c r="N1031" s="1" t="s">
        <v>55</v>
      </c>
      <c r="O1031" s="1"/>
      <c r="P1031" s="1">
        <v>36</v>
      </c>
      <c r="Q1031" s="1">
        <v>98.7</v>
      </c>
      <c r="R1031" s="8" t="str">
        <f>_xlfn.IFS(J1031&gt;=8,"Hit",J1031&gt;=6,"Average",J1031&lt;6,"Flop")</f>
        <v>Hit</v>
      </c>
      <c r="S1031" s="9" t="str">
        <f>_xlfn.IFS(K1031&gt;=400,"Blockbuster",K1031&gt;=200,"Popular",K1031&lt;200,"Normal")</f>
        <v>Popular</v>
      </c>
      <c r="T1031" s="10" t="str">
        <f>IF(OR(I1031="PG",I1031="G"),"Yes","No")</f>
        <v>Yes</v>
      </c>
      <c r="U1031" s="11" t="str">
        <f>IF(P1031&gt;=100,"High","Low")</f>
        <v>Low</v>
      </c>
      <c r="V1031" s="28">
        <f t="shared" si="32"/>
        <v>62.7</v>
      </c>
      <c r="W1031" s="29">
        <f t="shared" si="33"/>
        <v>274.16666666666669</v>
      </c>
    </row>
    <row r="1032" spans="1:23" x14ac:dyDescent="0.3">
      <c r="A1032" s="1" t="s">
        <v>2986</v>
      </c>
      <c r="B1032" s="1" t="s">
        <v>2987</v>
      </c>
      <c r="C1032" s="1" t="s">
        <v>18</v>
      </c>
      <c r="D1032" s="1" t="s">
        <v>63</v>
      </c>
      <c r="E1032" s="1">
        <v>2017</v>
      </c>
      <c r="F1032" s="1" t="s">
        <v>100</v>
      </c>
      <c r="G1032" s="1" t="s">
        <v>1041</v>
      </c>
      <c r="H1032" s="1">
        <v>151</v>
      </c>
      <c r="I1032" s="1" t="s">
        <v>40</v>
      </c>
      <c r="J1032" s="1">
        <v>7.5</v>
      </c>
      <c r="K1032" s="1">
        <v>29.3</v>
      </c>
      <c r="L1032" s="1" t="s">
        <v>90</v>
      </c>
      <c r="M1032" s="1" t="s">
        <v>66</v>
      </c>
      <c r="N1032" s="1" t="s">
        <v>25</v>
      </c>
      <c r="O1032" s="1"/>
      <c r="P1032" s="1">
        <v>33</v>
      </c>
      <c r="Q1032" s="1">
        <v>199</v>
      </c>
      <c r="R1032" s="8" t="str">
        <f>_xlfn.IFS(J1032&gt;=8,"Hit",J1032&gt;=6,"Average",J1032&lt;6,"Flop")</f>
        <v>Average</v>
      </c>
      <c r="S1032" s="9" t="str">
        <f>_xlfn.IFS(K1032&gt;=400,"Blockbuster",K1032&gt;=200,"Popular",K1032&lt;200,"Normal")</f>
        <v>Normal</v>
      </c>
      <c r="T1032" s="10" t="str">
        <f>IF(OR(I1032="PG",I1032="G"),"Yes","No")</f>
        <v>Yes</v>
      </c>
      <c r="U1032" s="11" t="str">
        <f>IF(P1032&gt;=100,"High","Low")</f>
        <v>Low</v>
      </c>
      <c r="V1032" s="28">
        <f t="shared" si="32"/>
        <v>166</v>
      </c>
      <c r="W1032" s="29">
        <f t="shared" si="33"/>
        <v>603.030303030303</v>
      </c>
    </row>
    <row r="1033" spans="1:23" x14ac:dyDescent="0.3">
      <c r="A1033" s="1" t="s">
        <v>2988</v>
      </c>
      <c r="B1033" s="1" t="s">
        <v>2989</v>
      </c>
      <c r="C1033" s="1" t="s">
        <v>18</v>
      </c>
      <c r="D1033" s="1" t="s">
        <v>58</v>
      </c>
      <c r="E1033" s="1">
        <v>2013</v>
      </c>
      <c r="F1033" s="1" t="s">
        <v>181</v>
      </c>
      <c r="G1033" s="1" t="s">
        <v>2990</v>
      </c>
      <c r="H1033" s="1">
        <v>108</v>
      </c>
      <c r="I1033" s="1" t="s">
        <v>31</v>
      </c>
      <c r="J1033" s="1">
        <v>5.8</v>
      </c>
      <c r="K1033" s="1">
        <v>227.9</v>
      </c>
      <c r="L1033" s="1" t="s">
        <v>171</v>
      </c>
      <c r="M1033" s="1" t="s">
        <v>97</v>
      </c>
      <c r="N1033" s="1" t="s">
        <v>102</v>
      </c>
      <c r="O1033" s="1"/>
      <c r="P1033" s="1">
        <v>144</v>
      </c>
      <c r="Q1033" s="1">
        <v>621.6</v>
      </c>
      <c r="R1033" s="8" t="str">
        <f>_xlfn.IFS(J1033&gt;=8,"Hit",J1033&gt;=6,"Average",J1033&lt;6,"Flop")</f>
        <v>Flop</v>
      </c>
      <c r="S1033" s="9" t="str">
        <f>_xlfn.IFS(K1033&gt;=400,"Blockbuster",K1033&gt;=200,"Popular",K1033&lt;200,"Normal")</f>
        <v>Popular</v>
      </c>
      <c r="T1033" s="10" t="str">
        <f>IF(OR(I1033="PG",I1033="G"),"Yes","No")</f>
        <v>No</v>
      </c>
      <c r="U1033" s="11" t="str">
        <f>IF(P1033&gt;=100,"High","Low")</f>
        <v>High</v>
      </c>
      <c r="V1033" s="28">
        <f t="shared" si="32"/>
        <v>477.6</v>
      </c>
      <c r="W1033" s="29">
        <f t="shared" si="33"/>
        <v>431.66666666666663</v>
      </c>
    </row>
    <row r="1034" spans="1:23" x14ac:dyDescent="0.3">
      <c r="A1034" s="1" t="s">
        <v>2991</v>
      </c>
      <c r="B1034" s="1" t="s">
        <v>2992</v>
      </c>
      <c r="C1034" s="1" t="s">
        <v>46</v>
      </c>
      <c r="D1034" s="1" t="s">
        <v>75</v>
      </c>
      <c r="E1034" s="1">
        <v>2013</v>
      </c>
      <c r="F1034" s="1" t="s">
        <v>76</v>
      </c>
      <c r="G1034" s="1" t="s">
        <v>1089</v>
      </c>
      <c r="H1034" s="1">
        <v>52</v>
      </c>
      <c r="I1034" s="1" t="s">
        <v>31</v>
      </c>
      <c r="J1034" s="1">
        <v>7.6</v>
      </c>
      <c r="K1034" s="1">
        <v>295.39999999999998</v>
      </c>
      <c r="L1034" s="1" t="s">
        <v>65</v>
      </c>
      <c r="M1034" s="1" t="s">
        <v>157</v>
      </c>
      <c r="N1034" s="1" t="s">
        <v>43</v>
      </c>
      <c r="O1034" s="1">
        <v>4</v>
      </c>
      <c r="P1034" s="1">
        <v>125</v>
      </c>
      <c r="Q1034" s="1">
        <v>376.9</v>
      </c>
      <c r="R1034" s="8" t="str">
        <f>_xlfn.IFS(J1034&gt;=8,"Hit",J1034&gt;=6,"Average",J1034&lt;6,"Flop")</f>
        <v>Average</v>
      </c>
      <c r="S1034" s="9" t="str">
        <f>_xlfn.IFS(K1034&gt;=400,"Blockbuster",K1034&gt;=200,"Popular",K1034&lt;200,"Normal")</f>
        <v>Popular</v>
      </c>
      <c r="T1034" s="10" t="str">
        <f>IF(OR(I1034="PG",I1034="G"),"Yes","No")</f>
        <v>No</v>
      </c>
      <c r="U1034" s="11" t="str">
        <f>IF(P1034&gt;=100,"High","Low")</f>
        <v>High</v>
      </c>
      <c r="V1034" s="28">
        <f t="shared" si="32"/>
        <v>251.89999999999998</v>
      </c>
      <c r="W1034" s="29">
        <f t="shared" si="33"/>
        <v>301.52</v>
      </c>
    </row>
    <row r="1035" spans="1:23" x14ac:dyDescent="0.3">
      <c r="A1035" s="1" t="s">
        <v>2993</v>
      </c>
      <c r="B1035" s="1" t="s">
        <v>2994</v>
      </c>
      <c r="C1035" s="1" t="s">
        <v>46</v>
      </c>
      <c r="D1035" s="1" t="s">
        <v>82</v>
      </c>
      <c r="E1035" s="1">
        <v>2021</v>
      </c>
      <c r="F1035" s="1" t="s">
        <v>20</v>
      </c>
      <c r="G1035" s="1" t="s">
        <v>2995</v>
      </c>
      <c r="H1035" s="1">
        <v>55</v>
      </c>
      <c r="I1035" s="1" t="s">
        <v>110</v>
      </c>
      <c r="J1035" s="1">
        <v>5.5</v>
      </c>
      <c r="K1035" s="1">
        <v>236</v>
      </c>
      <c r="L1035" s="1" t="s">
        <v>71</v>
      </c>
      <c r="M1035" s="1" t="s">
        <v>54</v>
      </c>
      <c r="N1035" s="1" t="s">
        <v>102</v>
      </c>
      <c r="O1035" s="1">
        <v>7</v>
      </c>
      <c r="P1035" s="1">
        <v>61</v>
      </c>
      <c r="Q1035" s="1">
        <v>188.5</v>
      </c>
      <c r="R1035" s="8" t="str">
        <f>_xlfn.IFS(J1035&gt;=8,"Hit",J1035&gt;=6,"Average",J1035&lt;6,"Flop")</f>
        <v>Flop</v>
      </c>
      <c r="S1035" s="9" t="str">
        <f>_xlfn.IFS(K1035&gt;=400,"Blockbuster",K1035&gt;=200,"Popular",K1035&lt;200,"Normal")</f>
        <v>Popular</v>
      </c>
      <c r="T1035" s="10" t="str">
        <f>IF(OR(I1035="PG",I1035="G"),"Yes","No")</f>
        <v>No</v>
      </c>
      <c r="U1035" s="11" t="str">
        <f>IF(P1035&gt;=100,"High","Low")</f>
        <v>Low</v>
      </c>
      <c r="V1035" s="28">
        <f t="shared" si="32"/>
        <v>127.5</v>
      </c>
      <c r="W1035" s="29">
        <f t="shared" si="33"/>
        <v>309.01639344262298</v>
      </c>
    </row>
    <row r="1036" spans="1:23" x14ac:dyDescent="0.3">
      <c r="A1036" s="1" t="s">
        <v>2996</v>
      </c>
      <c r="B1036" s="1" t="s">
        <v>2997</v>
      </c>
      <c r="C1036" s="1" t="s">
        <v>18</v>
      </c>
      <c r="D1036" s="1" t="s">
        <v>28</v>
      </c>
      <c r="E1036" s="1">
        <v>2022</v>
      </c>
      <c r="F1036" s="1" t="s">
        <v>100</v>
      </c>
      <c r="G1036" s="1" t="s">
        <v>1127</v>
      </c>
      <c r="H1036" s="1">
        <v>161</v>
      </c>
      <c r="I1036" s="1" t="s">
        <v>50</v>
      </c>
      <c r="J1036" s="1">
        <v>6.2</v>
      </c>
      <c r="K1036" s="1">
        <v>153.69999999999999</v>
      </c>
      <c r="L1036" s="1" t="s">
        <v>32</v>
      </c>
      <c r="M1036" s="1" t="s">
        <v>157</v>
      </c>
      <c r="N1036" s="1" t="s">
        <v>55</v>
      </c>
      <c r="O1036" s="1"/>
      <c r="P1036" s="1">
        <v>108</v>
      </c>
      <c r="Q1036" s="1">
        <v>312.7</v>
      </c>
      <c r="R1036" s="8" t="str">
        <f>_xlfn.IFS(J1036&gt;=8,"Hit",J1036&gt;=6,"Average",J1036&lt;6,"Flop")</f>
        <v>Average</v>
      </c>
      <c r="S1036" s="9" t="str">
        <f>_xlfn.IFS(K1036&gt;=400,"Blockbuster",K1036&gt;=200,"Popular",K1036&lt;200,"Normal")</f>
        <v>Normal</v>
      </c>
      <c r="T1036" s="10" t="str">
        <f>IF(OR(I1036="PG",I1036="G"),"Yes","No")</f>
        <v>Yes</v>
      </c>
      <c r="U1036" s="11" t="str">
        <f>IF(P1036&gt;=100,"High","Low")</f>
        <v>High</v>
      </c>
      <c r="V1036" s="28">
        <f t="shared" si="32"/>
        <v>204.7</v>
      </c>
      <c r="W1036" s="29">
        <f t="shared" si="33"/>
        <v>289.53703703703701</v>
      </c>
    </row>
    <row r="1037" spans="1:23" x14ac:dyDescent="0.3">
      <c r="A1037" s="1" t="s">
        <v>2998</v>
      </c>
      <c r="B1037" s="1" t="s">
        <v>2999</v>
      </c>
      <c r="C1037" s="1" t="s">
        <v>18</v>
      </c>
      <c r="D1037" s="1" t="s">
        <v>82</v>
      </c>
      <c r="E1037" s="1">
        <v>2008</v>
      </c>
      <c r="F1037" s="1" t="s">
        <v>20</v>
      </c>
      <c r="G1037" s="1" t="s">
        <v>3000</v>
      </c>
      <c r="H1037" s="1">
        <v>114</v>
      </c>
      <c r="I1037" s="1" t="s">
        <v>22</v>
      </c>
      <c r="J1037" s="1">
        <v>8.1</v>
      </c>
      <c r="K1037" s="1">
        <v>5.8</v>
      </c>
      <c r="L1037" s="1" t="s">
        <v>41</v>
      </c>
      <c r="M1037" s="1" t="s">
        <v>157</v>
      </c>
      <c r="N1037" s="1" t="s">
        <v>43</v>
      </c>
      <c r="O1037" s="1"/>
      <c r="P1037" s="1">
        <v>200</v>
      </c>
      <c r="Q1037" s="1">
        <v>1182.4000000000001</v>
      </c>
      <c r="R1037" s="8" t="str">
        <f>_xlfn.IFS(J1037&gt;=8,"Hit",J1037&gt;=6,"Average",J1037&lt;6,"Flop")</f>
        <v>Hit</v>
      </c>
      <c r="S1037" s="9" t="str">
        <f>_xlfn.IFS(K1037&gt;=400,"Blockbuster",K1037&gt;=200,"Popular",K1037&lt;200,"Normal")</f>
        <v>Normal</v>
      </c>
      <c r="T1037" s="10" t="str">
        <f>IF(OR(I1037="PG",I1037="G"),"Yes","No")</f>
        <v>No</v>
      </c>
      <c r="U1037" s="11" t="str">
        <f>IF(P1037&gt;=100,"High","Low")</f>
        <v>High</v>
      </c>
      <c r="V1037" s="28">
        <f t="shared" si="32"/>
        <v>982.40000000000009</v>
      </c>
      <c r="W1037" s="29">
        <f t="shared" si="33"/>
        <v>591.20000000000005</v>
      </c>
    </row>
    <row r="1038" spans="1:23" x14ac:dyDescent="0.3">
      <c r="A1038" s="1" t="s">
        <v>3001</v>
      </c>
      <c r="B1038" s="1" t="s">
        <v>3002</v>
      </c>
      <c r="C1038" s="1" t="s">
        <v>46</v>
      </c>
      <c r="D1038" s="1" t="s">
        <v>19</v>
      </c>
      <c r="E1038" s="1">
        <v>2019</v>
      </c>
      <c r="F1038" s="1" t="s">
        <v>48</v>
      </c>
      <c r="G1038" s="1" t="s">
        <v>3003</v>
      </c>
      <c r="H1038" s="1">
        <v>56</v>
      </c>
      <c r="I1038" s="1" t="s">
        <v>22</v>
      </c>
      <c r="J1038" s="1">
        <v>4.7</v>
      </c>
      <c r="K1038" s="1">
        <v>65</v>
      </c>
      <c r="L1038" s="1" t="s">
        <v>90</v>
      </c>
      <c r="M1038" s="1" t="s">
        <v>157</v>
      </c>
      <c r="N1038" s="1" t="s">
        <v>178</v>
      </c>
      <c r="O1038" s="1">
        <v>1</v>
      </c>
      <c r="P1038" s="1">
        <v>147</v>
      </c>
      <c r="Q1038" s="1">
        <v>232.5</v>
      </c>
      <c r="R1038" s="8" t="str">
        <f>_xlfn.IFS(J1038&gt;=8,"Hit",J1038&gt;=6,"Average",J1038&lt;6,"Flop")</f>
        <v>Flop</v>
      </c>
      <c r="S1038" s="9" t="str">
        <f>_xlfn.IFS(K1038&gt;=400,"Blockbuster",K1038&gt;=200,"Popular",K1038&lt;200,"Normal")</f>
        <v>Normal</v>
      </c>
      <c r="T1038" s="10" t="str">
        <f>IF(OR(I1038="PG",I1038="G"),"Yes","No")</f>
        <v>No</v>
      </c>
      <c r="U1038" s="11" t="str">
        <f>IF(P1038&gt;=100,"High","Low")</f>
        <v>High</v>
      </c>
      <c r="V1038" s="28">
        <f t="shared" si="32"/>
        <v>85.5</v>
      </c>
      <c r="W1038" s="29">
        <f t="shared" si="33"/>
        <v>158.16326530612247</v>
      </c>
    </row>
    <row r="1039" spans="1:23" x14ac:dyDescent="0.3">
      <c r="A1039" s="1" t="s">
        <v>3004</v>
      </c>
      <c r="B1039" s="1" t="s">
        <v>3005</v>
      </c>
      <c r="C1039" s="1" t="s">
        <v>46</v>
      </c>
      <c r="D1039" s="1" t="s">
        <v>37</v>
      </c>
      <c r="E1039" s="1">
        <v>2000</v>
      </c>
      <c r="F1039" s="1" t="s">
        <v>48</v>
      </c>
      <c r="G1039" s="1" t="s">
        <v>3006</v>
      </c>
      <c r="H1039" s="1">
        <v>47</v>
      </c>
      <c r="I1039" s="1" t="s">
        <v>50</v>
      </c>
      <c r="J1039" s="1">
        <v>5.8</v>
      </c>
      <c r="K1039" s="1">
        <v>353.8</v>
      </c>
      <c r="L1039" s="1" t="s">
        <v>65</v>
      </c>
      <c r="M1039" s="1" t="s">
        <v>72</v>
      </c>
      <c r="N1039" s="1" t="s">
        <v>86</v>
      </c>
      <c r="O1039" s="1">
        <v>7</v>
      </c>
      <c r="P1039" s="1">
        <v>79</v>
      </c>
      <c r="Q1039" s="1">
        <v>187.9</v>
      </c>
      <c r="R1039" s="8" t="str">
        <f>_xlfn.IFS(J1039&gt;=8,"Hit",J1039&gt;=6,"Average",J1039&lt;6,"Flop")</f>
        <v>Flop</v>
      </c>
      <c r="S1039" s="9" t="str">
        <f>_xlfn.IFS(K1039&gt;=400,"Blockbuster",K1039&gt;=200,"Popular",K1039&lt;200,"Normal")</f>
        <v>Popular</v>
      </c>
      <c r="T1039" s="10" t="str">
        <f>IF(OR(I1039="PG",I1039="G"),"Yes","No")</f>
        <v>Yes</v>
      </c>
      <c r="U1039" s="11" t="str">
        <f>IF(P1039&gt;=100,"High","Low")</f>
        <v>Low</v>
      </c>
      <c r="V1039" s="28">
        <f t="shared" si="32"/>
        <v>108.9</v>
      </c>
      <c r="W1039" s="29">
        <f t="shared" si="33"/>
        <v>237.84810126582281</v>
      </c>
    </row>
    <row r="1040" spans="1:23" x14ac:dyDescent="0.3">
      <c r="A1040" s="1" t="s">
        <v>3007</v>
      </c>
      <c r="B1040" s="1" t="s">
        <v>3008</v>
      </c>
      <c r="C1040" s="1" t="s">
        <v>46</v>
      </c>
      <c r="D1040" s="1" t="s">
        <v>75</v>
      </c>
      <c r="E1040" s="1">
        <v>2021</v>
      </c>
      <c r="F1040" s="1" t="s">
        <v>122</v>
      </c>
      <c r="G1040" s="1" t="s">
        <v>3009</v>
      </c>
      <c r="H1040" s="1">
        <v>34</v>
      </c>
      <c r="I1040" s="1" t="s">
        <v>50</v>
      </c>
      <c r="J1040" s="1">
        <v>8.1999999999999993</v>
      </c>
      <c r="K1040" s="1">
        <v>423.2</v>
      </c>
      <c r="L1040" s="1" t="s">
        <v>71</v>
      </c>
      <c r="M1040" s="1" t="s">
        <v>85</v>
      </c>
      <c r="N1040" s="1" t="s">
        <v>79</v>
      </c>
      <c r="O1040" s="1">
        <v>6</v>
      </c>
      <c r="P1040" s="1">
        <v>196</v>
      </c>
      <c r="Q1040" s="1">
        <v>794.4</v>
      </c>
      <c r="R1040" s="8" t="str">
        <f>_xlfn.IFS(J1040&gt;=8,"Hit",J1040&gt;=6,"Average",J1040&lt;6,"Flop")</f>
        <v>Hit</v>
      </c>
      <c r="S1040" s="9" t="str">
        <f>_xlfn.IFS(K1040&gt;=400,"Blockbuster",K1040&gt;=200,"Popular",K1040&lt;200,"Normal")</f>
        <v>Blockbuster</v>
      </c>
      <c r="T1040" s="10" t="str">
        <f>IF(OR(I1040="PG",I1040="G"),"Yes","No")</f>
        <v>Yes</v>
      </c>
      <c r="U1040" s="11" t="str">
        <f>IF(P1040&gt;=100,"High","Low")</f>
        <v>High</v>
      </c>
      <c r="V1040" s="28">
        <f t="shared" si="32"/>
        <v>598.4</v>
      </c>
      <c r="W1040" s="29">
        <f t="shared" si="33"/>
        <v>405.30612244897964</v>
      </c>
    </row>
    <row r="1041" spans="1:23" x14ac:dyDescent="0.3">
      <c r="A1041" s="1" t="s">
        <v>3010</v>
      </c>
      <c r="B1041" s="1" t="s">
        <v>3011</v>
      </c>
      <c r="C1041" s="1" t="s">
        <v>46</v>
      </c>
      <c r="D1041" s="1" t="s">
        <v>117</v>
      </c>
      <c r="E1041" s="1">
        <v>2018</v>
      </c>
      <c r="F1041" s="1" t="s">
        <v>48</v>
      </c>
      <c r="G1041" s="1" t="s">
        <v>3012</v>
      </c>
      <c r="H1041" s="1">
        <v>35</v>
      </c>
      <c r="I1041" s="1" t="s">
        <v>40</v>
      </c>
      <c r="J1041" s="1">
        <v>8.3000000000000007</v>
      </c>
      <c r="K1041" s="1">
        <v>228.3</v>
      </c>
      <c r="L1041" s="1" t="s">
        <v>90</v>
      </c>
      <c r="M1041" s="1" t="s">
        <v>132</v>
      </c>
      <c r="N1041" s="1" t="s">
        <v>153</v>
      </c>
      <c r="O1041" s="1">
        <v>6</v>
      </c>
      <c r="P1041" s="1">
        <v>182</v>
      </c>
      <c r="Q1041" s="1">
        <v>1140.5999999999999</v>
      </c>
      <c r="R1041" s="8" t="str">
        <f>_xlfn.IFS(J1041&gt;=8,"Hit",J1041&gt;=6,"Average",J1041&lt;6,"Flop")</f>
        <v>Hit</v>
      </c>
      <c r="S1041" s="9" t="str">
        <f>_xlfn.IFS(K1041&gt;=400,"Blockbuster",K1041&gt;=200,"Popular",K1041&lt;200,"Normal")</f>
        <v>Popular</v>
      </c>
      <c r="T1041" s="10" t="str">
        <f>IF(OR(I1041="PG",I1041="G"),"Yes","No")</f>
        <v>Yes</v>
      </c>
      <c r="U1041" s="11" t="str">
        <f>IF(P1041&gt;=100,"High","Low")</f>
        <v>High</v>
      </c>
      <c r="V1041" s="28">
        <f t="shared" si="32"/>
        <v>958.59999999999991</v>
      </c>
      <c r="W1041" s="29">
        <f t="shared" si="33"/>
        <v>626.7032967032967</v>
      </c>
    </row>
    <row r="1042" spans="1:23" x14ac:dyDescent="0.3">
      <c r="A1042" s="1" t="s">
        <v>3013</v>
      </c>
      <c r="B1042" s="1" t="s">
        <v>3014</v>
      </c>
      <c r="C1042" s="1" t="s">
        <v>46</v>
      </c>
      <c r="D1042" s="1" t="s">
        <v>58</v>
      </c>
      <c r="E1042" s="1">
        <v>2011</v>
      </c>
      <c r="F1042" s="1" t="s">
        <v>29</v>
      </c>
      <c r="G1042" s="1" t="s">
        <v>3015</v>
      </c>
      <c r="H1042" s="1">
        <v>57</v>
      </c>
      <c r="I1042" s="1" t="s">
        <v>22</v>
      </c>
      <c r="J1042" s="1">
        <v>4.7</v>
      </c>
      <c r="K1042" s="1">
        <v>474.3</v>
      </c>
      <c r="L1042" s="1" t="s">
        <v>171</v>
      </c>
      <c r="M1042" s="1" t="s">
        <v>111</v>
      </c>
      <c r="N1042" s="1" t="s">
        <v>91</v>
      </c>
      <c r="O1042" s="1">
        <v>1</v>
      </c>
      <c r="P1042" s="1">
        <v>192</v>
      </c>
      <c r="Q1042" s="1">
        <v>231.6</v>
      </c>
      <c r="R1042" s="8" t="str">
        <f>_xlfn.IFS(J1042&gt;=8,"Hit",J1042&gt;=6,"Average",J1042&lt;6,"Flop")</f>
        <v>Flop</v>
      </c>
      <c r="S1042" s="9" t="str">
        <f>_xlfn.IFS(K1042&gt;=400,"Blockbuster",K1042&gt;=200,"Popular",K1042&lt;200,"Normal")</f>
        <v>Blockbuster</v>
      </c>
      <c r="T1042" s="10" t="str">
        <f>IF(OR(I1042="PG",I1042="G"),"Yes","No")</f>
        <v>No</v>
      </c>
      <c r="U1042" s="11" t="str">
        <f>IF(P1042&gt;=100,"High","Low")</f>
        <v>High</v>
      </c>
      <c r="V1042" s="28">
        <f t="shared" si="32"/>
        <v>39.599999999999994</v>
      </c>
      <c r="W1042" s="29">
        <f t="shared" si="33"/>
        <v>120.625</v>
      </c>
    </row>
    <row r="1043" spans="1:23" x14ac:dyDescent="0.3">
      <c r="A1043" s="1" t="s">
        <v>3016</v>
      </c>
      <c r="B1043" s="1" t="s">
        <v>3017</v>
      </c>
      <c r="C1043" s="1" t="s">
        <v>18</v>
      </c>
      <c r="D1043" s="1" t="s">
        <v>37</v>
      </c>
      <c r="E1043" s="1">
        <v>2002</v>
      </c>
      <c r="F1043" s="1" t="s">
        <v>83</v>
      </c>
      <c r="G1043" s="1" t="s">
        <v>191</v>
      </c>
      <c r="H1043" s="1">
        <v>152</v>
      </c>
      <c r="I1043" s="1" t="s">
        <v>110</v>
      </c>
      <c r="J1043" s="1">
        <v>5.6</v>
      </c>
      <c r="K1043" s="1">
        <v>189.3</v>
      </c>
      <c r="L1043" s="1" t="s">
        <v>32</v>
      </c>
      <c r="M1043" s="1" t="s">
        <v>78</v>
      </c>
      <c r="N1043" s="1" t="s">
        <v>55</v>
      </c>
      <c r="O1043" s="1"/>
      <c r="P1043" s="1">
        <v>100</v>
      </c>
      <c r="Q1043" s="1">
        <v>414.1</v>
      </c>
      <c r="R1043" s="8" t="str">
        <f>_xlfn.IFS(J1043&gt;=8,"Hit",J1043&gt;=6,"Average",J1043&lt;6,"Flop")</f>
        <v>Flop</v>
      </c>
      <c r="S1043" s="9" t="str">
        <f>_xlfn.IFS(K1043&gt;=400,"Blockbuster",K1043&gt;=200,"Popular",K1043&lt;200,"Normal")</f>
        <v>Normal</v>
      </c>
      <c r="T1043" s="10" t="str">
        <f>IF(OR(I1043="PG",I1043="G"),"Yes","No")</f>
        <v>No</v>
      </c>
      <c r="U1043" s="11" t="str">
        <f>IF(P1043&gt;=100,"High","Low")</f>
        <v>High</v>
      </c>
      <c r="V1043" s="28">
        <f t="shared" si="32"/>
        <v>314.10000000000002</v>
      </c>
      <c r="W1043" s="29">
        <f t="shared" si="33"/>
        <v>414.1</v>
      </c>
    </row>
    <row r="1044" spans="1:23" x14ac:dyDescent="0.3">
      <c r="A1044" s="1" t="s">
        <v>3018</v>
      </c>
      <c r="B1044" s="1" t="s">
        <v>3019</v>
      </c>
      <c r="C1044" s="1" t="s">
        <v>46</v>
      </c>
      <c r="D1044" s="1" t="s">
        <v>37</v>
      </c>
      <c r="E1044" s="1">
        <v>2014</v>
      </c>
      <c r="F1044" s="1" t="s">
        <v>38</v>
      </c>
      <c r="G1044" s="1" t="s">
        <v>1390</v>
      </c>
      <c r="H1044" s="1">
        <v>59</v>
      </c>
      <c r="I1044" s="1" t="s">
        <v>110</v>
      </c>
      <c r="J1044" s="1">
        <v>9.1999999999999993</v>
      </c>
      <c r="K1044" s="1">
        <v>335.2</v>
      </c>
      <c r="L1044" s="1" t="s">
        <v>32</v>
      </c>
      <c r="M1044" s="1" t="s">
        <v>42</v>
      </c>
      <c r="N1044" s="1" t="s">
        <v>102</v>
      </c>
      <c r="O1044" s="1">
        <v>4</v>
      </c>
      <c r="P1044" s="1">
        <v>10</v>
      </c>
      <c r="Q1044" s="1">
        <v>31.8</v>
      </c>
      <c r="R1044" s="8" t="str">
        <f>_xlfn.IFS(J1044&gt;=8,"Hit",J1044&gt;=6,"Average",J1044&lt;6,"Flop")</f>
        <v>Hit</v>
      </c>
      <c r="S1044" s="9" t="str">
        <f>_xlfn.IFS(K1044&gt;=400,"Blockbuster",K1044&gt;=200,"Popular",K1044&lt;200,"Normal")</f>
        <v>Popular</v>
      </c>
      <c r="T1044" s="10" t="str">
        <f>IF(OR(I1044="PG",I1044="G"),"Yes","No")</f>
        <v>No</v>
      </c>
      <c r="U1044" s="11" t="str">
        <f>IF(P1044&gt;=100,"High","Low")</f>
        <v>Low</v>
      </c>
      <c r="V1044" s="28">
        <f t="shared" si="32"/>
        <v>21.8</v>
      </c>
      <c r="W1044" s="29">
        <f t="shared" si="33"/>
        <v>318</v>
      </c>
    </row>
    <row r="1045" spans="1:23" x14ac:dyDescent="0.3">
      <c r="A1045" s="1" t="s">
        <v>3020</v>
      </c>
      <c r="B1045" s="1" t="s">
        <v>3021</v>
      </c>
      <c r="C1045" s="1" t="s">
        <v>18</v>
      </c>
      <c r="D1045" s="1" t="s">
        <v>28</v>
      </c>
      <c r="E1045" s="1">
        <v>2021</v>
      </c>
      <c r="F1045" s="1" t="s">
        <v>29</v>
      </c>
      <c r="G1045" s="1" t="s">
        <v>3022</v>
      </c>
      <c r="H1045" s="1">
        <v>152</v>
      </c>
      <c r="I1045" s="1" t="s">
        <v>31</v>
      </c>
      <c r="J1045" s="1">
        <v>8.8000000000000007</v>
      </c>
      <c r="K1045" s="1">
        <v>460</v>
      </c>
      <c r="L1045" s="1" t="s">
        <v>23</v>
      </c>
      <c r="M1045" s="1" t="s">
        <v>146</v>
      </c>
      <c r="N1045" s="1" t="s">
        <v>91</v>
      </c>
      <c r="O1045" s="1"/>
      <c r="P1045" s="1">
        <v>133</v>
      </c>
      <c r="Q1045" s="1">
        <v>835.7</v>
      </c>
      <c r="R1045" s="8" t="str">
        <f>_xlfn.IFS(J1045&gt;=8,"Hit",J1045&gt;=6,"Average",J1045&lt;6,"Flop")</f>
        <v>Hit</v>
      </c>
      <c r="S1045" s="9" t="str">
        <f>_xlfn.IFS(K1045&gt;=400,"Blockbuster",K1045&gt;=200,"Popular",K1045&lt;200,"Normal")</f>
        <v>Blockbuster</v>
      </c>
      <c r="T1045" s="10" t="str">
        <f>IF(OR(I1045="PG",I1045="G"),"Yes","No")</f>
        <v>No</v>
      </c>
      <c r="U1045" s="11" t="str">
        <f>IF(P1045&gt;=100,"High","Low")</f>
        <v>High</v>
      </c>
      <c r="V1045" s="28">
        <f t="shared" si="32"/>
        <v>702.7</v>
      </c>
      <c r="W1045" s="29">
        <f t="shared" si="33"/>
        <v>628.34586466165422</v>
      </c>
    </row>
    <row r="1046" spans="1:23" x14ac:dyDescent="0.3">
      <c r="A1046" s="1" t="s">
        <v>3023</v>
      </c>
      <c r="B1046" s="1" t="s">
        <v>3024</v>
      </c>
      <c r="C1046" s="1" t="s">
        <v>46</v>
      </c>
      <c r="D1046" s="1" t="s">
        <v>141</v>
      </c>
      <c r="E1046" s="1">
        <v>2018</v>
      </c>
      <c r="F1046" s="1" t="s">
        <v>76</v>
      </c>
      <c r="G1046" s="1" t="s">
        <v>3025</v>
      </c>
      <c r="H1046" s="1">
        <v>42</v>
      </c>
      <c r="I1046" s="1" t="s">
        <v>110</v>
      </c>
      <c r="J1046" s="1">
        <v>9.3000000000000007</v>
      </c>
      <c r="K1046" s="1">
        <v>176.2</v>
      </c>
      <c r="L1046" s="1" t="s">
        <v>32</v>
      </c>
      <c r="M1046" s="1" t="s">
        <v>78</v>
      </c>
      <c r="N1046" s="1" t="s">
        <v>34</v>
      </c>
      <c r="O1046" s="1">
        <v>4</v>
      </c>
      <c r="P1046" s="1">
        <v>41</v>
      </c>
      <c r="Q1046" s="1">
        <v>56.4</v>
      </c>
      <c r="R1046" s="8" t="str">
        <f>_xlfn.IFS(J1046&gt;=8,"Hit",J1046&gt;=6,"Average",J1046&lt;6,"Flop")</f>
        <v>Hit</v>
      </c>
      <c r="S1046" s="9" t="str">
        <f>_xlfn.IFS(K1046&gt;=400,"Blockbuster",K1046&gt;=200,"Popular",K1046&lt;200,"Normal")</f>
        <v>Normal</v>
      </c>
      <c r="T1046" s="10" t="str">
        <f>IF(OR(I1046="PG",I1046="G"),"Yes","No")</f>
        <v>No</v>
      </c>
      <c r="U1046" s="11" t="str">
        <f>IF(P1046&gt;=100,"High","Low")</f>
        <v>Low</v>
      </c>
      <c r="V1046" s="28">
        <f t="shared" si="32"/>
        <v>15.399999999999999</v>
      </c>
      <c r="W1046" s="29">
        <f t="shared" si="33"/>
        <v>137.5609756097561</v>
      </c>
    </row>
    <row r="1047" spans="1:23" x14ac:dyDescent="0.3">
      <c r="A1047" s="1" t="s">
        <v>3026</v>
      </c>
      <c r="B1047" s="1" t="s">
        <v>3027</v>
      </c>
      <c r="C1047" s="1" t="s">
        <v>46</v>
      </c>
      <c r="D1047" s="1" t="s">
        <v>28</v>
      </c>
      <c r="E1047" s="1">
        <v>2013</v>
      </c>
      <c r="F1047" s="1" t="s">
        <v>100</v>
      </c>
      <c r="G1047" s="1" t="s">
        <v>3028</v>
      </c>
      <c r="H1047" s="1">
        <v>53</v>
      </c>
      <c r="I1047" s="1" t="s">
        <v>110</v>
      </c>
      <c r="J1047" s="1">
        <v>6.4</v>
      </c>
      <c r="K1047" s="1">
        <v>190.6</v>
      </c>
      <c r="L1047" s="1" t="s">
        <v>65</v>
      </c>
      <c r="M1047" s="1" t="s">
        <v>66</v>
      </c>
      <c r="N1047" s="1" t="s">
        <v>128</v>
      </c>
      <c r="O1047" s="1">
        <v>8</v>
      </c>
      <c r="P1047" s="1">
        <v>12</v>
      </c>
      <c r="Q1047" s="1">
        <v>41.1</v>
      </c>
      <c r="R1047" s="8" t="str">
        <f>_xlfn.IFS(J1047&gt;=8,"Hit",J1047&gt;=6,"Average",J1047&lt;6,"Flop")</f>
        <v>Average</v>
      </c>
      <c r="S1047" s="9" t="str">
        <f>_xlfn.IFS(K1047&gt;=400,"Blockbuster",K1047&gt;=200,"Popular",K1047&lt;200,"Normal")</f>
        <v>Normal</v>
      </c>
      <c r="T1047" s="10" t="str">
        <f>IF(OR(I1047="PG",I1047="G"),"Yes","No")</f>
        <v>No</v>
      </c>
      <c r="U1047" s="11" t="str">
        <f>IF(P1047&gt;=100,"High","Low")</f>
        <v>Low</v>
      </c>
      <c r="V1047" s="28">
        <f t="shared" si="32"/>
        <v>29.1</v>
      </c>
      <c r="W1047" s="29">
        <f t="shared" si="33"/>
        <v>342.5</v>
      </c>
    </row>
    <row r="1048" spans="1:23" x14ac:dyDescent="0.3">
      <c r="A1048" s="1" t="s">
        <v>3029</v>
      </c>
      <c r="B1048" s="1" t="s">
        <v>3030</v>
      </c>
      <c r="C1048" s="1" t="s">
        <v>18</v>
      </c>
      <c r="D1048" s="1" t="s">
        <v>63</v>
      </c>
      <c r="E1048" s="1">
        <v>2015</v>
      </c>
      <c r="F1048" s="1" t="s">
        <v>100</v>
      </c>
      <c r="G1048" s="1" t="s">
        <v>2038</v>
      </c>
      <c r="H1048" s="1">
        <v>157</v>
      </c>
      <c r="I1048" s="1" t="s">
        <v>50</v>
      </c>
      <c r="J1048" s="1">
        <v>4.5999999999999996</v>
      </c>
      <c r="K1048" s="1">
        <v>247.6</v>
      </c>
      <c r="L1048" s="1" t="s">
        <v>71</v>
      </c>
      <c r="M1048" s="1" t="s">
        <v>24</v>
      </c>
      <c r="N1048" s="1" t="s">
        <v>128</v>
      </c>
      <c r="O1048" s="1"/>
      <c r="P1048" s="1">
        <v>182</v>
      </c>
      <c r="Q1048" s="1">
        <v>952.2</v>
      </c>
      <c r="R1048" s="8" t="str">
        <f>_xlfn.IFS(J1048&gt;=8,"Hit",J1048&gt;=6,"Average",J1048&lt;6,"Flop")</f>
        <v>Flop</v>
      </c>
      <c r="S1048" s="9" t="str">
        <f>_xlfn.IFS(K1048&gt;=400,"Blockbuster",K1048&gt;=200,"Popular",K1048&lt;200,"Normal")</f>
        <v>Popular</v>
      </c>
      <c r="T1048" s="10" t="str">
        <f>IF(OR(I1048="PG",I1048="G"),"Yes","No")</f>
        <v>Yes</v>
      </c>
      <c r="U1048" s="11" t="str">
        <f>IF(P1048&gt;=100,"High","Low")</f>
        <v>High</v>
      </c>
      <c r="V1048" s="28">
        <f t="shared" si="32"/>
        <v>770.2</v>
      </c>
      <c r="W1048" s="29">
        <f t="shared" si="33"/>
        <v>523.1868131868132</v>
      </c>
    </row>
    <row r="1049" spans="1:23" x14ac:dyDescent="0.3">
      <c r="A1049" s="1" t="s">
        <v>3031</v>
      </c>
      <c r="B1049" s="1" t="s">
        <v>3032</v>
      </c>
      <c r="C1049" s="1" t="s">
        <v>18</v>
      </c>
      <c r="D1049" s="1" t="s">
        <v>82</v>
      </c>
      <c r="E1049" s="1">
        <v>2018</v>
      </c>
      <c r="F1049" s="1" t="s">
        <v>29</v>
      </c>
      <c r="G1049" s="1" t="s">
        <v>3033</v>
      </c>
      <c r="H1049" s="1">
        <v>113</v>
      </c>
      <c r="I1049" s="1" t="s">
        <v>31</v>
      </c>
      <c r="J1049" s="1">
        <v>8.4</v>
      </c>
      <c r="K1049" s="1">
        <v>587.79999999999995</v>
      </c>
      <c r="L1049" s="1" t="s">
        <v>23</v>
      </c>
      <c r="M1049" s="1" t="s">
        <v>85</v>
      </c>
      <c r="N1049" s="1" t="s">
        <v>43</v>
      </c>
      <c r="O1049" s="1"/>
      <c r="P1049" s="1">
        <v>11</v>
      </c>
      <c r="Q1049" s="1">
        <v>52.8</v>
      </c>
      <c r="R1049" s="8" t="str">
        <f>_xlfn.IFS(J1049&gt;=8,"Hit",J1049&gt;=6,"Average",J1049&lt;6,"Flop")</f>
        <v>Hit</v>
      </c>
      <c r="S1049" s="9" t="str">
        <f>_xlfn.IFS(K1049&gt;=400,"Blockbuster",K1049&gt;=200,"Popular",K1049&lt;200,"Normal")</f>
        <v>Blockbuster</v>
      </c>
      <c r="T1049" s="10" t="str">
        <f>IF(OR(I1049="PG",I1049="G"),"Yes","No")</f>
        <v>No</v>
      </c>
      <c r="U1049" s="11" t="str">
        <f>IF(P1049&gt;=100,"High","Low")</f>
        <v>Low</v>
      </c>
      <c r="V1049" s="28">
        <f t="shared" si="32"/>
        <v>41.8</v>
      </c>
      <c r="W1049" s="29">
        <f t="shared" si="33"/>
        <v>480</v>
      </c>
    </row>
    <row r="1050" spans="1:23" x14ac:dyDescent="0.3">
      <c r="A1050" s="1" t="s">
        <v>3034</v>
      </c>
      <c r="B1050" s="1" t="s">
        <v>3035</v>
      </c>
      <c r="C1050" s="1" t="s">
        <v>46</v>
      </c>
      <c r="D1050" s="1" t="s">
        <v>82</v>
      </c>
      <c r="E1050" s="1">
        <v>2021</v>
      </c>
      <c r="F1050" s="1" t="s">
        <v>122</v>
      </c>
      <c r="G1050" s="1" t="s">
        <v>3036</v>
      </c>
      <c r="H1050" s="1">
        <v>35</v>
      </c>
      <c r="I1050" s="1" t="s">
        <v>22</v>
      </c>
      <c r="J1050" s="1">
        <v>8.6</v>
      </c>
      <c r="K1050" s="1">
        <v>405.5</v>
      </c>
      <c r="L1050" s="1" t="s">
        <v>71</v>
      </c>
      <c r="M1050" s="1" t="s">
        <v>157</v>
      </c>
      <c r="N1050" s="1" t="s">
        <v>153</v>
      </c>
      <c r="O1050" s="1">
        <v>1</v>
      </c>
      <c r="P1050" s="1">
        <v>109</v>
      </c>
      <c r="Q1050" s="1">
        <v>156.80000000000001</v>
      </c>
      <c r="R1050" s="8" t="str">
        <f>_xlfn.IFS(J1050&gt;=8,"Hit",J1050&gt;=6,"Average",J1050&lt;6,"Flop")</f>
        <v>Hit</v>
      </c>
      <c r="S1050" s="9" t="str">
        <f>_xlfn.IFS(K1050&gt;=400,"Blockbuster",K1050&gt;=200,"Popular",K1050&lt;200,"Normal")</f>
        <v>Blockbuster</v>
      </c>
      <c r="T1050" s="10" t="str">
        <f>IF(OR(I1050="PG",I1050="G"),"Yes","No")</f>
        <v>No</v>
      </c>
      <c r="U1050" s="11" t="str">
        <f>IF(P1050&gt;=100,"High","Low")</f>
        <v>High</v>
      </c>
      <c r="V1050" s="28">
        <f t="shared" si="32"/>
        <v>47.800000000000011</v>
      </c>
      <c r="W1050" s="29">
        <f t="shared" si="33"/>
        <v>143.85321100917432</v>
      </c>
    </row>
    <row r="1051" spans="1:23" x14ac:dyDescent="0.3">
      <c r="A1051" s="1" t="s">
        <v>3037</v>
      </c>
      <c r="B1051" s="1" t="s">
        <v>3038</v>
      </c>
      <c r="C1051" s="1" t="s">
        <v>18</v>
      </c>
      <c r="D1051" s="1" t="s">
        <v>28</v>
      </c>
      <c r="E1051" s="1">
        <v>2023</v>
      </c>
      <c r="F1051" s="1" t="s">
        <v>20</v>
      </c>
      <c r="G1051" s="1" t="s">
        <v>1949</v>
      </c>
      <c r="H1051" s="1">
        <v>124</v>
      </c>
      <c r="I1051" s="1" t="s">
        <v>110</v>
      </c>
      <c r="J1051" s="1">
        <v>9.5</v>
      </c>
      <c r="K1051" s="1">
        <v>201.7</v>
      </c>
      <c r="L1051" s="1" t="s">
        <v>171</v>
      </c>
      <c r="M1051" s="1" t="s">
        <v>42</v>
      </c>
      <c r="N1051" s="1" t="s">
        <v>55</v>
      </c>
      <c r="O1051" s="1"/>
      <c r="P1051" s="1">
        <v>196</v>
      </c>
      <c r="Q1051" s="1">
        <v>725</v>
      </c>
      <c r="R1051" s="8" t="str">
        <f>_xlfn.IFS(J1051&gt;=8,"Hit",J1051&gt;=6,"Average",J1051&lt;6,"Flop")</f>
        <v>Hit</v>
      </c>
      <c r="S1051" s="9" t="str">
        <f>_xlfn.IFS(K1051&gt;=400,"Blockbuster",K1051&gt;=200,"Popular",K1051&lt;200,"Normal")</f>
        <v>Popular</v>
      </c>
      <c r="T1051" s="10" t="str">
        <f>IF(OR(I1051="PG",I1051="G"),"Yes","No")</f>
        <v>No</v>
      </c>
      <c r="U1051" s="11" t="str">
        <f>IF(P1051&gt;=100,"High","Low")</f>
        <v>High</v>
      </c>
      <c r="V1051" s="28">
        <f t="shared" si="32"/>
        <v>529</v>
      </c>
      <c r="W1051" s="29">
        <f t="shared" si="33"/>
        <v>369.89795918367349</v>
      </c>
    </row>
    <row r="1052" spans="1:23" x14ac:dyDescent="0.3">
      <c r="A1052" s="1" t="s">
        <v>3039</v>
      </c>
      <c r="B1052" s="1" t="s">
        <v>3040</v>
      </c>
      <c r="C1052" s="1" t="s">
        <v>18</v>
      </c>
      <c r="D1052" s="1" t="s">
        <v>58</v>
      </c>
      <c r="E1052" s="1">
        <v>2013</v>
      </c>
      <c r="F1052" s="1" t="s">
        <v>38</v>
      </c>
      <c r="G1052" s="1" t="s">
        <v>3041</v>
      </c>
      <c r="H1052" s="1">
        <v>81</v>
      </c>
      <c r="I1052" s="1" t="s">
        <v>31</v>
      </c>
      <c r="J1052" s="1">
        <v>9.5</v>
      </c>
      <c r="K1052" s="1">
        <v>235.4</v>
      </c>
      <c r="L1052" s="1" t="s">
        <v>41</v>
      </c>
      <c r="M1052" s="1" t="s">
        <v>97</v>
      </c>
      <c r="N1052" s="1" t="s">
        <v>86</v>
      </c>
      <c r="O1052" s="1"/>
      <c r="P1052" s="1">
        <v>94</v>
      </c>
      <c r="Q1052" s="1">
        <v>116.6</v>
      </c>
      <c r="R1052" s="8" t="str">
        <f>_xlfn.IFS(J1052&gt;=8,"Hit",J1052&gt;=6,"Average",J1052&lt;6,"Flop")</f>
        <v>Hit</v>
      </c>
      <c r="S1052" s="9" t="str">
        <f>_xlfn.IFS(K1052&gt;=400,"Blockbuster",K1052&gt;=200,"Popular",K1052&lt;200,"Normal")</f>
        <v>Popular</v>
      </c>
      <c r="T1052" s="10" t="str">
        <f>IF(OR(I1052="PG",I1052="G"),"Yes","No")</f>
        <v>No</v>
      </c>
      <c r="U1052" s="11" t="str">
        <f>IF(P1052&gt;=100,"High","Low")</f>
        <v>Low</v>
      </c>
      <c r="V1052" s="28">
        <f t="shared" si="32"/>
        <v>22.599999999999994</v>
      </c>
      <c r="W1052" s="29">
        <f t="shared" si="33"/>
        <v>124.04255319148936</v>
      </c>
    </row>
    <row r="1053" spans="1:23" x14ac:dyDescent="0.3">
      <c r="A1053" s="1" t="s">
        <v>3042</v>
      </c>
      <c r="B1053" s="1" t="s">
        <v>3043</v>
      </c>
      <c r="C1053" s="1" t="s">
        <v>18</v>
      </c>
      <c r="D1053" s="1" t="s">
        <v>28</v>
      </c>
      <c r="E1053" s="1">
        <v>2014</v>
      </c>
      <c r="F1053" s="1" t="s">
        <v>29</v>
      </c>
      <c r="G1053" s="1" t="s">
        <v>3044</v>
      </c>
      <c r="H1053" s="1">
        <v>145</v>
      </c>
      <c r="I1053" s="1" t="s">
        <v>22</v>
      </c>
      <c r="J1053" s="1">
        <v>5.8</v>
      </c>
      <c r="K1053" s="1">
        <v>571.79999999999995</v>
      </c>
      <c r="L1053" s="1" t="s">
        <v>32</v>
      </c>
      <c r="M1053" s="1" t="s">
        <v>124</v>
      </c>
      <c r="N1053" s="1" t="s">
        <v>91</v>
      </c>
      <c r="O1053" s="1"/>
      <c r="P1053" s="1">
        <v>61</v>
      </c>
      <c r="Q1053" s="1">
        <v>283.60000000000002</v>
      </c>
      <c r="R1053" s="8" t="str">
        <f>_xlfn.IFS(J1053&gt;=8,"Hit",J1053&gt;=6,"Average",J1053&lt;6,"Flop")</f>
        <v>Flop</v>
      </c>
      <c r="S1053" s="9" t="str">
        <f>_xlfn.IFS(K1053&gt;=400,"Blockbuster",K1053&gt;=200,"Popular",K1053&lt;200,"Normal")</f>
        <v>Blockbuster</v>
      </c>
      <c r="T1053" s="10" t="str">
        <f>IF(OR(I1053="PG",I1053="G"),"Yes","No")</f>
        <v>No</v>
      </c>
      <c r="U1053" s="11" t="str">
        <f>IF(P1053&gt;=100,"High","Low")</f>
        <v>Low</v>
      </c>
      <c r="V1053" s="28">
        <f t="shared" si="32"/>
        <v>222.60000000000002</v>
      </c>
      <c r="W1053" s="29">
        <f t="shared" si="33"/>
        <v>464.91803278688531</v>
      </c>
    </row>
    <row r="1054" spans="1:23" x14ac:dyDescent="0.3">
      <c r="A1054" s="1" t="s">
        <v>3045</v>
      </c>
      <c r="B1054" s="1" t="s">
        <v>3046</v>
      </c>
      <c r="C1054" s="1" t="s">
        <v>18</v>
      </c>
      <c r="D1054" s="1" t="s">
        <v>47</v>
      </c>
      <c r="E1054" s="1">
        <v>2010</v>
      </c>
      <c r="F1054" s="1" t="s">
        <v>83</v>
      </c>
      <c r="G1054" s="1" t="s">
        <v>1110</v>
      </c>
      <c r="H1054" s="1">
        <v>163</v>
      </c>
      <c r="I1054" s="1" t="s">
        <v>40</v>
      </c>
      <c r="J1054" s="1">
        <v>6.1</v>
      </c>
      <c r="K1054" s="1">
        <v>449.6</v>
      </c>
      <c r="L1054" s="1" t="s">
        <v>41</v>
      </c>
      <c r="M1054" s="1" t="s">
        <v>33</v>
      </c>
      <c r="N1054" s="1" t="s">
        <v>67</v>
      </c>
      <c r="O1054" s="1"/>
      <c r="P1054" s="1">
        <v>114</v>
      </c>
      <c r="Q1054" s="1">
        <v>626.79999999999995</v>
      </c>
      <c r="R1054" s="8" t="str">
        <f>_xlfn.IFS(J1054&gt;=8,"Hit",J1054&gt;=6,"Average",J1054&lt;6,"Flop")</f>
        <v>Average</v>
      </c>
      <c r="S1054" s="9" t="str">
        <f>_xlfn.IFS(K1054&gt;=400,"Blockbuster",K1054&gt;=200,"Popular",K1054&lt;200,"Normal")</f>
        <v>Blockbuster</v>
      </c>
      <c r="T1054" s="10" t="str">
        <f>IF(OR(I1054="PG",I1054="G"),"Yes","No")</f>
        <v>Yes</v>
      </c>
      <c r="U1054" s="11" t="str">
        <f>IF(P1054&gt;=100,"High","Low")</f>
        <v>High</v>
      </c>
      <c r="V1054" s="28">
        <f t="shared" si="32"/>
        <v>512.79999999999995</v>
      </c>
      <c r="W1054" s="29">
        <f t="shared" si="33"/>
        <v>549.82456140350871</v>
      </c>
    </row>
    <row r="1055" spans="1:23" x14ac:dyDescent="0.3">
      <c r="A1055" s="1" t="s">
        <v>3047</v>
      </c>
      <c r="B1055" s="1" t="s">
        <v>3048</v>
      </c>
      <c r="C1055" s="1" t="s">
        <v>46</v>
      </c>
      <c r="D1055" s="1" t="s">
        <v>37</v>
      </c>
      <c r="E1055" s="1">
        <v>2007</v>
      </c>
      <c r="F1055" s="1" t="s">
        <v>29</v>
      </c>
      <c r="G1055" s="1" t="s">
        <v>3049</v>
      </c>
      <c r="H1055" s="1">
        <v>49</v>
      </c>
      <c r="I1055" s="1" t="s">
        <v>110</v>
      </c>
      <c r="J1055" s="1">
        <v>7.8</v>
      </c>
      <c r="K1055" s="1">
        <v>311.39999999999998</v>
      </c>
      <c r="L1055" s="1" t="s">
        <v>41</v>
      </c>
      <c r="M1055" s="1" t="s">
        <v>33</v>
      </c>
      <c r="N1055" s="1" t="s">
        <v>91</v>
      </c>
      <c r="O1055" s="1">
        <v>5</v>
      </c>
      <c r="P1055" s="1">
        <v>74</v>
      </c>
      <c r="Q1055" s="1">
        <v>163</v>
      </c>
      <c r="R1055" s="8" t="str">
        <f>_xlfn.IFS(J1055&gt;=8,"Hit",J1055&gt;=6,"Average",J1055&lt;6,"Flop")</f>
        <v>Average</v>
      </c>
      <c r="S1055" s="9" t="str">
        <f>_xlfn.IFS(K1055&gt;=400,"Blockbuster",K1055&gt;=200,"Popular",K1055&lt;200,"Normal")</f>
        <v>Popular</v>
      </c>
      <c r="T1055" s="10" t="str">
        <f>IF(OR(I1055="PG",I1055="G"),"Yes","No")</f>
        <v>No</v>
      </c>
      <c r="U1055" s="11" t="str">
        <f>IF(P1055&gt;=100,"High","Low")</f>
        <v>Low</v>
      </c>
      <c r="V1055" s="28">
        <f t="shared" si="32"/>
        <v>89</v>
      </c>
      <c r="W1055" s="29">
        <f t="shared" si="33"/>
        <v>220.27027027027026</v>
      </c>
    </row>
    <row r="1056" spans="1:23" x14ac:dyDescent="0.3">
      <c r="A1056" s="1" t="s">
        <v>3050</v>
      </c>
      <c r="B1056" s="1" t="s">
        <v>3051</v>
      </c>
      <c r="C1056" s="1" t="s">
        <v>18</v>
      </c>
      <c r="D1056" s="1" t="s">
        <v>47</v>
      </c>
      <c r="E1056" s="1">
        <v>2011</v>
      </c>
      <c r="F1056" s="1" t="s">
        <v>76</v>
      </c>
      <c r="G1056" s="1" t="s">
        <v>3052</v>
      </c>
      <c r="H1056" s="1">
        <v>169</v>
      </c>
      <c r="I1056" s="1" t="s">
        <v>50</v>
      </c>
      <c r="J1056" s="1">
        <v>6.5</v>
      </c>
      <c r="K1056" s="1">
        <v>568.6</v>
      </c>
      <c r="L1056" s="1" t="s">
        <v>32</v>
      </c>
      <c r="M1056" s="1" t="s">
        <v>24</v>
      </c>
      <c r="N1056" s="1" t="s">
        <v>79</v>
      </c>
      <c r="O1056" s="1"/>
      <c r="P1056" s="1">
        <v>106</v>
      </c>
      <c r="Q1056" s="1">
        <v>149.80000000000001</v>
      </c>
      <c r="R1056" s="8" t="str">
        <f>_xlfn.IFS(J1056&gt;=8,"Hit",J1056&gt;=6,"Average",J1056&lt;6,"Flop")</f>
        <v>Average</v>
      </c>
      <c r="S1056" s="9" t="str">
        <f>_xlfn.IFS(K1056&gt;=400,"Blockbuster",K1056&gt;=200,"Popular",K1056&lt;200,"Normal")</f>
        <v>Blockbuster</v>
      </c>
      <c r="T1056" s="10" t="str">
        <f>IF(OR(I1056="PG",I1056="G"),"Yes","No")</f>
        <v>Yes</v>
      </c>
      <c r="U1056" s="11" t="str">
        <f>IF(P1056&gt;=100,"High","Low")</f>
        <v>High</v>
      </c>
      <c r="V1056" s="28">
        <f t="shared" si="32"/>
        <v>43.800000000000011</v>
      </c>
      <c r="W1056" s="29">
        <f t="shared" si="33"/>
        <v>141.32075471698113</v>
      </c>
    </row>
    <row r="1057" spans="1:23" x14ac:dyDescent="0.3">
      <c r="A1057" s="1" t="s">
        <v>3053</v>
      </c>
      <c r="B1057" s="1" t="s">
        <v>3054</v>
      </c>
      <c r="C1057" s="1" t="s">
        <v>18</v>
      </c>
      <c r="D1057" s="1" t="s">
        <v>28</v>
      </c>
      <c r="E1057" s="1">
        <v>2025</v>
      </c>
      <c r="F1057" s="1" t="s">
        <v>95</v>
      </c>
      <c r="G1057" s="1" t="s">
        <v>3055</v>
      </c>
      <c r="H1057" s="1">
        <v>111</v>
      </c>
      <c r="I1057" s="1" t="s">
        <v>40</v>
      </c>
      <c r="J1057" s="1">
        <v>8.8000000000000007</v>
      </c>
      <c r="K1057" s="1">
        <v>486.8</v>
      </c>
      <c r="L1057" s="1" t="s">
        <v>41</v>
      </c>
      <c r="M1057" s="1" t="s">
        <v>24</v>
      </c>
      <c r="N1057" s="1" t="s">
        <v>60</v>
      </c>
      <c r="O1057" s="1"/>
      <c r="P1057" s="1">
        <v>84</v>
      </c>
      <c r="Q1057" s="1">
        <v>156.30000000000001</v>
      </c>
      <c r="R1057" s="8" t="str">
        <f>_xlfn.IFS(J1057&gt;=8,"Hit",J1057&gt;=6,"Average",J1057&lt;6,"Flop")</f>
        <v>Hit</v>
      </c>
      <c r="S1057" s="9" t="str">
        <f>_xlfn.IFS(K1057&gt;=400,"Blockbuster",K1057&gt;=200,"Popular",K1057&lt;200,"Normal")</f>
        <v>Blockbuster</v>
      </c>
      <c r="T1057" s="10" t="str">
        <f>IF(OR(I1057="PG",I1057="G"),"Yes","No")</f>
        <v>Yes</v>
      </c>
      <c r="U1057" s="11" t="str">
        <f>IF(P1057&gt;=100,"High","Low")</f>
        <v>Low</v>
      </c>
      <c r="V1057" s="28">
        <f t="shared" si="32"/>
        <v>72.300000000000011</v>
      </c>
      <c r="W1057" s="29">
        <f t="shared" si="33"/>
        <v>186.07142857142858</v>
      </c>
    </row>
    <row r="1058" spans="1:23" x14ac:dyDescent="0.3">
      <c r="A1058" s="1" t="s">
        <v>3056</v>
      </c>
      <c r="B1058" s="1" t="s">
        <v>3057</v>
      </c>
      <c r="C1058" s="1" t="s">
        <v>46</v>
      </c>
      <c r="D1058" s="1" t="s">
        <v>75</v>
      </c>
      <c r="E1058" s="1">
        <v>2001</v>
      </c>
      <c r="F1058" s="1" t="s">
        <v>83</v>
      </c>
      <c r="G1058" s="1" t="s">
        <v>716</v>
      </c>
      <c r="H1058" s="1">
        <v>35</v>
      </c>
      <c r="I1058" s="1" t="s">
        <v>40</v>
      </c>
      <c r="J1058" s="1">
        <v>5.9</v>
      </c>
      <c r="K1058" s="1">
        <v>390</v>
      </c>
      <c r="L1058" s="1" t="s">
        <v>23</v>
      </c>
      <c r="M1058" s="1" t="s">
        <v>111</v>
      </c>
      <c r="N1058" s="1" t="s">
        <v>55</v>
      </c>
      <c r="O1058" s="1">
        <v>7</v>
      </c>
      <c r="P1058" s="1">
        <v>145</v>
      </c>
      <c r="Q1058" s="1">
        <v>522.9</v>
      </c>
      <c r="R1058" s="8" t="str">
        <f>_xlfn.IFS(J1058&gt;=8,"Hit",J1058&gt;=6,"Average",J1058&lt;6,"Flop")</f>
        <v>Flop</v>
      </c>
      <c r="S1058" s="9" t="str">
        <f>_xlfn.IFS(K1058&gt;=400,"Blockbuster",K1058&gt;=200,"Popular",K1058&lt;200,"Normal")</f>
        <v>Popular</v>
      </c>
      <c r="T1058" s="10" t="str">
        <f>IF(OR(I1058="PG",I1058="G"),"Yes","No")</f>
        <v>Yes</v>
      </c>
      <c r="U1058" s="11" t="str">
        <f>IF(P1058&gt;=100,"High","Low")</f>
        <v>High</v>
      </c>
      <c r="V1058" s="28">
        <f t="shared" si="32"/>
        <v>377.9</v>
      </c>
      <c r="W1058" s="29">
        <f t="shared" si="33"/>
        <v>360.62068965517238</v>
      </c>
    </row>
    <row r="1059" spans="1:23" x14ac:dyDescent="0.3">
      <c r="A1059" s="1" t="s">
        <v>3058</v>
      </c>
      <c r="B1059" s="1" t="s">
        <v>3059</v>
      </c>
      <c r="C1059" s="1" t="s">
        <v>46</v>
      </c>
      <c r="D1059" s="1" t="s">
        <v>47</v>
      </c>
      <c r="E1059" s="1">
        <v>2010</v>
      </c>
      <c r="F1059" s="1" t="s">
        <v>181</v>
      </c>
      <c r="G1059" s="1" t="s">
        <v>3060</v>
      </c>
      <c r="H1059" s="1">
        <v>43</v>
      </c>
      <c r="I1059" s="1" t="s">
        <v>22</v>
      </c>
      <c r="J1059" s="1">
        <v>5</v>
      </c>
      <c r="K1059" s="1">
        <v>478.3</v>
      </c>
      <c r="L1059" s="1" t="s">
        <v>65</v>
      </c>
      <c r="M1059" s="1" t="s">
        <v>124</v>
      </c>
      <c r="N1059" s="1" t="s">
        <v>91</v>
      </c>
      <c r="O1059" s="1">
        <v>1</v>
      </c>
      <c r="P1059" s="1">
        <v>189</v>
      </c>
      <c r="Q1059" s="1">
        <v>1197.4000000000001</v>
      </c>
      <c r="R1059" s="8" t="str">
        <f>_xlfn.IFS(J1059&gt;=8,"Hit",J1059&gt;=6,"Average",J1059&lt;6,"Flop")</f>
        <v>Flop</v>
      </c>
      <c r="S1059" s="9" t="str">
        <f>_xlfn.IFS(K1059&gt;=400,"Blockbuster",K1059&gt;=200,"Popular",K1059&lt;200,"Normal")</f>
        <v>Blockbuster</v>
      </c>
      <c r="T1059" s="10" t="str">
        <f>IF(OR(I1059="PG",I1059="G"),"Yes","No")</f>
        <v>No</v>
      </c>
      <c r="U1059" s="11" t="str">
        <f>IF(P1059&gt;=100,"High","Low")</f>
        <v>High</v>
      </c>
      <c r="V1059" s="28">
        <f t="shared" si="32"/>
        <v>1008.4000000000001</v>
      </c>
      <c r="W1059" s="29">
        <f t="shared" si="33"/>
        <v>633.54497354497369</v>
      </c>
    </row>
    <row r="1060" spans="1:23" x14ac:dyDescent="0.3">
      <c r="A1060" s="1" t="s">
        <v>3061</v>
      </c>
      <c r="B1060" s="1" t="s">
        <v>3062</v>
      </c>
      <c r="C1060" s="1" t="s">
        <v>18</v>
      </c>
      <c r="D1060" s="1" t="s">
        <v>75</v>
      </c>
      <c r="E1060" s="1">
        <v>2014</v>
      </c>
      <c r="F1060" s="1" t="s">
        <v>29</v>
      </c>
      <c r="G1060" s="1" t="s">
        <v>3063</v>
      </c>
      <c r="H1060" s="1">
        <v>134</v>
      </c>
      <c r="I1060" s="1" t="s">
        <v>110</v>
      </c>
      <c r="J1060" s="1">
        <v>6.8</v>
      </c>
      <c r="K1060" s="1">
        <v>294.2</v>
      </c>
      <c r="L1060" s="1" t="s">
        <v>32</v>
      </c>
      <c r="M1060" s="1" t="s">
        <v>124</v>
      </c>
      <c r="N1060" s="1" t="s">
        <v>34</v>
      </c>
      <c r="O1060" s="1"/>
      <c r="P1060" s="1">
        <v>118</v>
      </c>
      <c r="Q1060" s="1">
        <v>592.4</v>
      </c>
      <c r="R1060" s="8" t="str">
        <f>_xlfn.IFS(J1060&gt;=8,"Hit",J1060&gt;=6,"Average",J1060&lt;6,"Flop")</f>
        <v>Average</v>
      </c>
      <c r="S1060" s="9" t="str">
        <f>_xlfn.IFS(K1060&gt;=400,"Blockbuster",K1060&gt;=200,"Popular",K1060&lt;200,"Normal")</f>
        <v>Popular</v>
      </c>
      <c r="T1060" s="10" t="str">
        <f>IF(OR(I1060="PG",I1060="G"),"Yes","No")</f>
        <v>No</v>
      </c>
      <c r="U1060" s="11" t="str">
        <f>IF(P1060&gt;=100,"High","Low")</f>
        <v>High</v>
      </c>
      <c r="V1060" s="28">
        <f t="shared" si="32"/>
        <v>474.4</v>
      </c>
      <c r="W1060" s="29">
        <f t="shared" si="33"/>
        <v>502.03389830508473</v>
      </c>
    </row>
    <row r="1061" spans="1:23" x14ac:dyDescent="0.3">
      <c r="A1061" s="1" t="s">
        <v>3064</v>
      </c>
      <c r="B1061" s="1" t="s">
        <v>3065</v>
      </c>
      <c r="C1061" s="1" t="s">
        <v>46</v>
      </c>
      <c r="D1061" s="1" t="s">
        <v>75</v>
      </c>
      <c r="E1061" s="1">
        <v>2013</v>
      </c>
      <c r="F1061" s="1" t="s">
        <v>20</v>
      </c>
      <c r="G1061" s="1" t="s">
        <v>1044</v>
      </c>
      <c r="H1061" s="1">
        <v>34</v>
      </c>
      <c r="I1061" s="1" t="s">
        <v>22</v>
      </c>
      <c r="J1061" s="1">
        <v>6.5</v>
      </c>
      <c r="K1061" s="1">
        <v>273.89999999999998</v>
      </c>
      <c r="L1061" s="1" t="s">
        <v>71</v>
      </c>
      <c r="M1061" s="1" t="s">
        <v>111</v>
      </c>
      <c r="N1061" s="1" t="s">
        <v>67</v>
      </c>
      <c r="O1061" s="1">
        <v>2</v>
      </c>
      <c r="P1061" s="1">
        <v>153</v>
      </c>
      <c r="Q1061" s="1">
        <v>763.2</v>
      </c>
      <c r="R1061" s="8" t="str">
        <f>_xlfn.IFS(J1061&gt;=8,"Hit",J1061&gt;=6,"Average",J1061&lt;6,"Flop")</f>
        <v>Average</v>
      </c>
      <c r="S1061" s="9" t="str">
        <f>_xlfn.IFS(K1061&gt;=400,"Blockbuster",K1061&gt;=200,"Popular",K1061&lt;200,"Normal")</f>
        <v>Popular</v>
      </c>
      <c r="T1061" s="10" t="str">
        <f>IF(OR(I1061="PG",I1061="G"),"Yes","No")</f>
        <v>No</v>
      </c>
      <c r="U1061" s="11" t="str">
        <f>IF(P1061&gt;=100,"High","Low")</f>
        <v>High</v>
      </c>
      <c r="V1061" s="28">
        <f t="shared" si="32"/>
        <v>610.20000000000005</v>
      </c>
      <c r="W1061" s="29">
        <f t="shared" si="33"/>
        <v>498.8235294117647</v>
      </c>
    </row>
    <row r="1062" spans="1:23" x14ac:dyDescent="0.3">
      <c r="A1062" s="1" t="s">
        <v>3066</v>
      </c>
      <c r="B1062" s="1" t="s">
        <v>3067</v>
      </c>
      <c r="C1062" s="1" t="s">
        <v>46</v>
      </c>
      <c r="D1062" s="1" t="s">
        <v>19</v>
      </c>
      <c r="E1062" s="1">
        <v>2001</v>
      </c>
      <c r="F1062" s="1" t="s">
        <v>20</v>
      </c>
      <c r="G1062" s="1" t="s">
        <v>737</v>
      </c>
      <c r="H1062" s="1">
        <v>52</v>
      </c>
      <c r="I1062" s="1" t="s">
        <v>50</v>
      </c>
      <c r="J1062" s="1">
        <v>7.9</v>
      </c>
      <c r="K1062" s="1">
        <v>545.79999999999995</v>
      </c>
      <c r="L1062" s="1" t="s">
        <v>171</v>
      </c>
      <c r="M1062" s="1" t="s">
        <v>132</v>
      </c>
      <c r="N1062" s="1" t="s">
        <v>79</v>
      </c>
      <c r="O1062" s="1">
        <v>6</v>
      </c>
      <c r="P1062" s="1">
        <v>79</v>
      </c>
      <c r="Q1062" s="1">
        <v>225.5</v>
      </c>
      <c r="R1062" s="8" t="str">
        <f>_xlfn.IFS(J1062&gt;=8,"Hit",J1062&gt;=6,"Average",J1062&lt;6,"Flop")</f>
        <v>Average</v>
      </c>
      <c r="S1062" s="9" t="str">
        <f>_xlfn.IFS(K1062&gt;=400,"Blockbuster",K1062&gt;=200,"Popular",K1062&lt;200,"Normal")</f>
        <v>Blockbuster</v>
      </c>
      <c r="T1062" s="10" t="str">
        <f>IF(OR(I1062="PG",I1062="G"),"Yes","No")</f>
        <v>Yes</v>
      </c>
      <c r="U1062" s="11" t="str">
        <f>IF(P1062&gt;=100,"High","Low")</f>
        <v>Low</v>
      </c>
      <c r="V1062" s="28">
        <f t="shared" si="32"/>
        <v>146.5</v>
      </c>
      <c r="W1062" s="29">
        <f t="shared" si="33"/>
        <v>285.44303797468353</v>
      </c>
    </row>
    <row r="1063" spans="1:23" x14ac:dyDescent="0.3">
      <c r="A1063" s="1" t="s">
        <v>3068</v>
      </c>
      <c r="B1063" s="1" t="s">
        <v>3069</v>
      </c>
      <c r="C1063" s="1" t="s">
        <v>18</v>
      </c>
      <c r="D1063" s="1" t="s">
        <v>58</v>
      </c>
      <c r="E1063" s="1">
        <v>2023</v>
      </c>
      <c r="F1063" s="1" t="s">
        <v>181</v>
      </c>
      <c r="G1063" s="1" t="s">
        <v>3070</v>
      </c>
      <c r="H1063" s="1">
        <v>122</v>
      </c>
      <c r="I1063" s="1" t="s">
        <v>31</v>
      </c>
      <c r="J1063" s="1">
        <v>8.6</v>
      </c>
      <c r="K1063" s="1">
        <v>67.099999999999994</v>
      </c>
      <c r="L1063" s="1" t="s">
        <v>71</v>
      </c>
      <c r="M1063" s="1" t="s">
        <v>146</v>
      </c>
      <c r="N1063" s="1" t="s">
        <v>119</v>
      </c>
      <c r="O1063" s="1"/>
      <c r="P1063" s="1">
        <v>149</v>
      </c>
      <c r="Q1063" s="1">
        <v>871.6</v>
      </c>
      <c r="R1063" s="8" t="str">
        <f>_xlfn.IFS(J1063&gt;=8,"Hit",J1063&gt;=6,"Average",J1063&lt;6,"Flop")</f>
        <v>Hit</v>
      </c>
      <c r="S1063" s="9" t="str">
        <f>_xlfn.IFS(K1063&gt;=400,"Blockbuster",K1063&gt;=200,"Popular",K1063&lt;200,"Normal")</f>
        <v>Normal</v>
      </c>
      <c r="T1063" s="10" t="str">
        <f>IF(OR(I1063="PG",I1063="G"),"Yes","No")</f>
        <v>No</v>
      </c>
      <c r="U1063" s="11" t="str">
        <f>IF(P1063&gt;=100,"High","Low")</f>
        <v>High</v>
      </c>
      <c r="V1063" s="28">
        <f t="shared" si="32"/>
        <v>722.6</v>
      </c>
      <c r="W1063" s="29">
        <f t="shared" si="33"/>
        <v>584.96644295302019</v>
      </c>
    </row>
    <row r="1064" spans="1:23" x14ac:dyDescent="0.3">
      <c r="A1064" s="1" t="s">
        <v>3071</v>
      </c>
      <c r="B1064" s="1" t="s">
        <v>3072</v>
      </c>
      <c r="C1064" s="1" t="s">
        <v>46</v>
      </c>
      <c r="D1064" s="1" t="s">
        <v>37</v>
      </c>
      <c r="E1064" s="1">
        <v>2016</v>
      </c>
      <c r="F1064" s="1" t="s">
        <v>29</v>
      </c>
      <c r="G1064" s="1" t="s">
        <v>3073</v>
      </c>
      <c r="H1064" s="1">
        <v>39</v>
      </c>
      <c r="I1064" s="1" t="s">
        <v>40</v>
      </c>
      <c r="J1064" s="1">
        <v>5.2</v>
      </c>
      <c r="K1064" s="1">
        <v>424.7</v>
      </c>
      <c r="L1064" s="1" t="s">
        <v>65</v>
      </c>
      <c r="M1064" s="1" t="s">
        <v>111</v>
      </c>
      <c r="N1064" s="1" t="s">
        <v>67</v>
      </c>
      <c r="O1064" s="1">
        <v>4</v>
      </c>
      <c r="P1064" s="1">
        <v>85</v>
      </c>
      <c r="Q1064" s="1">
        <v>395.5</v>
      </c>
      <c r="R1064" s="8" t="str">
        <f>_xlfn.IFS(J1064&gt;=8,"Hit",J1064&gt;=6,"Average",J1064&lt;6,"Flop")</f>
        <v>Flop</v>
      </c>
      <c r="S1064" s="9" t="str">
        <f>_xlfn.IFS(K1064&gt;=400,"Blockbuster",K1064&gt;=200,"Popular",K1064&lt;200,"Normal")</f>
        <v>Blockbuster</v>
      </c>
      <c r="T1064" s="10" t="str">
        <f>IF(OR(I1064="PG",I1064="G"),"Yes","No")</f>
        <v>Yes</v>
      </c>
      <c r="U1064" s="11" t="str">
        <f>IF(P1064&gt;=100,"High","Low")</f>
        <v>Low</v>
      </c>
      <c r="V1064" s="28">
        <f t="shared" si="32"/>
        <v>310.5</v>
      </c>
      <c r="W1064" s="29">
        <f t="shared" si="33"/>
        <v>465.29411764705884</v>
      </c>
    </row>
    <row r="1065" spans="1:23" x14ac:dyDescent="0.3">
      <c r="A1065" s="1" t="s">
        <v>3074</v>
      </c>
      <c r="B1065" s="1" t="s">
        <v>3075</v>
      </c>
      <c r="C1065" s="1" t="s">
        <v>18</v>
      </c>
      <c r="D1065" s="1" t="s">
        <v>141</v>
      </c>
      <c r="E1065" s="1">
        <v>2000</v>
      </c>
      <c r="F1065" s="1" t="s">
        <v>122</v>
      </c>
      <c r="G1065" s="1" t="s">
        <v>3076</v>
      </c>
      <c r="H1065" s="1">
        <v>106</v>
      </c>
      <c r="I1065" s="1" t="s">
        <v>50</v>
      </c>
      <c r="J1065" s="1">
        <v>4.9000000000000004</v>
      </c>
      <c r="K1065" s="1">
        <v>489.9</v>
      </c>
      <c r="L1065" s="1" t="s">
        <v>32</v>
      </c>
      <c r="M1065" s="1" t="s">
        <v>124</v>
      </c>
      <c r="N1065" s="1" t="s">
        <v>119</v>
      </c>
      <c r="O1065" s="1"/>
      <c r="P1065" s="1">
        <v>65</v>
      </c>
      <c r="Q1065" s="1">
        <v>193.3</v>
      </c>
      <c r="R1065" s="8" t="str">
        <f>_xlfn.IFS(J1065&gt;=8,"Hit",J1065&gt;=6,"Average",J1065&lt;6,"Flop")</f>
        <v>Flop</v>
      </c>
      <c r="S1065" s="9" t="str">
        <f>_xlfn.IFS(K1065&gt;=400,"Blockbuster",K1065&gt;=200,"Popular",K1065&lt;200,"Normal")</f>
        <v>Blockbuster</v>
      </c>
      <c r="T1065" s="10" t="str">
        <f>IF(OR(I1065="PG",I1065="G"),"Yes","No")</f>
        <v>Yes</v>
      </c>
      <c r="U1065" s="11" t="str">
        <f>IF(P1065&gt;=100,"High","Low")</f>
        <v>Low</v>
      </c>
      <c r="V1065" s="28">
        <f t="shared" si="32"/>
        <v>128.30000000000001</v>
      </c>
      <c r="W1065" s="29">
        <f t="shared" si="33"/>
        <v>297.38461538461542</v>
      </c>
    </row>
    <row r="1066" spans="1:23" x14ac:dyDescent="0.3">
      <c r="A1066" s="1" t="s">
        <v>3077</v>
      </c>
      <c r="B1066" s="1" t="s">
        <v>3078</v>
      </c>
      <c r="C1066" s="1" t="s">
        <v>46</v>
      </c>
      <c r="D1066" s="1" t="s">
        <v>63</v>
      </c>
      <c r="E1066" s="1">
        <v>2024</v>
      </c>
      <c r="F1066" s="1" t="s">
        <v>38</v>
      </c>
      <c r="G1066" s="1" t="s">
        <v>2003</v>
      </c>
      <c r="H1066" s="1">
        <v>55</v>
      </c>
      <c r="I1066" s="1" t="s">
        <v>50</v>
      </c>
      <c r="J1066" s="1">
        <v>9.4</v>
      </c>
      <c r="K1066" s="1">
        <v>507.2</v>
      </c>
      <c r="L1066" s="1" t="s">
        <v>32</v>
      </c>
      <c r="M1066" s="1" t="s">
        <v>33</v>
      </c>
      <c r="N1066" s="1" t="s">
        <v>128</v>
      </c>
      <c r="O1066" s="1">
        <v>4</v>
      </c>
      <c r="P1066" s="1">
        <v>126</v>
      </c>
      <c r="Q1066" s="1">
        <v>568.5</v>
      </c>
      <c r="R1066" s="8" t="str">
        <f>_xlfn.IFS(J1066&gt;=8,"Hit",J1066&gt;=6,"Average",J1066&lt;6,"Flop")</f>
        <v>Hit</v>
      </c>
      <c r="S1066" s="9" t="str">
        <f>_xlfn.IFS(K1066&gt;=400,"Blockbuster",K1066&gt;=200,"Popular",K1066&lt;200,"Normal")</f>
        <v>Blockbuster</v>
      </c>
      <c r="T1066" s="10" t="str">
        <f>IF(OR(I1066="PG",I1066="G"),"Yes","No")</f>
        <v>Yes</v>
      </c>
      <c r="U1066" s="11" t="str">
        <f>IF(P1066&gt;=100,"High","Low")</f>
        <v>High</v>
      </c>
      <c r="V1066" s="28">
        <f t="shared" si="32"/>
        <v>442.5</v>
      </c>
      <c r="W1066" s="29">
        <f t="shared" si="33"/>
        <v>451.1904761904762</v>
      </c>
    </row>
    <row r="1067" spans="1:23" x14ac:dyDescent="0.3">
      <c r="A1067" s="1" t="s">
        <v>3079</v>
      </c>
      <c r="B1067" s="1" t="s">
        <v>3080</v>
      </c>
      <c r="C1067" s="1" t="s">
        <v>46</v>
      </c>
      <c r="D1067" s="1" t="s">
        <v>19</v>
      </c>
      <c r="E1067" s="1">
        <v>2014</v>
      </c>
      <c r="F1067" s="1" t="s">
        <v>48</v>
      </c>
      <c r="G1067" s="1" t="s">
        <v>2618</v>
      </c>
      <c r="H1067" s="1">
        <v>34</v>
      </c>
      <c r="I1067" s="1" t="s">
        <v>40</v>
      </c>
      <c r="J1067" s="1">
        <v>9.3000000000000007</v>
      </c>
      <c r="K1067" s="1">
        <v>188.5</v>
      </c>
      <c r="L1067" s="1" t="s">
        <v>65</v>
      </c>
      <c r="M1067" s="1" t="s">
        <v>124</v>
      </c>
      <c r="N1067" s="1" t="s">
        <v>43</v>
      </c>
      <c r="O1067" s="1">
        <v>2</v>
      </c>
      <c r="P1067" s="1">
        <v>74</v>
      </c>
      <c r="Q1067" s="1">
        <v>224.1</v>
      </c>
      <c r="R1067" s="8" t="str">
        <f>_xlfn.IFS(J1067&gt;=8,"Hit",J1067&gt;=6,"Average",J1067&lt;6,"Flop")</f>
        <v>Hit</v>
      </c>
      <c r="S1067" s="9" t="str">
        <f>_xlfn.IFS(K1067&gt;=400,"Blockbuster",K1067&gt;=200,"Popular",K1067&lt;200,"Normal")</f>
        <v>Normal</v>
      </c>
      <c r="T1067" s="10" t="str">
        <f>IF(OR(I1067="PG",I1067="G"),"Yes","No")</f>
        <v>Yes</v>
      </c>
      <c r="U1067" s="11" t="str">
        <f>IF(P1067&gt;=100,"High","Low")</f>
        <v>Low</v>
      </c>
      <c r="V1067" s="28">
        <f t="shared" si="32"/>
        <v>150.1</v>
      </c>
      <c r="W1067" s="29">
        <f t="shared" si="33"/>
        <v>302.83783783783787</v>
      </c>
    </row>
    <row r="1068" spans="1:23" x14ac:dyDescent="0.3">
      <c r="A1068" s="1" t="s">
        <v>3081</v>
      </c>
      <c r="B1068" s="1" t="s">
        <v>3082</v>
      </c>
      <c r="C1068" s="1" t="s">
        <v>18</v>
      </c>
      <c r="D1068" s="1" t="s">
        <v>47</v>
      </c>
      <c r="E1068" s="1">
        <v>2020</v>
      </c>
      <c r="F1068" s="1" t="s">
        <v>20</v>
      </c>
      <c r="G1068" s="1" t="s">
        <v>3083</v>
      </c>
      <c r="H1068" s="1">
        <v>159</v>
      </c>
      <c r="I1068" s="1" t="s">
        <v>50</v>
      </c>
      <c r="J1068" s="1">
        <v>9.1</v>
      </c>
      <c r="K1068" s="1">
        <v>414.7</v>
      </c>
      <c r="L1068" s="1" t="s">
        <v>23</v>
      </c>
      <c r="M1068" s="1" t="s">
        <v>132</v>
      </c>
      <c r="N1068" s="1" t="s">
        <v>102</v>
      </c>
      <c r="O1068" s="1"/>
      <c r="P1068" s="1">
        <v>196</v>
      </c>
      <c r="Q1068" s="1">
        <v>670.6</v>
      </c>
      <c r="R1068" s="8" t="str">
        <f>_xlfn.IFS(J1068&gt;=8,"Hit",J1068&gt;=6,"Average",J1068&lt;6,"Flop")</f>
        <v>Hit</v>
      </c>
      <c r="S1068" s="9" t="str">
        <f>_xlfn.IFS(K1068&gt;=400,"Blockbuster",K1068&gt;=200,"Popular",K1068&lt;200,"Normal")</f>
        <v>Blockbuster</v>
      </c>
      <c r="T1068" s="10" t="str">
        <f>IF(OR(I1068="PG",I1068="G"),"Yes","No")</f>
        <v>Yes</v>
      </c>
      <c r="U1068" s="11" t="str">
        <f>IF(P1068&gt;=100,"High","Low")</f>
        <v>High</v>
      </c>
      <c r="V1068" s="28">
        <f t="shared" si="32"/>
        <v>474.6</v>
      </c>
      <c r="W1068" s="29">
        <f t="shared" si="33"/>
        <v>342.14285714285717</v>
      </c>
    </row>
    <row r="1069" spans="1:23" x14ac:dyDescent="0.3">
      <c r="A1069" s="1" t="s">
        <v>3084</v>
      </c>
      <c r="B1069" s="1" t="s">
        <v>3085</v>
      </c>
      <c r="C1069" s="1" t="s">
        <v>46</v>
      </c>
      <c r="D1069" s="1" t="s">
        <v>75</v>
      </c>
      <c r="E1069" s="1">
        <v>2024</v>
      </c>
      <c r="F1069" s="1" t="s">
        <v>76</v>
      </c>
      <c r="G1069" s="1" t="s">
        <v>3086</v>
      </c>
      <c r="H1069" s="1">
        <v>42</v>
      </c>
      <c r="I1069" s="1" t="s">
        <v>40</v>
      </c>
      <c r="J1069" s="1">
        <v>7.9</v>
      </c>
      <c r="K1069" s="1">
        <v>575.29999999999995</v>
      </c>
      <c r="L1069" s="1" t="s">
        <v>41</v>
      </c>
      <c r="M1069" s="1" t="s">
        <v>66</v>
      </c>
      <c r="N1069" s="1" t="s">
        <v>43</v>
      </c>
      <c r="O1069" s="1">
        <v>3</v>
      </c>
      <c r="P1069" s="1">
        <v>182</v>
      </c>
      <c r="Q1069" s="1">
        <v>413.2</v>
      </c>
      <c r="R1069" s="8" t="str">
        <f>_xlfn.IFS(J1069&gt;=8,"Hit",J1069&gt;=6,"Average",J1069&lt;6,"Flop")</f>
        <v>Average</v>
      </c>
      <c r="S1069" s="9" t="str">
        <f>_xlfn.IFS(K1069&gt;=400,"Blockbuster",K1069&gt;=200,"Popular",K1069&lt;200,"Normal")</f>
        <v>Blockbuster</v>
      </c>
      <c r="T1069" s="10" t="str">
        <f>IF(OR(I1069="PG",I1069="G"),"Yes","No")</f>
        <v>Yes</v>
      </c>
      <c r="U1069" s="11" t="str">
        <f>IF(P1069&gt;=100,"High","Low")</f>
        <v>High</v>
      </c>
      <c r="V1069" s="28">
        <f t="shared" si="32"/>
        <v>231.2</v>
      </c>
      <c r="W1069" s="29">
        <f t="shared" si="33"/>
        <v>227.03296703296704</v>
      </c>
    </row>
    <row r="1070" spans="1:23" x14ac:dyDescent="0.3">
      <c r="A1070" s="1" t="s">
        <v>3087</v>
      </c>
      <c r="B1070" s="1" t="s">
        <v>3088</v>
      </c>
      <c r="C1070" s="1" t="s">
        <v>18</v>
      </c>
      <c r="D1070" s="1" t="s">
        <v>47</v>
      </c>
      <c r="E1070" s="1">
        <v>2010</v>
      </c>
      <c r="F1070" s="1" t="s">
        <v>83</v>
      </c>
      <c r="G1070" s="1" t="s">
        <v>3089</v>
      </c>
      <c r="H1070" s="1">
        <v>142</v>
      </c>
      <c r="I1070" s="1" t="s">
        <v>50</v>
      </c>
      <c r="J1070" s="1">
        <v>5.6</v>
      </c>
      <c r="K1070" s="1">
        <v>28.4</v>
      </c>
      <c r="L1070" s="1" t="s">
        <v>23</v>
      </c>
      <c r="M1070" s="1" t="s">
        <v>78</v>
      </c>
      <c r="N1070" s="1" t="s">
        <v>67</v>
      </c>
      <c r="O1070" s="1"/>
      <c r="P1070" s="1">
        <v>79</v>
      </c>
      <c r="Q1070" s="1">
        <v>132</v>
      </c>
      <c r="R1070" s="8" t="str">
        <f>_xlfn.IFS(J1070&gt;=8,"Hit",J1070&gt;=6,"Average",J1070&lt;6,"Flop")</f>
        <v>Flop</v>
      </c>
      <c r="S1070" s="9" t="str">
        <f>_xlfn.IFS(K1070&gt;=400,"Blockbuster",K1070&gt;=200,"Popular",K1070&lt;200,"Normal")</f>
        <v>Normal</v>
      </c>
      <c r="T1070" s="10" t="str">
        <f>IF(OR(I1070="PG",I1070="G"),"Yes","No")</f>
        <v>Yes</v>
      </c>
      <c r="U1070" s="11" t="str">
        <f>IF(P1070&gt;=100,"High","Low")</f>
        <v>Low</v>
      </c>
      <c r="V1070" s="28">
        <f t="shared" si="32"/>
        <v>53</v>
      </c>
      <c r="W1070" s="29">
        <f t="shared" si="33"/>
        <v>167.08860759493672</v>
      </c>
    </row>
    <row r="1071" spans="1:23" x14ac:dyDescent="0.3">
      <c r="A1071" s="1" t="s">
        <v>3090</v>
      </c>
      <c r="B1071" s="1" t="s">
        <v>3091</v>
      </c>
      <c r="C1071" s="1" t="s">
        <v>46</v>
      </c>
      <c r="D1071" s="1" t="s">
        <v>117</v>
      </c>
      <c r="E1071" s="1">
        <v>2020</v>
      </c>
      <c r="F1071" s="1" t="s">
        <v>48</v>
      </c>
      <c r="G1071" s="1" t="s">
        <v>3092</v>
      </c>
      <c r="H1071" s="1">
        <v>51</v>
      </c>
      <c r="I1071" s="1" t="s">
        <v>110</v>
      </c>
      <c r="J1071" s="1">
        <v>7.4</v>
      </c>
      <c r="K1071" s="1">
        <v>569.1</v>
      </c>
      <c r="L1071" s="1" t="s">
        <v>71</v>
      </c>
      <c r="M1071" s="1" t="s">
        <v>85</v>
      </c>
      <c r="N1071" s="1" t="s">
        <v>55</v>
      </c>
      <c r="O1071" s="1">
        <v>7</v>
      </c>
      <c r="P1071" s="1">
        <v>72</v>
      </c>
      <c r="Q1071" s="1">
        <v>203.7</v>
      </c>
      <c r="R1071" s="8" t="str">
        <f>_xlfn.IFS(J1071&gt;=8,"Hit",J1071&gt;=6,"Average",J1071&lt;6,"Flop")</f>
        <v>Average</v>
      </c>
      <c r="S1071" s="9" t="str">
        <f>_xlfn.IFS(K1071&gt;=400,"Blockbuster",K1071&gt;=200,"Popular",K1071&lt;200,"Normal")</f>
        <v>Blockbuster</v>
      </c>
      <c r="T1071" s="10" t="str">
        <f>IF(OR(I1071="PG",I1071="G"),"Yes","No")</f>
        <v>No</v>
      </c>
      <c r="U1071" s="11" t="str">
        <f>IF(P1071&gt;=100,"High","Low")</f>
        <v>Low</v>
      </c>
      <c r="V1071" s="28">
        <f t="shared" si="32"/>
        <v>131.69999999999999</v>
      </c>
      <c r="W1071" s="29">
        <f t="shared" si="33"/>
        <v>282.91666666666669</v>
      </c>
    </row>
    <row r="1072" spans="1:23" x14ac:dyDescent="0.3">
      <c r="A1072" s="1" t="s">
        <v>3093</v>
      </c>
      <c r="B1072" s="1" t="s">
        <v>3094</v>
      </c>
      <c r="C1072" s="1" t="s">
        <v>18</v>
      </c>
      <c r="D1072" s="1" t="s">
        <v>75</v>
      </c>
      <c r="E1072" s="1">
        <v>2020</v>
      </c>
      <c r="F1072" s="1" t="s">
        <v>95</v>
      </c>
      <c r="G1072" s="1" t="s">
        <v>737</v>
      </c>
      <c r="H1072" s="1">
        <v>158</v>
      </c>
      <c r="I1072" s="1" t="s">
        <v>31</v>
      </c>
      <c r="J1072" s="1">
        <v>7</v>
      </c>
      <c r="K1072" s="1">
        <v>418.5</v>
      </c>
      <c r="L1072" s="1" t="s">
        <v>32</v>
      </c>
      <c r="M1072" s="1" t="s">
        <v>66</v>
      </c>
      <c r="N1072" s="1" t="s">
        <v>86</v>
      </c>
      <c r="O1072" s="1"/>
      <c r="P1072" s="1">
        <v>101</v>
      </c>
      <c r="Q1072" s="1">
        <v>365</v>
      </c>
      <c r="R1072" s="8" t="str">
        <f>_xlfn.IFS(J1072&gt;=8,"Hit",J1072&gt;=6,"Average",J1072&lt;6,"Flop")</f>
        <v>Average</v>
      </c>
      <c r="S1072" s="9" t="str">
        <f>_xlfn.IFS(K1072&gt;=400,"Blockbuster",K1072&gt;=200,"Popular",K1072&lt;200,"Normal")</f>
        <v>Blockbuster</v>
      </c>
      <c r="T1072" s="10" t="str">
        <f>IF(OR(I1072="PG",I1072="G"),"Yes","No")</f>
        <v>No</v>
      </c>
      <c r="U1072" s="11" t="str">
        <f>IF(P1072&gt;=100,"High","Low")</f>
        <v>High</v>
      </c>
      <c r="V1072" s="28">
        <f t="shared" si="32"/>
        <v>264</v>
      </c>
      <c r="W1072" s="29">
        <f t="shared" si="33"/>
        <v>361.38613861386142</v>
      </c>
    </row>
    <row r="1073" spans="1:23" x14ac:dyDescent="0.3">
      <c r="A1073" s="1" t="s">
        <v>3095</v>
      </c>
      <c r="B1073" s="1" t="s">
        <v>3096</v>
      </c>
      <c r="C1073" s="1" t="s">
        <v>46</v>
      </c>
      <c r="D1073" s="1" t="s">
        <v>19</v>
      </c>
      <c r="E1073" s="1">
        <v>2017</v>
      </c>
      <c r="F1073" s="1" t="s">
        <v>95</v>
      </c>
      <c r="G1073" s="1" t="s">
        <v>1341</v>
      </c>
      <c r="H1073" s="1">
        <v>30</v>
      </c>
      <c r="I1073" s="1" t="s">
        <v>50</v>
      </c>
      <c r="J1073" s="1">
        <v>6</v>
      </c>
      <c r="K1073" s="1">
        <v>454.7</v>
      </c>
      <c r="L1073" s="1" t="s">
        <v>90</v>
      </c>
      <c r="M1073" s="1" t="s">
        <v>97</v>
      </c>
      <c r="N1073" s="1" t="s">
        <v>67</v>
      </c>
      <c r="O1073" s="1">
        <v>1</v>
      </c>
      <c r="P1073" s="1">
        <v>90</v>
      </c>
      <c r="Q1073" s="1">
        <v>159.4</v>
      </c>
      <c r="R1073" s="8" t="str">
        <f>_xlfn.IFS(J1073&gt;=8,"Hit",J1073&gt;=6,"Average",J1073&lt;6,"Flop")</f>
        <v>Average</v>
      </c>
      <c r="S1073" s="9" t="str">
        <f>_xlfn.IFS(K1073&gt;=400,"Blockbuster",K1073&gt;=200,"Popular",K1073&lt;200,"Normal")</f>
        <v>Blockbuster</v>
      </c>
      <c r="T1073" s="10" t="str">
        <f>IF(OR(I1073="PG",I1073="G"),"Yes","No")</f>
        <v>Yes</v>
      </c>
      <c r="U1073" s="11" t="str">
        <f>IF(P1073&gt;=100,"High","Low")</f>
        <v>Low</v>
      </c>
      <c r="V1073" s="28">
        <f t="shared" si="32"/>
        <v>69.400000000000006</v>
      </c>
      <c r="W1073" s="29">
        <f t="shared" si="33"/>
        <v>177.11111111111111</v>
      </c>
    </row>
    <row r="1074" spans="1:23" x14ac:dyDescent="0.3">
      <c r="A1074" s="1" t="s">
        <v>3097</v>
      </c>
      <c r="B1074" s="1" t="s">
        <v>3098</v>
      </c>
      <c r="C1074" s="1" t="s">
        <v>18</v>
      </c>
      <c r="D1074" s="1" t="s">
        <v>117</v>
      </c>
      <c r="E1074" s="1">
        <v>2003</v>
      </c>
      <c r="F1074" s="1" t="s">
        <v>76</v>
      </c>
      <c r="G1074" s="1" t="s">
        <v>3099</v>
      </c>
      <c r="H1074" s="1">
        <v>154</v>
      </c>
      <c r="I1074" s="1" t="s">
        <v>40</v>
      </c>
      <c r="J1074" s="1">
        <v>9.1</v>
      </c>
      <c r="K1074" s="1">
        <v>572.70000000000005</v>
      </c>
      <c r="L1074" s="1" t="s">
        <v>71</v>
      </c>
      <c r="M1074" s="1" t="s">
        <v>157</v>
      </c>
      <c r="N1074" s="1" t="s">
        <v>128</v>
      </c>
      <c r="O1074" s="1"/>
      <c r="P1074" s="1">
        <v>180</v>
      </c>
      <c r="Q1074" s="1">
        <v>329.3</v>
      </c>
      <c r="R1074" s="8" t="str">
        <f>_xlfn.IFS(J1074&gt;=8,"Hit",J1074&gt;=6,"Average",J1074&lt;6,"Flop")</f>
        <v>Hit</v>
      </c>
      <c r="S1074" s="9" t="str">
        <f>_xlfn.IFS(K1074&gt;=400,"Blockbuster",K1074&gt;=200,"Popular",K1074&lt;200,"Normal")</f>
        <v>Blockbuster</v>
      </c>
      <c r="T1074" s="10" t="str">
        <f>IF(OR(I1074="PG",I1074="G"),"Yes","No")</f>
        <v>Yes</v>
      </c>
      <c r="U1074" s="11" t="str">
        <f>IF(P1074&gt;=100,"High","Low")</f>
        <v>High</v>
      </c>
      <c r="V1074" s="28">
        <f t="shared" si="32"/>
        <v>149.30000000000001</v>
      </c>
      <c r="W1074" s="29">
        <f t="shared" si="33"/>
        <v>182.94444444444446</v>
      </c>
    </row>
    <row r="1075" spans="1:23" x14ac:dyDescent="0.3">
      <c r="A1075" s="1" t="s">
        <v>3100</v>
      </c>
      <c r="B1075" s="1" t="s">
        <v>3101</v>
      </c>
      <c r="C1075" s="1" t="s">
        <v>18</v>
      </c>
      <c r="D1075" s="1" t="s">
        <v>82</v>
      </c>
      <c r="E1075" s="1">
        <v>2011</v>
      </c>
      <c r="F1075" s="1" t="s">
        <v>38</v>
      </c>
      <c r="G1075" s="1" t="s">
        <v>3102</v>
      </c>
      <c r="H1075" s="1">
        <v>101</v>
      </c>
      <c r="I1075" s="1" t="s">
        <v>22</v>
      </c>
      <c r="J1075" s="1">
        <v>9.5</v>
      </c>
      <c r="K1075" s="1">
        <v>80.2</v>
      </c>
      <c r="L1075" s="1" t="s">
        <v>23</v>
      </c>
      <c r="M1075" s="1" t="s">
        <v>54</v>
      </c>
      <c r="N1075" s="1" t="s">
        <v>119</v>
      </c>
      <c r="O1075" s="1"/>
      <c r="P1075" s="1">
        <v>73</v>
      </c>
      <c r="Q1075" s="1">
        <v>348.8</v>
      </c>
      <c r="R1075" s="8" t="str">
        <f>_xlfn.IFS(J1075&gt;=8,"Hit",J1075&gt;=6,"Average",J1075&lt;6,"Flop")</f>
        <v>Hit</v>
      </c>
      <c r="S1075" s="9" t="str">
        <f>_xlfn.IFS(K1075&gt;=400,"Blockbuster",K1075&gt;=200,"Popular",K1075&lt;200,"Normal")</f>
        <v>Normal</v>
      </c>
      <c r="T1075" s="10" t="str">
        <f>IF(OR(I1075="PG",I1075="G"),"Yes","No")</f>
        <v>No</v>
      </c>
      <c r="U1075" s="11" t="str">
        <f>IF(P1075&gt;=100,"High","Low")</f>
        <v>Low</v>
      </c>
      <c r="V1075" s="28">
        <f t="shared" si="32"/>
        <v>275.8</v>
      </c>
      <c r="W1075" s="29">
        <f t="shared" si="33"/>
        <v>477.8082191780822</v>
      </c>
    </row>
    <row r="1076" spans="1:23" x14ac:dyDescent="0.3">
      <c r="A1076" s="1" t="s">
        <v>3103</v>
      </c>
      <c r="B1076" s="1" t="s">
        <v>3104</v>
      </c>
      <c r="C1076" s="1" t="s">
        <v>18</v>
      </c>
      <c r="D1076" s="1" t="s">
        <v>63</v>
      </c>
      <c r="E1076" s="1">
        <v>2006</v>
      </c>
      <c r="F1076" s="1" t="s">
        <v>76</v>
      </c>
      <c r="G1076" s="1" t="s">
        <v>1378</v>
      </c>
      <c r="H1076" s="1">
        <v>153</v>
      </c>
      <c r="I1076" s="1" t="s">
        <v>110</v>
      </c>
      <c r="J1076" s="1">
        <v>8.8000000000000007</v>
      </c>
      <c r="K1076" s="1">
        <v>563.5</v>
      </c>
      <c r="L1076" s="1" t="s">
        <v>71</v>
      </c>
      <c r="M1076" s="1" t="s">
        <v>157</v>
      </c>
      <c r="N1076" s="1" t="s">
        <v>43</v>
      </c>
      <c r="O1076" s="1"/>
      <c r="P1076" s="1">
        <v>74</v>
      </c>
      <c r="Q1076" s="1">
        <v>287.5</v>
      </c>
      <c r="R1076" s="8" t="str">
        <f>_xlfn.IFS(J1076&gt;=8,"Hit",J1076&gt;=6,"Average",J1076&lt;6,"Flop")</f>
        <v>Hit</v>
      </c>
      <c r="S1076" s="9" t="str">
        <f>_xlfn.IFS(K1076&gt;=400,"Blockbuster",K1076&gt;=200,"Popular",K1076&lt;200,"Normal")</f>
        <v>Blockbuster</v>
      </c>
      <c r="T1076" s="10" t="str">
        <f>IF(OR(I1076="PG",I1076="G"),"Yes","No")</f>
        <v>No</v>
      </c>
      <c r="U1076" s="11" t="str">
        <f>IF(P1076&gt;=100,"High","Low")</f>
        <v>Low</v>
      </c>
      <c r="V1076" s="28">
        <f t="shared" si="32"/>
        <v>213.5</v>
      </c>
      <c r="W1076" s="29">
        <f t="shared" si="33"/>
        <v>388.51351351351349</v>
      </c>
    </row>
    <row r="1077" spans="1:23" x14ac:dyDescent="0.3">
      <c r="A1077" s="1" t="s">
        <v>3105</v>
      </c>
      <c r="B1077" s="1" t="s">
        <v>3106</v>
      </c>
      <c r="C1077" s="1" t="s">
        <v>18</v>
      </c>
      <c r="D1077" s="1" t="s">
        <v>94</v>
      </c>
      <c r="E1077" s="1">
        <v>2017</v>
      </c>
      <c r="F1077" s="1" t="s">
        <v>76</v>
      </c>
      <c r="G1077" s="1" t="s">
        <v>3107</v>
      </c>
      <c r="H1077" s="1">
        <v>87</v>
      </c>
      <c r="I1077" s="1" t="s">
        <v>31</v>
      </c>
      <c r="J1077" s="1">
        <v>7.4</v>
      </c>
      <c r="K1077" s="1">
        <v>370.1</v>
      </c>
      <c r="L1077" s="1" t="s">
        <v>32</v>
      </c>
      <c r="M1077" s="1" t="s">
        <v>106</v>
      </c>
      <c r="N1077" s="1" t="s">
        <v>67</v>
      </c>
      <c r="O1077" s="1"/>
      <c r="P1077" s="1">
        <v>102</v>
      </c>
      <c r="Q1077" s="1">
        <v>370.4</v>
      </c>
      <c r="R1077" s="8" t="str">
        <f>_xlfn.IFS(J1077&gt;=8,"Hit",J1077&gt;=6,"Average",J1077&lt;6,"Flop")</f>
        <v>Average</v>
      </c>
      <c r="S1077" s="9" t="str">
        <f>_xlfn.IFS(K1077&gt;=400,"Blockbuster",K1077&gt;=200,"Popular",K1077&lt;200,"Normal")</f>
        <v>Popular</v>
      </c>
      <c r="T1077" s="10" t="str">
        <f>IF(OR(I1077="PG",I1077="G"),"Yes","No")</f>
        <v>No</v>
      </c>
      <c r="U1077" s="11" t="str">
        <f>IF(P1077&gt;=100,"High","Low")</f>
        <v>High</v>
      </c>
      <c r="V1077" s="28">
        <f t="shared" si="32"/>
        <v>268.39999999999998</v>
      </c>
      <c r="W1077" s="29">
        <f t="shared" si="33"/>
        <v>363.13725490196077</v>
      </c>
    </row>
    <row r="1078" spans="1:23" x14ac:dyDescent="0.3">
      <c r="A1078" s="1" t="s">
        <v>3108</v>
      </c>
      <c r="B1078" s="1" t="s">
        <v>3109</v>
      </c>
      <c r="C1078" s="1" t="s">
        <v>46</v>
      </c>
      <c r="D1078" s="1" t="s">
        <v>117</v>
      </c>
      <c r="E1078" s="1">
        <v>2004</v>
      </c>
      <c r="F1078" s="1" t="s">
        <v>38</v>
      </c>
      <c r="G1078" s="1" t="s">
        <v>316</v>
      </c>
      <c r="H1078" s="1">
        <v>37</v>
      </c>
      <c r="I1078" s="1" t="s">
        <v>50</v>
      </c>
      <c r="J1078" s="1">
        <v>8.3000000000000007</v>
      </c>
      <c r="K1078" s="1">
        <v>134.5</v>
      </c>
      <c r="L1078" s="1" t="s">
        <v>171</v>
      </c>
      <c r="M1078" s="1" t="s">
        <v>66</v>
      </c>
      <c r="N1078" s="1" t="s">
        <v>158</v>
      </c>
      <c r="O1078" s="1">
        <v>8</v>
      </c>
      <c r="P1078" s="1">
        <v>146</v>
      </c>
      <c r="Q1078" s="1">
        <v>763.8</v>
      </c>
      <c r="R1078" s="8" t="str">
        <f>_xlfn.IFS(J1078&gt;=8,"Hit",J1078&gt;=6,"Average",J1078&lt;6,"Flop")</f>
        <v>Hit</v>
      </c>
      <c r="S1078" s="9" t="str">
        <f>_xlfn.IFS(K1078&gt;=400,"Blockbuster",K1078&gt;=200,"Popular",K1078&lt;200,"Normal")</f>
        <v>Normal</v>
      </c>
      <c r="T1078" s="10" t="str">
        <f>IF(OR(I1078="PG",I1078="G"),"Yes","No")</f>
        <v>Yes</v>
      </c>
      <c r="U1078" s="11" t="str">
        <f>IF(P1078&gt;=100,"High","Low")</f>
        <v>High</v>
      </c>
      <c r="V1078" s="28">
        <f t="shared" si="32"/>
        <v>617.79999999999995</v>
      </c>
      <c r="W1078" s="29">
        <f t="shared" si="33"/>
        <v>523.15068493150682</v>
      </c>
    </row>
    <row r="1079" spans="1:23" x14ac:dyDescent="0.3">
      <c r="A1079" s="1" t="s">
        <v>3110</v>
      </c>
      <c r="B1079" s="1" t="s">
        <v>3111</v>
      </c>
      <c r="C1079" s="1" t="s">
        <v>18</v>
      </c>
      <c r="D1079" s="1" t="s">
        <v>94</v>
      </c>
      <c r="E1079" s="1">
        <v>2005</v>
      </c>
      <c r="F1079" s="1" t="s">
        <v>122</v>
      </c>
      <c r="G1079" s="1" t="s">
        <v>3112</v>
      </c>
      <c r="H1079" s="1">
        <v>86</v>
      </c>
      <c r="I1079" s="1" t="s">
        <v>40</v>
      </c>
      <c r="J1079" s="1">
        <v>7.6</v>
      </c>
      <c r="K1079" s="1">
        <v>163.4</v>
      </c>
      <c r="L1079" s="1" t="s">
        <v>71</v>
      </c>
      <c r="M1079" s="1" t="s">
        <v>111</v>
      </c>
      <c r="N1079" s="1" t="s">
        <v>119</v>
      </c>
      <c r="O1079" s="1"/>
      <c r="P1079" s="1">
        <v>68</v>
      </c>
      <c r="Q1079" s="1">
        <v>136</v>
      </c>
      <c r="R1079" s="8" t="str">
        <f>_xlfn.IFS(J1079&gt;=8,"Hit",J1079&gt;=6,"Average",J1079&lt;6,"Flop")</f>
        <v>Average</v>
      </c>
      <c r="S1079" s="9" t="str">
        <f>_xlfn.IFS(K1079&gt;=400,"Blockbuster",K1079&gt;=200,"Popular",K1079&lt;200,"Normal")</f>
        <v>Normal</v>
      </c>
      <c r="T1079" s="10" t="str">
        <f>IF(OR(I1079="PG",I1079="G"),"Yes","No")</f>
        <v>Yes</v>
      </c>
      <c r="U1079" s="11" t="str">
        <f>IF(P1079&gt;=100,"High","Low")</f>
        <v>Low</v>
      </c>
      <c r="V1079" s="28">
        <f t="shared" si="32"/>
        <v>68</v>
      </c>
      <c r="W1079" s="29">
        <f t="shared" si="33"/>
        <v>200</v>
      </c>
    </row>
    <row r="1080" spans="1:23" x14ac:dyDescent="0.3">
      <c r="A1080" s="1" t="s">
        <v>3113</v>
      </c>
      <c r="B1080" s="1" t="s">
        <v>3114</v>
      </c>
      <c r="C1080" s="1" t="s">
        <v>18</v>
      </c>
      <c r="D1080" s="1" t="s">
        <v>37</v>
      </c>
      <c r="E1080" s="1">
        <v>2009</v>
      </c>
      <c r="F1080" s="1" t="s">
        <v>122</v>
      </c>
      <c r="G1080" s="1" t="s">
        <v>3115</v>
      </c>
      <c r="H1080" s="1">
        <v>108</v>
      </c>
      <c r="I1080" s="1" t="s">
        <v>110</v>
      </c>
      <c r="J1080" s="1">
        <v>8</v>
      </c>
      <c r="K1080" s="1">
        <v>189.7</v>
      </c>
      <c r="L1080" s="1" t="s">
        <v>71</v>
      </c>
      <c r="M1080" s="1" t="s">
        <v>97</v>
      </c>
      <c r="N1080" s="1" t="s">
        <v>86</v>
      </c>
      <c r="O1080" s="1"/>
      <c r="P1080" s="1">
        <v>66</v>
      </c>
      <c r="Q1080" s="1">
        <v>96</v>
      </c>
      <c r="R1080" s="8" t="str">
        <f>_xlfn.IFS(J1080&gt;=8,"Hit",J1080&gt;=6,"Average",J1080&lt;6,"Flop")</f>
        <v>Hit</v>
      </c>
      <c r="S1080" s="9" t="str">
        <f>_xlfn.IFS(K1080&gt;=400,"Blockbuster",K1080&gt;=200,"Popular",K1080&lt;200,"Normal")</f>
        <v>Normal</v>
      </c>
      <c r="T1080" s="10" t="str">
        <f>IF(OR(I1080="PG",I1080="G"),"Yes","No")</f>
        <v>No</v>
      </c>
      <c r="U1080" s="11" t="str">
        <f>IF(P1080&gt;=100,"High","Low")</f>
        <v>Low</v>
      </c>
      <c r="V1080" s="28">
        <f t="shared" si="32"/>
        <v>30</v>
      </c>
      <c r="W1080" s="29">
        <f t="shared" si="33"/>
        <v>145.45454545454547</v>
      </c>
    </row>
    <row r="1081" spans="1:23" x14ac:dyDescent="0.3">
      <c r="A1081" s="1" t="s">
        <v>3116</v>
      </c>
      <c r="B1081" s="1" t="s">
        <v>3117</v>
      </c>
      <c r="C1081" s="1" t="s">
        <v>46</v>
      </c>
      <c r="D1081" s="1" t="s">
        <v>28</v>
      </c>
      <c r="E1081" s="1">
        <v>2003</v>
      </c>
      <c r="F1081" s="1" t="s">
        <v>95</v>
      </c>
      <c r="G1081" s="1" t="s">
        <v>3118</v>
      </c>
      <c r="H1081" s="1">
        <v>45</v>
      </c>
      <c r="I1081" s="1" t="s">
        <v>50</v>
      </c>
      <c r="J1081" s="1">
        <v>7.5</v>
      </c>
      <c r="K1081" s="1">
        <v>336.4</v>
      </c>
      <c r="L1081" s="1" t="s">
        <v>65</v>
      </c>
      <c r="M1081" s="1" t="s">
        <v>106</v>
      </c>
      <c r="N1081" s="1" t="s">
        <v>34</v>
      </c>
      <c r="O1081" s="1">
        <v>6</v>
      </c>
      <c r="P1081" s="1">
        <v>46</v>
      </c>
      <c r="Q1081" s="1">
        <v>170.3</v>
      </c>
      <c r="R1081" s="8" t="str">
        <f>_xlfn.IFS(J1081&gt;=8,"Hit",J1081&gt;=6,"Average",J1081&lt;6,"Flop")</f>
        <v>Average</v>
      </c>
      <c r="S1081" s="9" t="str">
        <f>_xlfn.IFS(K1081&gt;=400,"Blockbuster",K1081&gt;=200,"Popular",K1081&lt;200,"Normal")</f>
        <v>Popular</v>
      </c>
      <c r="T1081" s="10" t="str">
        <f>IF(OR(I1081="PG",I1081="G"),"Yes","No")</f>
        <v>Yes</v>
      </c>
      <c r="U1081" s="11" t="str">
        <f>IF(P1081&gt;=100,"High","Low")</f>
        <v>Low</v>
      </c>
      <c r="V1081" s="28">
        <f t="shared" si="32"/>
        <v>124.30000000000001</v>
      </c>
      <c r="W1081" s="29">
        <f t="shared" si="33"/>
        <v>370.21739130434781</v>
      </c>
    </row>
    <row r="1082" spans="1:23" x14ac:dyDescent="0.3">
      <c r="A1082" s="1" t="s">
        <v>3119</v>
      </c>
      <c r="B1082" s="1" t="s">
        <v>3120</v>
      </c>
      <c r="C1082" s="1" t="s">
        <v>18</v>
      </c>
      <c r="D1082" s="1" t="s">
        <v>82</v>
      </c>
      <c r="E1082" s="1">
        <v>2001</v>
      </c>
      <c r="F1082" s="1" t="s">
        <v>38</v>
      </c>
      <c r="G1082" s="1" t="s">
        <v>3121</v>
      </c>
      <c r="H1082" s="1">
        <v>124</v>
      </c>
      <c r="I1082" s="1" t="s">
        <v>31</v>
      </c>
      <c r="J1082" s="1">
        <v>7.1</v>
      </c>
      <c r="K1082" s="1">
        <v>426.4</v>
      </c>
      <c r="L1082" s="1" t="s">
        <v>71</v>
      </c>
      <c r="M1082" s="1" t="s">
        <v>72</v>
      </c>
      <c r="N1082" s="1" t="s">
        <v>158</v>
      </c>
      <c r="O1082" s="1"/>
      <c r="P1082" s="1">
        <v>128</v>
      </c>
      <c r="Q1082" s="1">
        <v>492.4</v>
      </c>
      <c r="R1082" s="8" t="str">
        <f>_xlfn.IFS(J1082&gt;=8,"Hit",J1082&gt;=6,"Average",J1082&lt;6,"Flop")</f>
        <v>Average</v>
      </c>
      <c r="S1082" s="9" t="str">
        <f>_xlfn.IFS(K1082&gt;=400,"Blockbuster",K1082&gt;=200,"Popular",K1082&lt;200,"Normal")</f>
        <v>Blockbuster</v>
      </c>
      <c r="T1082" s="10" t="str">
        <f>IF(OR(I1082="PG",I1082="G"),"Yes","No")</f>
        <v>No</v>
      </c>
      <c r="U1082" s="11" t="str">
        <f>IF(P1082&gt;=100,"High","Low")</f>
        <v>High</v>
      </c>
      <c r="V1082" s="28">
        <f t="shared" si="32"/>
        <v>364.4</v>
      </c>
      <c r="W1082" s="29">
        <f t="shared" si="33"/>
        <v>384.6875</v>
      </c>
    </row>
    <row r="1083" spans="1:23" x14ac:dyDescent="0.3">
      <c r="A1083" s="1" t="s">
        <v>3122</v>
      </c>
      <c r="B1083" s="1" t="s">
        <v>3123</v>
      </c>
      <c r="C1083" s="1" t="s">
        <v>46</v>
      </c>
      <c r="D1083" s="1" t="s">
        <v>58</v>
      </c>
      <c r="E1083" s="1">
        <v>2003</v>
      </c>
      <c r="F1083" s="1" t="s">
        <v>83</v>
      </c>
      <c r="G1083" s="1" t="s">
        <v>1270</v>
      </c>
      <c r="H1083" s="1">
        <v>48</v>
      </c>
      <c r="I1083" s="1" t="s">
        <v>110</v>
      </c>
      <c r="J1083" s="1">
        <v>9</v>
      </c>
      <c r="K1083" s="1">
        <v>501.8</v>
      </c>
      <c r="L1083" s="1" t="s">
        <v>41</v>
      </c>
      <c r="M1083" s="1" t="s">
        <v>106</v>
      </c>
      <c r="N1083" s="1" t="s">
        <v>119</v>
      </c>
      <c r="O1083" s="1">
        <v>5</v>
      </c>
      <c r="P1083" s="1">
        <v>11</v>
      </c>
      <c r="Q1083" s="1">
        <v>14.5</v>
      </c>
      <c r="R1083" s="8" t="str">
        <f>_xlfn.IFS(J1083&gt;=8,"Hit",J1083&gt;=6,"Average",J1083&lt;6,"Flop")</f>
        <v>Hit</v>
      </c>
      <c r="S1083" s="9" t="str">
        <f>_xlfn.IFS(K1083&gt;=400,"Blockbuster",K1083&gt;=200,"Popular",K1083&lt;200,"Normal")</f>
        <v>Blockbuster</v>
      </c>
      <c r="T1083" s="10" t="str">
        <f>IF(OR(I1083="PG",I1083="G"),"Yes","No")</f>
        <v>No</v>
      </c>
      <c r="U1083" s="11" t="str">
        <f>IF(P1083&gt;=100,"High","Low")</f>
        <v>Low</v>
      </c>
      <c r="V1083" s="28">
        <f t="shared" si="32"/>
        <v>3.5</v>
      </c>
      <c r="W1083" s="29">
        <f t="shared" si="33"/>
        <v>131.81818181818181</v>
      </c>
    </row>
    <row r="1084" spans="1:23" x14ac:dyDescent="0.3">
      <c r="A1084" s="1" t="s">
        <v>3124</v>
      </c>
      <c r="B1084" s="1" t="s">
        <v>3125</v>
      </c>
      <c r="C1084" s="1" t="s">
        <v>46</v>
      </c>
      <c r="D1084" s="1" t="s">
        <v>117</v>
      </c>
      <c r="E1084" s="1">
        <v>2000</v>
      </c>
      <c r="F1084" s="1" t="s">
        <v>38</v>
      </c>
      <c r="G1084" s="1" t="s">
        <v>3126</v>
      </c>
      <c r="H1084" s="1">
        <v>47</v>
      </c>
      <c r="I1084" s="1" t="s">
        <v>22</v>
      </c>
      <c r="J1084" s="1">
        <v>6.8</v>
      </c>
      <c r="K1084" s="1">
        <v>505.5</v>
      </c>
      <c r="L1084" s="1" t="s">
        <v>32</v>
      </c>
      <c r="M1084" s="1" t="s">
        <v>111</v>
      </c>
      <c r="N1084" s="1" t="s">
        <v>158</v>
      </c>
      <c r="O1084" s="1">
        <v>1</v>
      </c>
      <c r="P1084" s="1">
        <v>24</v>
      </c>
      <c r="Q1084" s="1">
        <v>68.7</v>
      </c>
      <c r="R1084" s="8" t="str">
        <f>_xlfn.IFS(J1084&gt;=8,"Hit",J1084&gt;=6,"Average",J1084&lt;6,"Flop")</f>
        <v>Average</v>
      </c>
      <c r="S1084" s="9" t="str">
        <f>_xlfn.IFS(K1084&gt;=400,"Blockbuster",K1084&gt;=200,"Popular",K1084&lt;200,"Normal")</f>
        <v>Blockbuster</v>
      </c>
      <c r="T1084" s="10" t="str">
        <f>IF(OR(I1084="PG",I1084="G"),"Yes","No")</f>
        <v>No</v>
      </c>
      <c r="U1084" s="11" t="str">
        <f>IF(P1084&gt;=100,"High","Low")</f>
        <v>Low</v>
      </c>
      <c r="V1084" s="28">
        <f t="shared" si="32"/>
        <v>44.7</v>
      </c>
      <c r="W1084" s="29">
        <f t="shared" si="33"/>
        <v>286.25</v>
      </c>
    </row>
    <row r="1085" spans="1:23" x14ac:dyDescent="0.3">
      <c r="A1085" s="1" t="s">
        <v>3127</v>
      </c>
      <c r="B1085" s="1" t="s">
        <v>3128</v>
      </c>
      <c r="C1085" s="1" t="s">
        <v>46</v>
      </c>
      <c r="D1085" s="1" t="s">
        <v>19</v>
      </c>
      <c r="E1085" s="1">
        <v>2013</v>
      </c>
      <c r="F1085" s="1" t="s">
        <v>20</v>
      </c>
      <c r="G1085" s="1" t="s">
        <v>3129</v>
      </c>
      <c r="H1085" s="1">
        <v>35</v>
      </c>
      <c r="I1085" s="1" t="s">
        <v>50</v>
      </c>
      <c r="J1085" s="1">
        <v>5</v>
      </c>
      <c r="K1085" s="1">
        <v>79.2</v>
      </c>
      <c r="L1085" s="1" t="s">
        <v>32</v>
      </c>
      <c r="M1085" s="1" t="s">
        <v>54</v>
      </c>
      <c r="N1085" s="1" t="s">
        <v>34</v>
      </c>
      <c r="O1085" s="1">
        <v>6</v>
      </c>
      <c r="P1085" s="1">
        <v>182</v>
      </c>
      <c r="Q1085" s="1">
        <v>985.1</v>
      </c>
      <c r="R1085" s="8" t="str">
        <f>_xlfn.IFS(J1085&gt;=8,"Hit",J1085&gt;=6,"Average",J1085&lt;6,"Flop")</f>
        <v>Flop</v>
      </c>
      <c r="S1085" s="9" t="str">
        <f>_xlfn.IFS(K1085&gt;=400,"Blockbuster",K1085&gt;=200,"Popular",K1085&lt;200,"Normal")</f>
        <v>Normal</v>
      </c>
      <c r="T1085" s="10" t="str">
        <f>IF(OR(I1085="PG",I1085="G"),"Yes","No")</f>
        <v>Yes</v>
      </c>
      <c r="U1085" s="11" t="str">
        <f>IF(P1085&gt;=100,"High","Low")</f>
        <v>High</v>
      </c>
      <c r="V1085" s="28">
        <f t="shared" si="32"/>
        <v>803.1</v>
      </c>
      <c r="W1085" s="29">
        <f t="shared" si="33"/>
        <v>541.26373626373629</v>
      </c>
    </row>
    <row r="1086" spans="1:23" x14ac:dyDescent="0.3">
      <c r="A1086" s="1" t="s">
        <v>3130</v>
      </c>
      <c r="B1086" s="1" t="s">
        <v>3131</v>
      </c>
      <c r="C1086" s="1" t="s">
        <v>18</v>
      </c>
      <c r="D1086" s="1" t="s">
        <v>28</v>
      </c>
      <c r="E1086" s="1">
        <v>2003</v>
      </c>
      <c r="F1086" s="1" t="s">
        <v>122</v>
      </c>
      <c r="G1086" s="1" t="s">
        <v>3132</v>
      </c>
      <c r="H1086" s="1">
        <v>161</v>
      </c>
      <c r="I1086" s="1" t="s">
        <v>110</v>
      </c>
      <c r="J1086" s="1">
        <v>5.8</v>
      </c>
      <c r="K1086" s="1">
        <v>356.8</v>
      </c>
      <c r="L1086" s="1" t="s">
        <v>32</v>
      </c>
      <c r="M1086" s="1" t="s">
        <v>72</v>
      </c>
      <c r="N1086" s="1" t="s">
        <v>178</v>
      </c>
      <c r="O1086" s="1"/>
      <c r="P1086" s="1">
        <v>99</v>
      </c>
      <c r="Q1086" s="1">
        <v>268.89999999999998</v>
      </c>
      <c r="R1086" s="8" t="str">
        <f>_xlfn.IFS(J1086&gt;=8,"Hit",J1086&gt;=6,"Average",J1086&lt;6,"Flop")</f>
        <v>Flop</v>
      </c>
      <c r="S1086" s="9" t="str">
        <f>_xlfn.IFS(K1086&gt;=400,"Blockbuster",K1086&gt;=200,"Popular",K1086&lt;200,"Normal")</f>
        <v>Popular</v>
      </c>
      <c r="T1086" s="10" t="str">
        <f>IF(OR(I1086="PG",I1086="G"),"Yes","No")</f>
        <v>No</v>
      </c>
      <c r="U1086" s="11" t="str">
        <f>IF(P1086&gt;=100,"High","Low")</f>
        <v>Low</v>
      </c>
      <c r="V1086" s="28">
        <f t="shared" si="32"/>
        <v>169.89999999999998</v>
      </c>
      <c r="W1086" s="29">
        <f t="shared" si="33"/>
        <v>271.61616161616161</v>
      </c>
    </row>
    <row r="1087" spans="1:23" x14ac:dyDescent="0.3">
      <c r="A1087" s="1" t="s">
        <v>3133</v>
      </c>
      <c r="B1087" s="1" t="s">
        <v>3134</v>
      </c>
      <c r="C1087" s="1" t="s">
        <v>18</v>
      </c>
      <c r="D1087" s="1" t="s">
        <v>75</v>
      </c>
      <c r="E1087" s="1">
        <v>2019</v>
      </c>
      <c r="F1087" s="1" t="s">
        <v>38</v>
      </c>
      <c r="G1087" s="1" t="s">
        <v>550</v>
      </c>
      <c r="H1087" s="1">
        <v>133</v>
      </c>
      <c r="I1087" s="1" t="s">
        <v>50</v>
      </c>
      <c r="J1087" s="1">
        <v>8.4</v>
      </c>
      <c r="K1087" s="1">
        <v>168.6</v>
      </c>
      <c r="L1087" s="1" t="s">
        <v>65</v>
      </c>
      <c r="M1087" s="1" t="s">
        <v>78</v>
      </c>
      <c r="N1087" s="1" t="s">
        <v>34</v>
      </c>
      <c r="O1087" s="1"/>
      <c r="P1087" s="1">
        <v>87</v>
      </c>
      <c r="Q1087" s="1">
        <v>441.6</v>
      </c>
      <c r="R1087" s="8" t="str">
        <f>_xlfn.IFS(J1087&gt;=8,"Hit",J1087&gt;=6,"Average",J1087&lt;6,"Flop")</f>
        <v>Hit</v>
      </c>
      <c r="S1087" s="9" t="str">
        <f>_xlfn.IFS(K1087&gt;=400,"Blockbuster",K1087&gt;=200,"Popular",K1087&lt;200,"Normal")</f>
        <v>Normal</v>
      </c>
      <c r="T1087" s="10" t="str">
        <f>IF(OR(I1087="PG",I1087="G"),"Yes","No")</f>
        <v>Yes</v>
      </c>
      <c r="U1087" s="11" t="str">
        <f>IF(P1087&gt;=100,"High","Low")</f>
        <v>Low</v>
      </c>
      <c r="V1087" s="28">
        <f t="shared" si="32"/>
        <v>354.6</v>
      </c>
      <c r="W1087" s="29">
        <f t="shared" si="33"/>
        <v>507.58620689655174</v>
      </c>
    </row>
    <row r="1088" spans="1:23" x14ac:dyDescent="0.3">
      <c r="A1088" s="1" t="s">
        <v>3135</v>
      </c>
      <c r="B1088" s="1" t="s">
        <v>3136</v>
      </c>
      <c r="C1088" s="1" t="s">
        <v>46</v>
      </c>
      <c r="D1088" s="1" t="s">
        <v>141</v>
      </c>
      <c r="E1088" s="1">
        <v>2006</v>
      </c>
      <c r="F1088" s="1" t="s">
        <v>181</v>
      </c>
      <c r="G1088" s="1" t="s">
        <v>3137</v>
      </c>
      <c r="H1088" s="1">
        <v>56</v>
      </c>
      <c r="I1088" s="1" t="s">
        <v>40</v>
      </c>
      <c r="J1088" s="1">
        <v>8.4</v>
      </c>
      <c r="K1088" s="1">
        <v>29.9</v>
      </c>
      <c r="L1088" s="1" t="s">
        <v>23</v>
      </c>
      <c r="M1088" s="1" t="s">
        <v>97</v>
      </c>
      <c r="N1088" s="1" t="s">
        <v>102</v>
      </c>
      <c r="O1088" s="1">
        <v>8</v>
      </c>
      <c r="P1088" s="1">
        <v>81</v>
      </c>
      <c r="Q1088" s="1">
        <v>214.7</v>
      </c>
      <c r="R1088" s="8" t="str">
        <f>_xlfn.IFS(J1088&gt;=8,"Hit",J1088&gt;=6,"Average",J1088&lt;6,"Flop")</f>
        <v>Hit</v>
      </c>
      <c r="S1088" s="9" t="str">
        <f>_xlfn.IFS(K1088&gt;=400,"Blockbuster",K1088&gt;=200,"Popular",K1088&lt;200,"Normal")</f>
        <v>Normal</v>
      </c>
      <c r="T1088" s="10" t="str">
        <f>IF(OR(I1088="PG",I1088="G"),"Yes","No")</f>
        <v>Yes</v>
      </c>
      <c r="U1088" s="11" t="str">
        <f>IF(P1088&gt;=100,"High","Low")</f>
        <v>Low</v>
      </c>
      <c r="V1088" s="28">
        <f t="shared" si="32"/>
        <v>133.69999999999999</v>
      </c>
      <c r="W1088" s="29">
        <f t="shared" si="33"/>
        <v>265.06172839506172</v>
      </c>
    </row>
    <row r="1089" spans="1:23" x14ac:dyDescent="0.3">
      <c r="A1089" s="1" t="s">
        <v>3138</v>
      </c>
      <c r="B1089" s="1" t="s">
        <v>3139</v>
      </c>
      <c r="C1089" s="1" t="s">
        <v>18</v>
      </c>
      <c r="D1089" s="1" t="s">
        <v>37</v>
      </c>
      <c r="E1089" s="1">
        <v>2014</v>
      </c>
      <c r="F1089" s="1" t="s">
        <v>83</v>
      </c>
      <c r="G1089" s="1" t="s">
        <v>446</v>
      </c>
      <c r="H1089" s="1">
        <v>159</v>
      </c>
      <c r="I1089" s="1" t="s">
        <v>40</v>
      </c>
      <c r="J1089" s="1">
        <v>7.2</v>
      </c>
      <c r="K1089" s="1">
        <v>523.9</v>
      </c>
      <c r="L1089" s="1" t="s">
        <v>65</v>
      </c>
      <c r="M1089" s="1" t="s">
        <v>106</v>
      </c>
      <c r="N1089" s="1" t="s">
        <v>91</v>
      </c>
      <c r="O1089" s="1"/>
      <c r="P1089" s="1">
        <v>73</v>
      </c>
      <c r="Q1089" s="1">
        <v>408.4</v>
      </c>
      <c r="R1089" s="8" t="str">
        <f>_xlfn.IFS(J1089&gt;=8,"Hit",J1089&gt;=6,"Average",J1089&lt;6,"Flop")</f>
        <v>Average</v>
      </c>
      <c r="S1089" s="9" t="str">
        <f>_xlfn.IFS(K1089&gt;=400,"Blockbuster",K1089&gt;=200,"Popular",K1089&lt;200,"Normal")</f>
        <v>Blockbuster</v>
      </c>
      <c r="T1089" s="10" t="str">
        <f>IF(OR(I1089="PG",I1089="G"),"Yes","No")</f>
        <v>Yes</v>
      </c>
      <c r="U1089" s="11" t="str">
        <f>IF(P1089&gt;=100,"High","Low")</f>
        <v>Low</v>
      </c>
      <c r="V1089" s="28">
        <f t="shared" si="32"/>
        <v>335.4</v>
      </c>
      <c r="W1089" s="29">
        <f t="shared" si="33"/>
        <v>559.45205479452045</v>
      </c>
    </row>
    <row r="1090" spans="1:23" x14ac:dyDescent="0.3">
      <c r="A1090" s="1" t="s">
        <v>3140</v>
      </c>
      <c r="B1090" s="1" t="s">
        <v>3141</v>
      </c>
      <c r="C1090" s="1" t="s">
        <v>18</v>
      </c>
      <c r="D1090" s="1" t="s">
        <v>47</v>
      </c>
      <c r="E1090" s="1">
        <v>2019</v>
      </c>
      <c r="F1090" s="1" t="s">
        <v>181</v>
      </c>
      <c r="G1090" s="1" t="s">
        <v>3142</v>
      </c>
      <c r="H1090" s="1">
        <v>80</v>
      </c>
      <c r="I1090" s="1" t="s">
        <v>110</v>
      </c>
      <c r="J1090" s="1">
        <v>8.9</v>
      </c>
      <c r="K1090" s="1">
        <v>285.2</v>
      </c>
      <c r="L1090" s="1" t="s">
        <v>90</v>
      </c>
      <c r="M1090" s="1" t="s">
        <v>33</v>
      </c>
      <c r="N1090" s="1" t="s">
        <v>25</v>
      </c>
      <c r="O1090" s="1"/>
      <c r="P1090" s="1">
        <v>174</v>
      </c>
      <c r="Q1090" s="1">
        <v>258.10000000000002</v>
      </c>
      <c r="R1090" s="8" t="str">
        <f>_xlfn.IFS(J1090&gt;=8,"Hit",J1090&gt;=6,"Average",J1090&lt;6,"Flop")</f>
        <v>Hit</v>
      </c>
      <c r="S1090" s="9" t="str">
        <f>_xlfn.IFS(K1090&gt;=400,"Blockbuster",K1090&gt;=200,"Popular",K1090&lt;200,"Normal")</f>
        <v>Popular</v>
      </c>
      <c r="T1090" s="10" t="str">
        <f>IF(OR(I1090="PG",I1090="G"),"Yes","No")</f>
        <v>No</v>
      </c>
      <c r="U1090" s="11" t="str">
        <f>IF(P1090&gt;=100,"High","Low")</f>
        <v>High</v>
      </c>
      <c r="V1090" s="28">
        <f t="shared" si="32"/>
        <v>84.100000000000023</v>
      </c>
      <c r="W1090" s="29">
        <f t="shared" si="33"/>
        <v>148.33333333333334</v>
      </c>
    </row>
    <row r="1091" spans="1:23" x14ac:dyDescent="0.3">
      <c r="A1091" s="1" t="s">
        <v>3143</v>
      </c>
      <c r="B1091" s="1" t="s">
        <v>3144</v>
      </c>
      <c r="C1091" s="1" t="s">
        <v>18</v>
      </c>
      <c r="D1091" s="1" t="s">
        <v>19</v>
      </c>
      <c r="E1091" s="1">
        <v>2001</v>
      </c>
      <c r="F1091" s="1" t="s">
        <v>48</v>
      </c>
      <c r="G1091" s="1" t="s">
        <v>3145</v>
      </c>
      <c r="H1091" s="1">
        <v>144</v>
      </c>
      <c r="I1091" s="1" t="s">
        <v>110</v>
      </c>
      <c r="J1091" s="1">
        <v>8.5</v>
      </c>
      <c r="K1091" s="1">
        <v>181.1</v>
      </c>
      <c r="L1091" s="1" t="s">
        <v>23</v>
      </c>
      <c r="M1091" s="1" t="s">
        <v>85</v>
      </c>
      <c r="N1091" s="1" t="s">
        <v>119</v>
      </c>
      <c r="O1091" s="1"/>
      <c r="P1091" s="1">
        <v>171</v>
      </c>
      <c r="Q1091" s="1">
        <v>219.2</v>
      </c>
      <c r="R1091" s="8" t="str">
        <f>_xlfn.IFS(J1091&gt;=8,"Hit",J1091&gt;=6,"Average",J1091&lt;6,"Flop")</f>
        <v>Hit</v>
      </c>
      <c r="S1091" s="9" t="str">
        <f>_xlfn.IFS(K1091&gt;=400,"Blockbuster",K1091&gt;=200,"Popular",K1091&lt;200,"Normal")</f>
        <v>Normal</v>
      </c>
      <c r="T1091" s="10" t="str">
        <f>IF(OR(I1091="PG",I1091="G"),"Yes","No")</f>
        <v>No</v>
      </c>
      <c r="U1091" s="11" t="str">
        <f>IF(P1091&gt;=100,"High","Low")</f>
        <v>High</v>
      </c>
      <c r="V1091" s="28">
        <f t="shared" ref="V1091:V1154" si="34">Q1091-P1091</f>
        <v>48.199999999999989</v>
      </c>
      <c r="W1091" s="29">
        <f t="shared" ref="W1091:W1154" si="35">(Q1091/P1091)*100</f>
        <v>128.18713450292395</v>
      </c>
    </row>
    <row r="1092" spans="1:23" x14ac:dyDescent="0.3">
      <c r="A1092" s="1" t="s">
        <v>3146</v>
      </c>
      <c r="B1092" s="1" t="s">
        <v>3147</v>
      </c>
      <c r="C1092" s="1" t="s">
        <v>46</v>
      </c>
      <c r="D1092" s="1" t="s">
        <v>82</v>
      </c>
      <c r="E1092" s="1">
        <v>2009</v>
      </c>
      <c r="F1092" s="1" t="s">
        <v>100</v>
      </c>
      <c r="G1092" s="1" t="s">
        <v>3148</v>
      </c>
      <c r="H1092" s="1">
        <v>35</v>
      </c>
      <c r="I1092" s="1" t="s">
        <v>22</v>
      </c>
      <c r="J1092" s="1">
        <v>9.5</v>
      </c>
      <c r="K1092" s="1">
        <v>383.4</v>
      </c>
      <c r="L1092" s="1" t="s">
        <v>90</v>
      </c>
      <c r="M1092" s="1" t="s">
        <v>111</v>
      </c>
      <c r="N1092" s="1" t="s">
        <v>55</v>
      </c>
      <c r="O1092" s="1">
        <v>6</v>
      </c>
      <c r="P1092" s="1">
        <v>7</v>
      </c>
      <c r="Q1092" s="1">
        <v>26.2</v>
      </c>
      <c r="R1092" s="8" t="str">
        <f>_xlfn.IFS(J1092&gt;=8,"Hit",J1092&gt;=6,"Average",J1092&lt;6,"Flop")</f>
        <v>Hit</v>
      </c>
      <c r="S1092" s="9" t="str">
        <f>_xlfn.IFS(K1092&gt;=400,"Blockbuster",K1092&gt;=200,"Popular",K1092&lt;200,"Normal")</f>
        <v>Popular</v>
      </c>
      <c r="T1092" s="10" t="str">
        <f>IF(OR(I1092="PG",I1092="G"),"Yes","No")</f>
        <v>No</v>
      </c>
      <c r="U1092" s="11" t="str">
        <f>IF(P1092&gt;=100,"High","Low")</f>
        <v>Low</v>
      </c>
      <c r="V1092" s="28">
        <f t="shared" si="34"/>
        <v>19.2</v>
      </c>
      <c r="W1092" s="29">
        <f t="shared" si="35"/>
        <v>374.28571428571428</v>
      </c>
    </row>
    <row r="1093" spans="1:23" x14ac:dyDescent="0.3">
      <c r="A1093" s="1" t="s">
        <v>3149</v>
      </c>
      <c r="B1093" s="1" t="s">
        <v>3150</v>
      </c>
      <c r="C1093" s="1" t="s">
        <v>46</v>
      </c>
      <c r="D1093" s="1" t="s">
        <v>63</v>
      </c>
      <c r="E1093" s="1">
        <v>2005</v>
      </c>
      <c r="F1093" s="1" t="s">
        <v>122</v>
      </c>
      <c r="G1093" s="1" t="s">
        <v>3151</v>
      </c>
      <c r="H1093" s="1">
        <v>46</v>
      </c>
      <c r="I1093" s="1" t="s">
        <v>31</v>
      </c>
      <c r="J1093" s="1">
        <v>6.4</v>
      </c>
      <c r="K1093" s="1">
        <v>38.4</v>
      </c>
      <c r="L1093" s="1" t="s">
        <v>171</v>
      </c>
      <c r="M1093" s="1" t="s">
        <v>72</v>
      </c>
      <c r="N1093" s="1" t="s">
        <v>86</v>
      </c>
      <c r="O1093" s="1">
        <v>3</v>
      </c>
      <c r="P1093" s="1">
        <v>23</v>
      </c>
      <c r="Q1093" s="1">
        <v>101.6</v>
      </c>
      <c r="R1093" s="8" t="str">
        <f>_xlfn.IFS(J1093&gt;=8,"Hit",J1093&gt;=6,"Average",J1093&lt;6,"Flop")</f>
        <v>Average</v>
      </c>
      <c r="S1093" s="9" t="str">
        <f>_xlfn.IFS(K1093&gt;=400,"Blockbuster",K1093&gt;=200,"Popular",K1093&lt;200,"Normal")</f>
        <v>Normal</v>
      </c>
      <c r="T1093" s="10" t="str">
        <f>IF(OR(I1093="PG",I1093="G"),"Yes","No")</f>
        <v>No</v>
      </c>
      <c r="U1093" s="11" t="str">
        <f>IF(P1093&gt;=100,"High","Low")</f>
        <v>Low</v>
      </c>
      <c r="V1093" s="28">
        <f t="shared" si="34"/>
        <v>78.599999999999994</v>
      </c>
      <c r="W1093" s="29">
        <f t="shared" si="35"/>
        <v>441.73913043478257</v>
      </c>
    </row>
    <row r="1094" spans="1:23" x14ac:dyDescent="0.3">
      <c r="A1094" s="1" t="s">
        <v>3152</v>
      </c>
      <c r="B1094" s="1" t="s">
        <v>3153</v>
      </c>
      <c r="C1094" s="1" t="s">
        <v>46</v>
      </c>
      <c r="D1094" s="1" t="s">
        <v>47</v>
      </c>
      <c r="E1094" s="1">
        <v>2017</v>
      </c>
      <c r="F1094" s="1" t="s">
        <v>95</v>
      </c>
      <c r="G1094" s="1" t="s">
        <v>3044</v>
      </c>
      <c r="H1094" s="1">
        <v>47</v>
      </c>
      <c r="I1094" s="1" t="s">
        <v>110</v>
      </c>
      <c r="J1094" s="1">
        <v>5.6</v>
      </c>
      <c r="K1094" s="1">
        <v>276.60000000000002</v>
      </c>
      <c r="L1094" s="1" t="s">
        <v>41</v>
      </c>
      <c r="M1094" s="1" t="s">
        <v>157</v>
      </c>
      <c r="N1094" s="1" t="s">
        <v>102</v>
      </c>
      <c r="O1094" s="1">
        <v>3</v>
      </c>
      <c r="P1094" s="1">
        <v>196</v>
      </c>
      <c r="Q1094" s="1">
        <v>279.39999999999998</v>
      </c>
      <c r="R1094" s="8" t="str">
        <f>_xlfn.IFS(J1094&gt;=8,"Hit",J1094&gt;=6,"Average",J1094&lt;6,"Flop")</f>
        <v>Flop</v>
      </c>
      <c r="S1094" s="9" t="str">
        <f>_xlfn.IFS(K1094&gt;=400,"Blockbuster",K1094&gt;=200,"Popular",K1094&lt;200,"Normal")</f>
        <v>Popular</v>
      </c>
      <c r="T1094" s="10" t="str">
        <f>IF(OR(I1094="PG",I1094="G"),"Yes","No")</f>
        <v>No</v>
      </c>
      <c r="U1094" s="11" t="str">
        <f>IF(P1094&gt;=100,"High","Low")</f>
        <v>High</v>
      </c>
      <c r="V1094" s="28">
        <f t="shared" si="34"/>
        <v>83.399999999999977</v>
      </c>
      <c r="W1094" s="29">
        <f t="shared" si="35"/>
        <v>142.55102040816325</v>
      </c>
    </row>
    <row r="1095" spans="1:23" x14ac:dyDescent="0.3">
      <c r="A1095" s="1" t="s">
        <v>3154</v>
      </c>
      <c r="B1095" s="1" t="s">
        <v>3155</v>
      </c>
      <c r="C1095" s="1" t="s">
        <v>46</v>
      </c>
      <c r="D1095" s="1" t="s">
        <v>82</v>
      </c>
      <c r="E1095" s="1">
        <v>2016</v>
      </c>
      <c r="F1095" s="1" t="s">
        <v>83</v>
      </c>
      <c r="G1095" s="1" t="s">
        <v>3156</v>
      </c>
      <c r="H1095" s="1">
        <v>31</v>
      </c>
      <c r="I1095" s="1" t="s">
        <v>110</v>
      </c>
      <c r="J1095" s="1">
        <v>9.1999999999999993</v>
      </c>
      <c r="K1095" s="1">
        <v>289.89999999999998</v>
      </c>
      <c r="L1095" s="1" t="s">
        <v>23</v>
      </c>
      <c r="M1095" s="1" t="s">
        <v>42</v>
      </c>
      <c r="N1095" s="1" t="s">
        <v>43</v>
      </c>
      <c r="O1095" s="1">
        <v>2</v>
      </c>
      <c r="P1095" s="1">
        <v>198</v>
      </c>
      <c r="Q1095" s="1">
        <v>266.5</v>
      </c>
      <c r="R1095" s="8" t="str">
        <f>_xlfn.IFS(J1095&gt;=8,"Hit",J1095&gt;=6,"Average",J1095&lt;6,"Flop")</f>
        <v>Hit</v>
      </c>
      <c r="S1095" s="9" t="str">
        <f>_xlfn.IFS(K1095&gt;=400,"Blockbuster",K1095&gt;=200,"Popular",K1095&lt;200,"Normal")</f>
        <v>Popular</v>
      </c>
      <c r="T1095" s="10" t="str">
        <f>IF(OR(I1095="PG",I1095="G"),"Yes","No")</f>
        <v>No</v>
      </c>
      <c r="U1095" s="11" t="str">
        <f>IF(P1095&gt;=100,"High","Low")</f>
        <v>High</v>
      </c>
      <c r="V1095" s="28">
        <f t="shared" si="34"/>
        <v>68.5</v>
      </c>
      <c r="W1095" s="29">
        <f t="shared" si="35"/>
        <v>134.59595959595961</v>
      </c>
    </row>
    <row r="1096" spans="1:23" x14ac:dyDescent="0.3">
      <c r="A1096" s="1" t="s">
        <v>3157</v>
      </c>
      <c r="B1096" s="1" t="s">
        <v>3158</v>
      </c>
      <c r="C1096" s="1" t="s">
        <v>46</v>
      </c>
      <c r="D1096" s="1" t="s">
        <v>58</v>
      </c>
      <c r="E1096" s="1">
        <v>2007</v>
      </c>
      <c r="F1096" s="1" t="s">
        <v>100</v>
      </c>
      <c r="G1096" s="1" t="s">
        <v>3159</v>
      </c>
      <c r="H1096" s="1">
        <v>54</v>
      </c>
      <c r="I1096" s="1" t="s">
        <v>22</v>
      </c>
      <c r="J1096" s="1">
        <v>5.2</v>
      </c>
      <c r="K1096" s="1">
        <v>16.2</v>
      </c>
      <c r="L1096" s="1" t="s">
        <v>23</v>
      </c>
      <c r="M1096" s="1" t="s">
        <v>33</v>
      </c>
      <c r="N1096" s="1" t="s">
        <v>25</v>
      </c>
      <c r="O1096" s="1">
        <v>5</v>
      </c>
      <c r="P1096" s="1">
        <v>48</v>
      </c>
      <c r="Q1096" s="1">
        <v>203.6</v>
      </c>
      <c r="R1096" s="8" t="str">
        <f>_xlfn.IFS(J1096&gt;=8,"Hit",J1096&gt;=6,"Average",J1096&lt;6,"Flop")</f>
        <v>Flop</v>
      </c>
      <c r="S1096" s="9" t="str">
        <f>_xlfn.IFS(K1096&gt;=400,"Blockbuster",K1096&gt;=200,"Popular",K1096&lt;200,"Normal")</f>
        <v>Normal</v>
      </c>
      <c r="T1096" s="10" t="str">
        <f>IF(OR(I1096="PG",I1096="G"),"Yes","No")</f>
        <v>No</v>
      </c>
      <c r="U1096" s="11" t="str">
        <f>IF(P1096&gt;=100,"High","Low")</f>
        <v>Low</v>
      </c>
      <c r="V1096" s="28">
        <f t="shared" si="34"/>
        <v>155.6</v>
      </c>
      <c r="W1096" s="29">
        <f t="shared" si="35"/>
        <v>424.16666666666663</v>
      </c>
    </row>
    <row r="1097" spans="1:23" x14ac:dyDescent="0.3">
      <c r="A1097" s="1" t="s">
        <v>3160</v>
      </c>
      <c r="B1097" s="1" t="s">
        <v>3161</v>
      </c>
      <c r="C1097" s="1" t="s">
        <v>46</v>
      </c>
      <c r="D1097" s="1" t="s">
        <v>117</v>
      </c>
      <c r="E1097" s="1">
        <v>2002</v>
      </c>
      <c r="F1097" s="1" t="s">
        <v>76</v>
      </c>
      <c r="G1097" s="1" t="s">
        <v>3162</v>
      </c>
      <c r="H1097" s="1">
        <v>36</v>
      </c>
      <c r="I1097" s="1" t="s">
        <v>31</v>
      </c>
      <c r="J1097" s="1">
        <v>6.4</v>
      </c>
      <c r="K1097" s="1">
        <v>419</v>
      </c>
      <c r="L1097" s="1" t="s">
        <v>171</v>
      </c>
      <c r="M1097" s="1" t="s">
        <v>72</v>
      </c>
      <c r="N1097" s="1" t="s">
        <v>86</v>
      </c>
      <c r="O1097" s="1">
        <v>7</v>
      </c>
      <c r="P1097" s="1">
        <v>8</v>
      </c>
      <c r="Q1097" s="1">
        <v>41.7</v>
      </c>
      <c r="R1097" s="8" t="str">
        <f>_xlfn.IFS(J1097&gt;=8,"Hit",J1097&gt;=6,"Average",J1097&lt;6,"Flop")</f>
        <v>Average</v>
      </c>
      <c r="S1097" s="9" t="str">
        <f>_xlfn.IFS(K1097&gt;=400,"Blockbuster",K1097&gt;=200,"Popular",K1097&lt;200,"Normal")</f>
        <v>Blockbuster</v>
      </c>
      <c r="T1097" s="10" t="str">
        <f>IF(OR(I1097="PG",I1097="G"),"Yes","No")</f>
        <v>No</v>
      </c>
      <c r="U1097" s="11" t="str">
        <f>IF(P1097&gt;=100,"High","Low")</f>
        <v>Low</v>
      </c>
      <c r="V1097" s="28">
        <f t="shared" si="34"/>
        <v>33.700000000000003</v>
      </c>
      <c r="W1097" s="29">
        <f t="shared" si="35"/>
        <v>521.25</v>
      </c>
    </row>
    <row r="1098" spans="1:23" x14ac:dyDescent="0.3">
      <c r="A1098" s="1" t="s">
        <v>3163</v>
      </c>
      <c r="B1098" s="1" t="s">
        <v>3164</v>
      </c>
      <c r="C1098" s="1" t="s">
        <v>18</v>
      </c>
      <c r="D1098" s="1" t="s">
        <v>117</v>
      </c>
      <c r="E1098" s="1">
        <v>2021</v>
      </c>
      <c r="F1098" s="1" t="s">
        <v>122</v>
      </c>
      <c r="G1098" s="1" t="s">
        <v>1834</v>
      </c>
      <c r="H1098" s="1">
        <v>101</v>
      </c>
      <c r="I1098" s="1" t="s">
        <v>40</v>
      </c>
      <c r="J1098" s="1">
        <v>4.9000000000000004</v>
      </c>
      <c r="K1098" s="1">
        <v>184.1</v>
      </c>
      <c r="L1098" s="1" t="s">
        <v>71</v>
      </c>
      <c r="M1098" s="1" t="s">
        <v>106</v>
      </c>
      <c r="N1098" s="1" t="s">
        <v>67</v>
      </c>
      <c r="O1098" s="1"/>
      <c r="P1098" s="1">
        <v>14</v>
      </c>
      <c r="Q1098" s="1">
        <v>71.3</v>
      </c>
      <c r="R1098" s="8" t="str">
        <f>_xlfn.IFS(J1098&gt;=8,"Hit",J1098&gt;=6,"Average",J1098&lt;6,"Flop")</f>
        <v>Flop</v>
      </c>
      <c r="S1098" s="9" t="str">
        <f>_xlfn.IFS(K1098&gt;=400,"Blockbuster",K1098&gt;=200,"Popular",K1098&lt;200,"Normal")</f>
        <v>Normal</v>
      </c>
      <c r="T1098" s="10" t="str">
        <f>IF(OR(I1098="PG",I1098="G"),"Yes","No")</f>
        <v>Yes</v>
      </c>
      <c r="U1098" s="11" t="str">
        <f>IF(P1098&gt;=100,"High","Low")</f>
        <v>Low</v>
      </c>
      <c r="V1098" s="28">
        <f t="shared" si="34"/>
        <v>57.3</v>
      </c>
      <c r="W1098" s="29">
        <f t="shared" si="35"/>
        <v>509.28571428571428</v>
      </c>
    </row>
    <row r="1099" spans="1:23" x14ac:dyDescent="0.3">
      <c r="A1099" s="1" t="s">
        <v>3165</v>
      </c>
      <c r="B1099" s="1" t="s">
        <v>3166</v>
      </c>
      <c r="C1099" s="1" t="s">
        <v>46</v>
      </c>
      <c r="D1099" s="1" t="s">
        <v>94</v>
      </c>
      <c r="E1099" s="1">
        <v>2019</v>
      </c>
      <c r="F1099" s="1" t="s">
        <v>20</v>
      </c>
      <c r="G1099" s="1" t="s">
        <v>3167</v>
      </c>
      <c r="H1099" s="1">
        <v>55</v>
      </c>
      <c r="I1099" s="1" t="s">
        <v>31</v>
      </c>
      <c r="J1099" s="1">
        <v>5.2</v>
      </c>
      <c r="K1099" s="1">
        <v>328.7</v>
      </c>
      <c r="L1099" s="1" t="s">
        <v>171</v>
      </c>
      <c r="M1099" s="1" t="s">
        <v>24</v>
      </c>
      <c r="N1099" s="1" t="s">
        <v>102</v>
      </c>
      <c r="O1099" s="1">
        <v>3</v>
      </c>
      <c r="P1099" s="1">
        <v>109</v>
      </c>
      <c r="Q1099" s="1">
        <v>496.3</v>
      </c>
      <c r="R1099" s="8" t="str">
        <f>_xlfn.IFS(J1099&gt;=8,"Hit",J1099&gt;=6,"Average",J1099&lt;6,"Flop")</f>
        <v>Flop</v>
      </c>
      <c r="S1099" s="9" t="str">
        <f>_xlfn.IFS(K1099&gt;=400,"Blockbuster",K1099&gt;=200,"Popular",K1099&lt;200,"Normal")</f>
        <v>Popular</v>
      </c>
      <c r="T1099" s="10" t="str">
        <f>IF(OR(I1099="PG",I1099="G"),"Yes","No")</f>
        <v>No</v>
      </c>
      <c r="U1099" s="11" t="str">
        <f>IF(P1099&gt;=100,"High","Low")</f>
        <v>High</v>
      </c>
      <c r="V1099" s="28">
        <f t="shared" si="34"/>
        <v>387.3</v>
      </c>
      <c r="W1099" s="29">
        <f t="shared" si="35"/>
        <v>455.32110091743118</v>
      </c>
    </row>
    <row r="1100" spans="1:23" x14ac:dyDescent="0.3">
      <c r="A1100" s="1" t="s">
        <v>3168</v>
      </c>
      <c r="B1100" s="1" t="s">
        <v>3169</v>
      </c>
      <c r="C1100" s="1" t="s">
        <v>46</v>
      </c>
      <c r="D1100" s="1" t="s">
        <v>94</v>
      </c>
      <c r="E1100" s="1">
        <v>2021</v>
      </c>
      <c r="F1100" s="1" t="s">
        <v>100</v>
      </c>
      <c r="G1100" s="1" t="s">
        <v>3170</v>
      </c>
      <c r="H1100" s="1">
        <v>54</v>
      </c>
      <c r="I1100" s="1" t="s">
        <v>22</v>
      </c>
      <c r="J1100" s="1">
        <v>8.8000000000000007</v>
      </c>
      <c r="K1100" s="1">
        <v>118.6</v>
      </c>
      <c r="L1100" s="1" t="s">
        <v>71</v>
      </c>
      <c r="M1100" s="1" t="s">
        <v>66</v>
      </c>
      <c r="N1100" s="1" t="s">
        <v>86</v>
      </c>
      <c r="O1100" s="1">
        <v>2</v>
      </c>
      <c r="P1100" s="1">
        <v>94</v>
      </c>
      <c r="Q1100" s="1">
        <v>244</v>
      </c>
      <c r="R1100" s="8" t="str">
        <f>_xlfn.IFS(J1100&gt;=8,"Hit",J1100&gt;=6,"Average",J1100&lt;6,"Flop")</f>
        <v>Hit</v>
      </c>
      <c r="S1100" s="9" t="str">
        <f>_xlfn.IFS(K1100&gt;=400,"Blockbuster",K1100&gt;=200,"Popular",K1100&lt;200,"Normal")</f>
        <v>Normal</v>
      </c>
      <c r="T1100" s="10" t="str">
        <f>IF(OR(I1100="PG",I1100="G"),"Yes","No")</f>
        <v>No</v>
      </c>
      <c r="U1100" s="11" t="str">
        <f>IF(P1100&gt;=100,"High","Low")</f>
        <v>Low</v>
      </c>
      <c r="V1100" s="28">
        <f t="shared" si="34"/>
        <v>150</v>
      </c>
      <c r="W1100" s="29">
        <f t="shared" si="35"/>
        <v>259.57446808510639</v>
      </c>
    </row>
    <row r="1101" spans="1:23" x14ac:dyDescent="0.3">
      <c r="A1101" s="1" t="s">
        <v>3171</v>
      </c>
      <c r="B1101" s="1" t="s">
        <v>3172</v>
      </c>
      <c r="C1101" s="1" t="s">
        <v>18</v>
      </c>
      <c r="D1101" s="1" t="s">
        <v>141</v>
      </c>
      <c r="E1101" s="1">
        <v>2023</v>
      </c>
      <c r="F1101" s="1" t="s">
        <v>48</v>
      </c>
      <c r="G1101" s="1" t="s">
        <v>3173</v>
      </c>
      <c r="H1101" s="1">
        <v>146</v>
      </c>
      <c r="I1101" s="1" t="s">
        <v>22</v>
      </c>
      <c r="J1101" s="1">
        <v>9.5</v>
      </c>
      <c r="K1101" s="1">
        <v>4.5</v>
      </c>
      <c r="L1101" s="1" t="s">
        <v>41</v>
      </c>
      <c r="M1101" s="1" t="s">
        <v>24</v>
      </c>
      <c r="N1101" s="1" t="s">
        <v>25</v>
      </c>
      <c r="O1101" s="1"/>
      <c r="P1101" s="1">
        <v>132</v>
      </c>
      <c r="Q1101" s="1">
        <v>672.4</v>
      </c>
      <c r="R1101" s="8" t="str">
        <f>_xlfn.IFS(J1101&gt;=8,"Hit",J1101&gt;=6,"Average",J1101&lt;6,"Flop")</f>
        <v>Hit</v>
      </c>
      <c r="S1101" s="9" t="str">
        <f>_xlfn.IFS(K1101&gt;=400,"Blockbuster",K1101&gt;=200,"Popular",K1101&lt;200,"Normal")</f>
        <v>Normal</v>
      </c>
      <c r="T1101" s="10" t="str">
        <f>IF(OR(I1101="PG",I1101="G"),"Yes","No")</f>
        <v>No</v>
      </c>
      <c r="U1101" s="11" t="str">
        <f>IF(P1101&gt;=100,"High","Low")</f>
        <v>High</v>
      </c>
      <c r="V1101" s="28">
        <f t="shared" si="34"/>
        <v>540.4</v>
      </c>
      <c r="W1101" s="29">
        <f t="shared" si="35"/>
        <v>509.39393939393938</v>
      </c>
    </row>
    <row r="1102" spans="1:23" x14ac:dyDescent="0.3">
      <c r="A1102" s="1" t="s">
        <v>3174</v>
      </c>
      <c r="B1102" s="1" t="s">
        <v>3175</v>
      </c>
      <c r="C1102" s="1" t="s">
        <v>46</v>
      </c>
      <c r="D1102" s="1" t="s">
        <v>47</v>
      </c>
      <c r="E1102" s="1">
        <v>2021</v>
      </c>
      <c r="F1102" s="1" t="s">
        <v>48</v>
      </c>
      <c r="G1102" s="1" t="s">
        <v>281</v>
      </c>
      <c r="H1102" s="1">
        <v>44</v>
      </c>
      <c r="I1102" s="1" t="s">
        <v>110</v>
      </c>
      <c r="J1102" s="1">
        <v>6.9</v>
      </c>
      <c r="K1102" s="1">
        <v>131.19999999999999</v>
      </c>
      <c r="L1102" s="1" t="s">
        <v>41</v>
      </c>
      <c r="M1102" s="1" t="s">
        <v>124</v>
      </c>
      <c r="N1102" s="1" t="s">
        <v>86</v>
      </c>
      <c r="O1102" s="1">
        <v>4</v>
      </c>
      <c r="P1102" s="1">
        <v>105</v>
      </c>
      <c r="Q1102" s="1">
        <v>318.89999999999998</v>
      </c>
      <c r="R1102" s="8" t="str">
        <f>_xlfn.IFS(J1102&gt;=8,"Hit",J1102&gt;=6,"Average",J1102&lt;6,"Flop")</f>
        <v>Average</v>
      </c>
      <c r="S1102" s="9" t="str">
        <f>_xlfn.IFS(K1102&gt;=400,"Blockbuster",K1102&gt;=200,"Popular",K1102&lt;200,"Normal")</f>
        <v>Normal</v>
      </c>
      <c r="T1102" s="10" t="str">
        <f>IF(OR(I1102="PG",I1102="G"),"Yes","No")</f>
        <v>No</v>
      </c>
      <c r="U1102" s="11" t="str">
        <f>IF(P1102&gt;=100,"High","Low")</f>
        <v>High</v>
      </c>
      <c r="V1102" s="28">
        <f t="shared" si="34"/>
        <v>213.89999999999998</v>
      </c>
      <c r="W1102" s="29">
        <f t="shared" si="35"/>
        <v>303.71428571428567</v>
      </c>
    </row>
    <row r="1103" spans="1:23" x14ac:dyDescent="0.3">
      <c r="A1103" s="1" t="s">
        <v>3176</v>
      </c>
      <c r="B1103" s="1" t="s">
        <v>3177</v>
      </c>
      <c r="C1103" s="1" t="s">
        <v>18</v>
      </c>
      <c r="D1103" s="1" t="s">
        <v>82</v>
      </c>
      <c r="E1103" s="1">
        <v>2015</v>
      </c>
      <c r="F1103" s="1" t="s">
        <v>48</v>
      </c>
      <c r="G1103" s="1" t="s">
        <v>3178</v>
      </c>
      <c r="H1103" s="1">
        <v>165</v>
      </c>
      <c r="I1103" s="1" t="s">
        <v>110</v>
      </c>
      <c r="J1103" s="1">
        <v>8.1999999999999993</v>
      </c>
      <c r="K1103" s="1">
        <v>526.1</v>
      </c>
      <c r="L1103" s="1" t="s">
        <v>90</v>
      </c>
      <c r="M1103" s="1" t="s">
        <v>78</v>
      </c>
      <c r="N1103" s="1" t="s">
        <v>91</v>
      </c>
      <c r="O1103" s="1"/>
      <c r="P1103" s="1">
        <v>45</v>
      </c>
      <c r="Q1103" s="1">
        <v>163.4</v>
      </c>
      <c r="R1103" s="8" t="str">
        <f>_xlfn.IFS(J1103&gt;=8,"Hit",J1103&gt;=6,"Average",J1103&lt;6,"Flop")</f>
        <v>Hit</v>
      </c>
      <c r="S1103" s="9" t="str">
        <f>_xlfn.IFS(K1103&gt;=400,"Blockbuster",K1103&gt;=200,"Popular",K1103&lt;200,"Normal")</f>
        <v>Blockbuster</v>
      </c>
      <c r="T1103" s="10" t="str">
        <f>IF(OR(I1103="PG",I1103="G"),"Yes","No")</f>
        <v>No</v>
      </c>
      <c r="U1103" s="11" t="str">
        <f>IF(P1103&gt;=100,"High","Low")</f>
        <v>Low</v>
      </c>
      <c r="V1103" s="28">
        <f t="shared" si="34"/>
        <v>118.4</v>
      </c>
      <c r="W1103" s="29">
        <f t="shared" si="35"/>
        <v>363.11111111111114</v>
      </c>
    </row>
    <row r="1104" spans="1:23" x14ac:dyDescent="0.3">
      <c r="A1104" s="1" t="s">
        <v>3179</v>
      </c>
      <c r="B1104" s="1" t="s">
        <v>3180</v>
      </c>
      <c r="C1104" s="1" t="s">
        <v>46</v>
      </c>
      <c r="D1104" s="1" t="s">
        <v>141</v>
      </c>
      <c r="E1104" s="1">
        <v>2004</v>
      </c>
      <c r="F1104" s="1" t="s">
        <v>83</v>
      </c>
      <c r="G1104" s="1" t="s">
        <v>2571</v>
      </c>
      <c r="H1104" s="1">
        <v>53</v>
      </c>
      <c r="I1104" s="1" t="s">
        <v>31</v>
      </c>
      <c r="J1104" s="1">
        <v>4.8</v>
      </c>
      <c r="K1104" s="1">
        <v>175.6</v>
      </c>
      <c r="L1104" s="1" t="s">
        <v>171</v>
      </c>
      <c r="M1104" s="1" t="s">
        <v>33</v>
      </c>
      <c r="N1104" s="1" t="s">
        <v>55</v>
      </c>
      <c r="O1104" s="1">
        <v>5</v>
      </c>
      <c r="P1104" s="1">
        <v>47</v>
      </c>
      <c r="Q1104" s="1">
        <v>220.6</v>
      </c>
      <c r="R1104" s="8" t="str">
        <f>_xlfn.IFS(J1104&gt;=8,"Hit",J1104&gt;=6,"Average",J1104&lt;6,"Flop")</f>
        <v>Flop</v>
      </c>
      <c r="S1104" s="9" t="str">
        <f>_xlfn.IFS(K1104&gt;=400,"Blockbuster",K1104&gt;=200,"Popular",K1104&lt;200,"Normal")</f>
        <v>Normal</v>
      </c>
      <c r="T1104" s="10" t="str">
        <f>IF(OR(I1104="PG",I1104="G"),"Yes","No")</f>
        <v>No</v>
      </c>
      <c r="U1104" s="11" t="str">
        <f>IF(P1104&gt;=100,"High","Low")</f>
        <v>Low</v>
      </c>
      <c r="V1104" s="28">
        <f t="shared" si="34"/>
        <v>173.6</v>
      </c>
      <c r="W1104" s="29">
        <f t="shared" si="35"/>
        <v>469.36170212765956</v>
      </c>
    </row>
    <row r="1105" spans="1:23" x14ac:dyDescent="0.3">
      <c r="A1105" s="1" t="s">
        <v>3181</v>
      </c>
      <c r="B1105" s="1" t="s">
        <v>3182</v>
      </c>
      <c r="C1105" s="1" t="s">
        <v>46</v>
      </c>
      <c r="D1105" s="1" t="s">
        <v>37</v>
      </c>
      <c r="E1105" s="1">
        <v>2019</v>
      </c>
      <c r="F1105" s="1" t="s">
        <v>76</v>
      </c>
      <c r="G1105" s="1" t="s">
        <v>3183</v>
      </c>
      <c r="H1105" s="1">
        <v>53</v>
      </c>
      <c r="I1105" s="1" t="s">
        <v>31</v>
      </c>
      <c r="J1105" s="1">
        <v>7.1</v>
      </c>
      <c r="K1105" s="1">
        <v>397.8</v>
      </c>
      <c r="L1105" s="1" t="s">
        <v>90</v>
      </c>
      <c r="M1105" s="1" t="s">
        <v>54</v>
      </c>
      <c r="N1105" s="1" t="s">
        <v>158</v>
      </c>
      <c r="O1105" s="1">
        <v>2</v>
      </c>
      <c r="P1105" s="1">
        <v>81</v>
      </c>
      <c r="Q1105" s="1">
        <v>514.29999999999995</v>
      </c>
      <c r="R1105" s="8" t="str">
        <f>_xlfn.IFS(J1105&gt;=8,"Hit",J1105&gt;=6,"Average",J1105&lt;6,"Flop")</f>
        <v>Average</v>
      </c>
      <c r="S1105" s="9" t="str">
        <f>_xlfn.IFS(K1105&gt;=400,"Blockbuster",K1105&gt;=200,"Popular",K1105&lt;200,"Normal")</f>
        <v>Popular</v>
      </c>
      <c r="T1105" s="10" t="str">
        <f>IF(OR(I1105="PG",I1105="G"),"Yes","No")</f>
        <v>No</v>
      </c>
      <c r="U1105" s="11" t="str">
        <f>IF(P1105&gt;=100,"High","Low")</f>
        <v>Low</v>
      </c>
      <c r="V1105" s="28">
        <f t="shared" si="34"/>
        <v>433.29999999999995</v>
      </c>
      <c r="W1105" s="29">
        <f t="shared" si="35"/>
        <v>634.93827160493822</v>
      </c>
    </row>
    <row r="1106" spans="1:23" x14ac:dyDescent="0.3">
      <c r="A1106" s="1" t="s">
        <v>3184</v>
      </c>
      <c r="B1106" s="1" t="s">
        <v>3185</v>
      </c>
      <c r="C1106" s="1" t="s">
        <v>18</v>
      </c>
      <c r="D1106" s="1" t="s">
        <v>82</v>
      </c>
      <c r="E1106" s="1">
        <v>2014</v>
      </c>
      <c r="F1106" s="1" t="s">
        <v>83</v>
      </c>
      <c r="G1106" s="1" t="s">
        <v>3186</v>
      </c>
      <c r="H1106" s="1">
        <v>93</v>
      </c>
      <c r="I1106" s="1" t="s">
        <v>50</v>
      </c>
      <c r="J1106" s="1">
        <v>8.9</v>
      </c>
      <c r="K1106" s="1">
        <v>421.6</v>
      </c>
      <c r="L1106" s="1" t="s">
        <v>32</v>
      </c>
      <c r="M1106" s="1" t="s">
        <v>97</v>
      </c>
      <c r="N1106" s="1" t="s">
        <v>79</v>
      </c>
      <c r="O1106" s="1"/>
      <c r="P1106" s="1">
        <v>104</v>
      </c>
      <c r="Q1106" s="1">
        <v>184.9</v>
      </c>
      <c r="R1106" s="8" t="str">
        <f>_xlfn.IFS(J1106&gt;=8,"Hit",J1106&gt;=6,"Average",J1106&lt;6,"Flop")</f>
        <v>Hit</v>
      </c>
      <c r="S1106" s="9" t="str">
        <f>_xlfn.IFS(K1106&gt;=400,"Blockbuster",K1106&gt;=200,"Popular",K1106&lt;200,"Normal")</f>
        <v>Blockbuster</v>
      </c>
      <c r="T1106" s="10" t="str">
        <f>IF(OR(I1106="PG",I1106="G"),"Yes","No")</f>
        <v>Yes</v>
      </c>
      <c r="U1106" s="11" t="str">
        <f>IF(P1106&gt;=100,"High","Low")</f>
        <v>High</v>
      </c>
      <c r="V1106" s="28">
        <f t="shared" si="34"/>
        <v>80.900000000000006</v>
      </c>
      <c r="W1106" s="29">
        <f t="shared" si="35"/>
        <v>177.78846153846155</v>
      </c>
    </row>
    <row r="1107" spans="1:23" x14ac:dyDescent="0.3">
      <c r="A1107" s="1" t="s">
        <v>3187</v>
      </c>
      <c r="B1107" s="1" t="s">
        <v>3188</v>
      </c>
      <c r="C1107" s="1" t="s">
        <v>18</v>
      </c>
      <c r="D1107" s="1" t="s">
        <v>19</v>
      </c>
      <c r="E1107" s="1">
        <v>2012</v>
      </c>
      <c r="F1107" s="1" t="s">
        <v>38</v>
      </c>
      <c r="G1107" s="1" t="s">
        <v>3189</v>
      </c>
      <c r="H1107" s="1">
        <v>112</v>
      </c>
      <c r="I1107" s="1" t="s">
        <v>22</v>
      </c>
      <c r="J1107" s="1">
        <v>8.6999999999999993</v>
      </c>
      <c r="K1107" s="1">
        <v>398</v>
      </c>
      <c r="L1107" s="1" t="s">
        <v>32</v>
      </c>
      <c r="M1107" s="1" t="s">
        <v>146</v>
      </c>
      <c r="N1107" s="1" t="s">
        <v>79</v>
      </c>
      <c r="O1107" s="1"/>
      <c r="P1107" s="1">
        <v>194</v>
      </c>
      <c r="Q1107" s="1">
        <v>546</v>
      </c>
      <c r="R1107" s="8" t="str">
        <f>_xlfn.IFS(J1107&gt;=8,"Hit",J1107&gt;=6,"Average",J1107&lt;6,"Flop")</f>
        <v>Hit</v>
      </c>
      <c r="S1107" s="9" t="str">
        <f>_xlfn.IFS(K1107&gt;=400,"Blockbuster",K1107&gt;=200,"Popular",K1107&lt;200,"Normal")</f>
        <v>Popular</v>
      </c>
      <c r="T1107" s="10" t="str">
        <f>IF(OR(I1107="PG",I1107="G"),"Yes","No")</f>
        <v>No</v>
      </c>
      <c r="U1107" s="11" t="str">
        <f>IF(P1107&gt;=100,"High","Low")</f>
        <v>High</v>
      </c>
      <c r="V1107" s="28">
        <f t="shared" si="34"/>
        <v>352</v>
      </c>
      <c r="W1107" s="29">
        <f t="shared" si="35"/>
        <v>281.4432989690722</v>
      </c>
    </row>
    <row r="1108" spans="1:23" x14ac:dyDescent="0.3">
      <c r="A1108" s="1" t="s">
        <v>3190</v>
      </c>
      <c r="B1108" s="1" t="s">
        <v>3191</v>
      </c>
      <c r="C1108" s="1" t="s">
        <v>46</v>
      </c>
      <c r="D1108" s="1" t="s">
        <v>94</v>
      </c>
      <c r="E1108" s="1">
        <v>2007</v>
      </c>
      <c r="F1108" s="1" t="s">
        <v>83</v>
      </c>
      <c r="G1108" s="1" t="s">
        <v>1026</v>
      </c>
      <c r="H1108" s="1">
        <v>52</v>
      </c>
      <c r="I1108" s="1" t="s">
        <v>50</v>
      </c>
      <c r="J1108" s="1">
        <v>8.9</v>
      </c>
      <c r="K1108" s="1">
        <v>33.5</v>
      </c>
      <c r="L1108" s="1" t="s">
        <v>71</v>
      </c>
      <c r="M1108" s="1" t="s">
        <v>42</v>
      </c>
      <c r="N1108" s="1" t="s">
        <v>67</v>
      </c>
      <c r="O1108" s="1">
        <v>6</v>
      </c>
      <c r="P1108" s="1">
        <v>74</v>
      </c>
      <c r="Q1108" s="1">
        <v>261.60000000000002</v>
      </c>
      <c r="R1108" s="8" t="str">
        <f>_xlfn.IFS(J1108&gt;=8,"Hit",J1108&gt;=6,"Average",J1108&lt;6,"Flop")</f>
        <v>Hit</v>
      </c>
      <c r="S1108" s="9" t="str">
        <f>_xlfn.IFS(K1108&gt;=400,"Blockbuster",K1108&gt;=200,"Popular",K1108&lt;200,"Normal")</f>
        <v>Normal</v>
      </c>
      <c r="T1108" s="10" t="str">
        <f>IF(OR(I1108="PG",I1108="G"),"Yes","No")</f>
        <v>Yes</v>
      </c>
      <c r="U1108" s="11" t="str">
        <f>IF(P1108&gt;=100,"High","Low")</f>
        <v>Low</v>
      </c>
      <c r="V1108" s="28">
        <f t="shared" si="34"/>
        <v>187.60000000000002</v>
      </c>
      <c r="W1108" s="29">
        <f t="shared" si="35"/>
        <v>353.51351351351354</v>
      </c>
    </row>
    <row r="1109" spans="1:23" x14ac:dyDescent="0.3">
      <c r="A1109" s="1" t="s">
        <v>3192</v>
      </c>
      <c r="B1109" s="1" t="s">
        <v>3193</v>
      </c>
      <c r="C1109" s="1" t="s">
        <v>46</v>
      </c>
      <c r="D1109" s="1" t="s">
        <v>28</v>
      </c>
      <c r="E1109" s="1">
        <v>2011</v>
      </c>
      <c r="F1109" s="1" t="s">
        <v>95</v>
      </c>
      <c r="G1109" s="1" t="s">
        <v>1882</v>
      </c>
      <c r="H1109" s="1">
        <v>42</v>
      </c>
      <c r="I1109" s="1" t="s">
        <v>110</v>
      </c>
      <c r="J1109" s="1">
        <v>8.9</v>
      </c>
      <c r="K1109" s="1">
        <v>596.5</v>
      </c>
      <c r="L1109" s="1" t="s">
        <v>32</v>
      </c>
      <c r="M1109" s="1" t="s">
        <v>33</v>
      </c>
      <c r="N1109" s="1" t="s">
        <v>102</v>
      </c>
      <c r="O1109" s="1">
        <v>5</v>
      </c>
      <c r="P1109" s="1">
        <v>106</v>
      </c>
      <c r="Q1109" s="1">
        <v>295.7</v>
      </c>
      <c r="R1109" s="8" t="str">
        <f>_xlfn.IFS(J1109&gt;=8,"Hit",J1109&gt;=6,"Average",J1109&lt;6,"Flop")</f>
        <v>Hit</v>
      </c>
      <c r="S1109" s="9" t="str">
        <f>_xlfn.IFS(K1109&gt;=400,"Blockbuster",K1109&gt;=200,"Popular",K1109&lt;200,"Normal")</f>
        <v>Blockbuster</v>
      </c>
      <c r="T1109" s="10" t="str">
        <f>IF(OR(I1109="PG",I1109="G"),"Yes","No")</f>
        <v>No</v>
      </c>
      <c r="U1109" s="11" t="str">
        <f>IF(P1109&gt;=100,"High","Low")</f>
        <v>High</v>
      </c>
      <c r="V1109" s="28">
        <f t="shared" si="34"/>
        <v>189.7</v>
      </c>
      <c r="W1109" s="29">
        <f t="shared" si="35"/>
        <v>278.96226415094338</v>
      </c>
    </row>
    <row r="1110" spans="1:23" x14ac:dyDescent="0.3">
      <c r="A1110" s="1" t="s">
        <v>3194</v>
      </c>
      <c r="B1110" s="1" t="s">
        <v>3195</v>
      </c>
      <c r="C1110" s="1" t="s">
        <v>18</v>
      </c>
      <c r="D1110" s="1" t="s">
        <v>75</v>
      </c>
      <c r="E1110" s="1">
        <v>2011</v>
      </c>
      <c r="F1110" s="1" t="s">
        <v>100</v>
      </c>
      <c r="G1110" s="1" t="s">
        <v>689</v>
      </c>
      <c r="H1110" s="1">
        <v>89</v>
      </c>
      <c r="I1110" s="1" t="s">
        <v>40</v>
      </c>
      <c r="J1110" s="1">
        <v>6.6</v>
      </c>
      <c r="K1110" s="1">
        <v>445.3</v>
      </c>
      <c r="L1110" s="1" t="s">
        <v>171</v>
      </c>
      <c r="M1110" s="1" t="s">
        <v>85</v>
      </c>
      <c r="N1110" s="1" t="s">
        <v>158</v>
      </c>
      <c r="O1110" s="1"/>
      <c r="P1110" s="1">
        <v>102</v>
      </c>
      <c r="Q1110" s="1">
        <v>493.9</v>
      </c>
      <c r="R1110" s="8" t="str">
        <f>_xlfn.IFS(J1110&gt;=8,"Hit",J1110&gt;=6,"Average",J1110&lt;6,"Flop")</f>
        <v>Average</v>
      </c>
      <c r="S1110" s="9" t="str">
        <f>_xlfn.IFS(K1110&gt;=400,"Blockbuster",K1110&gt;=200,"Popular",K1110&lt;200,"Normal")</f>
        <v>Blockbuster</v>
      </c>
      <c r="T1110" s="10" t="str">
        <f>IF(OR(I1110="PG",I1110="G"),"Yes","No")</f>
        <v>Yes</v>
      </c>
      <c r="U1110" s="11" t="str">
        <f>IF(P1110&gt;=100,"High","Low")</f>
        <v>High</v>
      </c>
      <c r="V1110" s="28">
        <f t="shared" si="34"/>
        <v>391.9</v>
      </c>
      <c r="W1110" s="29">
        <f t="shared" si="35"/>
        <v>484.21568627450978</v>
      </c>
    </row>
    <row r="1111" spans="1:23" x14ac:dyDescent="0.3">
      <c r="A1111" s="1" t="s">
        <v>3196</v>
      </c>
      <c r="B1111" s="1" t="s">
        <v>3197</v>
      </c>
      <c r="C1111" s="1" t="s">
        <v>46</v>
      </c>
      <c r="D1111" s="1" t="s">
        <v>63</v>
      </c>
      <c r="E1111" s="1">
        <v>2009</v>
      </c>
      <c r="F1111" s="1" t="s">
        <v>29</v>
      </c>
      <c r="G1111" s="1" t="s">
        <v>3198</v>
      </c>
      <c r="H1111" s="1">
        <v>49</v>
      </c>
      <c r="I1111" s="1" t="s">
        <v>22</v>
      </c>
      <c r="J1111" s="1">
        <v>8.9</v>
      </c>
      <c r="K1111" s="1">
        <v>582.5</v>
      </c>
      <c r="L1111" s="1" t="s">
        <v>32</v>
      </c>
      <c r="M1111" s="1" t="s">
        <v>85</v>
      </c>
      <c r="N1111" s="1" t="s">
        <v>128</v>
      </c>
      <c r="O1111" s="1">
        <v>2</v>
      </c>
      <c r="P1111" s="1">
        <v>58</v>
      </c>
      <c r="Q1111" s="1">
        <v>205.2</v>
      </c>
      <c r="R1111" s="8" t="str">
        <f>_xlfn.IFS(J1111&gt;=8,"Hit",J1111&gt;=6,"Average",J1111&lt;6,"Flop")</f>
        <v>Hit</v>
      </c>
      <c r="S1111" s="9" t="str">
        <f>_xlfn.IFS(K1111&gt;=400,"Blockbuster",K1111&gt;=200,"Popular",K1111&lt;200,"Normal")</f>
        <v>Blockbuster</v>
      </c>
      <c r="T1111" s="10" t="str">
        <f>IF(OR(I1111="PG",I1111="G"),"Yes","No")</f>
        <v>No</v>
      </c>
      <c r="U1111" s="11" t="str">
        <f>IF(P1111&gt;=100,"High","Low")</f>
        <v>Low</v>
      </c>
      <c r="V1111" s="28">
        <f t="shared" si="34"/>
        <v>147.19999999999999</v>
      </c>
      <c r="W1111" s="29">
        <f t="shared" si="35"/>
        <v>353.79310344827582</v>
      </c>
    </row>
    <row r="1112" spans="1:23" x14ac:dyDescent="0.3">
      <c r="A1112" s="1" t="s">
        <v>3199</v>
      </c>
      <c r="B1112" s="1" t="s">
        <v>3200</v>
      </c>
      <c r="C1112" s="1" t="s">
        <v>18</v>
      </c>
      <c r="D1112" s="1" t="s">
        <v>117</v>
      </c>
      <c r="E1112" s="1">
        <v>2007</v>
      </c>
      <c r="F1112" s="1" t="s">
        <v>100</v>
      </c>
      <c r="G1112" s="1" t="s">
        <v>399</v>
      </c>
      <c r="H1112" s="1">
        <v>162</v>
      </c>
      <c r="I1112" s="1" t="s">
        <v>50</v>
      </c>
      <c r="J1112" s="1">
        <v>9.1</v>
      </c>
      <c r="K1112" s="1">
        <v>136.5</v>
      </c>
      <c r="L1112" s="1" t="s">
        <v>23</v>
      </c>
      <c r="M1112" s="1" t="s">
        <v>146</v>
      </c>
      <c r="N1112" s="1" t="s">
        <v>178</v>
      </c>
      <c r="O1112" s="1"/>
      <c r="P1112" s="1">
        <v>29</v>
      </c>
      <c r="Q1112" s="1">
        <v>65.099999999999994</v>
      </c>
      <c r="R1112" s="8" t="str">
        <f>_xlfn.IFS(J1112&gt;=8,"Hit",J1112&gt;=6,"Average",J1112&lt;6,"Flop")</f>
        <v>Hit</v>
      </c>
      <c r="S1112" s="9" t="str">
        <f>_xlfn.IFS(K1112&gt;=400,"Blockbuster",K1112&gt;=200,"Popular",K1112&lt;200,"Normal")</f>
        <v>Normal</v>
      </c>
      <c r="T1112" s="10" t="str">
        <f>IF(OR(I1112="PG",I1112="G"),"Yes","No")</f>
        <v>Yes</v>
      </c>
      <c r="U1112" s="11" t="str">
        <f>IF(P1112&gt;=100,"High","Low")</f>
        <v>Low</v>
      </c>
      <c r="V1112" s="28">
        <f t="shared" si="34"/>
        <v>36.099999999999994</v>
      </c>
      <c r="W1112" s="29">
        <f t="shared" si="35"/>
        <v>224.48275862068962</v>
      </c>
    </row>
    <row r="1113" spans="1:23" x14ac:dyDescent="0.3">
      <c r="A1113" s="1" t="s">
        <v>3201</v>
      </c>
      <c r="B1113" s="1" t="s">
        <v>3202</v>
      </c>
      <c r="C1113" s="1" t="s">
        <v>18</v>
      </c>
      <c r="D1113" s="1" t="s">
        <v>58</v>
      </c>
      <c r="E1113" s="1">
        <v>2007</v>
      </c>
      <c r="F1113" s="1" t="s">
        <v>122</v>
      </c>
      <c r="G1113" s="1" t="s">
        <v>2014</v>
      </c>
      <c r="H1113" s="1">
        <v>106</v>
      </c>
      <c r="I1113" s="1" t="s">
        <v>22</v>
      </c>
      <c r="J1113" s="1">
        <v>5.9</v>
      </c>
      <c r="K1113" s="1">
        <v>153.30000000000001</v>
      </c>
      <c r="L1113" s="1" t="s">
        <v>32</v>
      </c>
      <c r="M1113" s="1" t="s">
        <v>78</v>
      </c>
      <c r="N1113" s="1" t="s">
        <v>55</v>
      </c>
      <c r="O1113" s="1"/>
      <c r="P1113" s="1">
        <v>18</v>
      </c>
      <c r="Q1113" s="1">
        <v>72.5</v>
      </c>
      <c r="R1113" s="8" t="str">
        <f>_xlfn.IFS(J1113&gt;=8,"Hit",J1113&gt;=6,"Average",J1113&lt;6,"Flop")</f>
        <v>Flop</v>
      </c>
      <c r="S1113" s="9" t="str">
        <f>_xlfn.IFS(K1113&gt;=400,"Blockbuster",K1113&gt;=200,"Popular",K1113&lt;200,"Normal")</f>
        <v>Normal</v>
      </c>
      <c r="T1113" s="10" t="str">
        <f>IF(OR(I1113="PG",I1113="G"),"Yes","No")</f>
        <v>No</v>
      </c>
      <c r="U1113" s="11" t="str">
        <f>IF(P1113&gt;=100,"High","Low")</f>
        <v>Low</v>
      </c>
      <c r="V1113" s="28">
        <f t="shared" si="34"/>
        <v>54.5</v>
      </c>
      <c r="W1113" s="29">
        <f t="shared" si="35"/>
        <v>402.77777777777777</v>
      </c>
    </row>
    <row r="1114" spans="1:23" x14ac:dyDescent="0.3">
      <c r="A1114" s="1" t="s">
        <v>3203</v>
      </c>
      <c r="B1114" s="1" t="s">
        <v>3204</v>
      </c>
      <c r="C1114" s="1" t="s">
        <v>46</v>
      </c>
      <c r="D1114" s="1" t="s">
        <v>28</v>
      </c>
      <c r="E1114" s="1">
        <v>2008</v>
      </c>
      <c r="F1114" s="1" t="s">
        <v>29</v>
      </c>
      <c r="G1114" s="1" t="s">
        <v>3205</v>
      </c>
      <c r="H1114" s="1">
        <v>32</v>
      </c>
      <c r="I1114" s="1" t="s">
        <v>22</v>
      </c>
      <c r="J1114" s="1">
        <v>6.5</v>
      </c>
      <c r="K1114" s="1">
        <v>187.9</v>
      </c>
      <c r="L1114" s="1" t="s">
        <v>41</v>
      </c>
      <c r="M1114" s="1" t="s">
        <v>132</v>
      </c>
      <c r="N1114" s="1" t="s">
        <v>25</v>
      </c>
      <c r="O1114" s="1">
        <v>4</v>
      </c>
      <c r="P1114" s="1">
        <v>130</v>
      </c>
      <c r="Q1114" s="1">
        <v>295.2</v>
      </c>
      <c r="R1114" s="8" t="str">
        <f>_xlfn.IFS(J1114&gt;=8,"Hit",J1114&gt;=6,"Average",J1114&lt;6,"Flop")</f>
        <v>Average</v>
      </c>
      <c r="S1114" s="9" t="str">
        <f>_xlfn.IFS(K1114&gt;=400,"Blockbuster",K1114&gt;=200,"Popular",K1114&lt;200,"Normal")</f>
        <v>Normal</v>
      </c>
      <c r="T1114" s="10" t="str">
        <f>IF(OR(I1114="PG",I1114="G"),"Yes","No")</f>
        <v>No</v>
      </c>
      <c r="U1114" s="11" t="str">
        <f>IF(P1114&gt;=100,"High","Low")</f>
        <v>High</v>
      </c>
      <c r="V1114" s="28">
        <f t="shared" si="34"/>
        <v>165.2</v>
      </c>
      <c r="W1114" s="29">
        <f t="shared" si="35"/>
        <v>227.07692307692309</v>
      </c>
    </row>
    <row r="1115" spans="1:23" x14ac:dyDescent="0.3">
      <c r="A1115" s="1" t="s">
        <v>3206</v>
      </c>
      <c r="B1115" s="1" t="s">
        <v>3207</v>
      </c>
      <c r="C1115" s="1" t="s">
        <v>46</v>
      </c>
      <c r="D1115" s="1" t="s">
        <v>37</v>
      </c>
      <c r="E1115" s="1">
        <v>2000</v>
      </c>
      <c r="F1115" s="1" t="s">
        <v>83</v>
      </c>
      <c r="G1115" s="1" t="s">
        <v>3208</v>
      </c>
      <c r="H1115" s="1">
        <v>36</v>
      </c>
      <c r="I1115" s="1" t="s">
        <v>40</v>
      </c>
      <c r="J1115" s="1">
        <v>4.8</v>
      </c>
      <c r="K1115" s="1">
        <v>3.4</v>
      </c>
      <c r="L1115" s="1" t="s">
        <v>41</v>
      </c>
      <c r="M1115" s="1" t="s">
        <v>106</v>
      </c>
      <c r="N1115" s="1" t="s">
        <v>86</v>
      </c>
      <c r="O1115" s="1">
        <v>4</v>
      </c>
      <c r="P1115" s="1">
        <v>181</v>
      </c>
      <c r="Q1115" s="1">
        <v>986.6</v>
      </c>
      <c r="R1115" s="8" t="str">
        <f>_xlfn.IFS(J1115&gt;=8,"Hit",J1115&gt;=6,"Average",J1115&lt;6,"Flop")</f>
        <v>Flop</v>
      </c>
      <c r="S1115" s="9" t="str">
        <f>_xlfn.IFS(K1115&gt;=400,"Blockbuster",K1115&gt;=200,"Popular",K1115&lt;200,"Normal")</f>
        <v>Normal</v>
      </c>
      <c r="T1115" s="10" t="str">
        <f>IF(OR(I1115="PG",I1115="G"),"Yes","No")</f>
        <v>Yes</v>
      </c>
      <c r="U1115" s="11" t="str">
        <f>IF(P1115&gt;=100,"High","Low")</f>
        <v>High</v>
      </c>
      <c r="V1115" s="28">
        <f t="shared" si="34"/>
        <v>805.6</v>
      </c>
      <c r="W1115" s="29">
        <f t="shared" si="35"/>
        <v>545.08287292817681</v>
      </c>
    </row>
    <row r="1116" spans="1:23" x14ac:dyDescent="0.3">
      <c r="A1116" s="1" t="s">
        <v>3209</v>
      </c>
      <c r="B1116" s="1" t="s">
        <v>3210</v>
      </c>
      <c r="C1116" s="1" t="s">
        <v>46</v>
      </c>
      <c r="D1116" s="1" t="s">
        <v>63</v>
      </c>
      <c r="E1116" s="1">
        <v>2022</v>
      </c>
      <c r="F1116" s="1" t="s">
        <v>100</v>
      </c>
      <c r="G1116" s="1" t="s">
        <v>3211</v>
      </c>
      <c r="H1116" s="1">
        <v>48</v>
      </c>
      <c r="I1116" s="1" t="s">
        <v>110</v>
      </c>
      <c r="J1116" s="1">
        <v>4.8</v>
      </c>
      <c r="K1116" s="1">
        <v>299.8</v>
      </c>
      <c r="L1116" s="1" t="s">
        <v>41</v>
      </c>
      <c r="M1116" s="1" t="s">
        <v>132</v>
      </c>
      <c r="N1116" s="1" t="s">
        <v>119</v>
      </c>
      <c r="O1116" s="1">
        <v>3</v>
      </c>
      <c r="P1116" s="1">
        <v>181</v>
      </c>
      <c r="Q1116" s="1">
        <v>920.1</v>
      </c>
      <c r="R1116" s="8" t="str">
        <f>_xlfn.IFS(J1116&gt;=8,"Hit",J1116&gt;=6,"Average",J1116&lt;6,"Flop")</f>
        <v>Flop</v>
      </c>
      <c r="S1116" s="9" t="str">
        <f>_xlfn.IFS(K1116&gt;=400,"Blockbuster",K1116&gt;=200,"Popular",K1116&lt;200,"Normal")</f>
        <v>Popular</v>
      </c>
      <c r="T1116" s="10" t="str">
        <f>IF(OR(I1116="PG",I1116="G"),"Yes","No")</f>
        <v>No</v>
      </c>
      <c r="U1116" s="11" t="str">
        <f>IF(P1116&gt;=100,"High","Low")</f>
        <v>High</v>
      </c>
      <c r="V1116" s="28">
        <f t="shared" si="34"/>
        <v>739.1</v>
      </c>
      <c r="W1116" s="29">
        <f t="shared" si="35"/>
        <v>508.34254143646416</v>
      </c>
    </row>
    <row r="1117" spans="1:23" x14ac:dyDescent="0.3">
      <c r="A1117" s="1" t="s">
        <v>3212</v>
      </c>
      <c r="B1117" s="1" t="s">
        <v>3213</v>
      </c>
      <c r="C1117" s="1" t="s">
        <v>18</v>
      </c>
      <c r="D1117" s="1" t="s">
        <v>19</v>
      </c>
      <c r="E1117" s="1">
        <v>2005</v>
      </c>
      <c r="F1117" s="1" t="s">
        <v>20</v>
      </c>
      <c r="G1117" s="1" t="s">
        <v>3214</v>
      </c>
      <c r="H1117" s="1">
        <v>107</v>
      </c>
      <c r="I1117" s="1" t="s">
        <v>31</v>
      </c>
      <c r="J1117" s="1">
        <v>6.5</v>
      </c>
      <c r="K1117" s="1">
        <v>394.3</v>
      </c>
      <c r="L1117" s="1" t="s">
        <v>23</v>
      </c>
      <c r="M1117" s="1" t="s">
        <v>54</v>
      </c>
      <c r="N1117" s="1" t="s">
        <v>119</v>
      </c>
      <c r="O1117" s="1"/>
      <c r="P1117" s="1">
        <v>141</v>
      </c>
      <c r="Q1117" s="1">
        <v>393.8</v>
      </c>
      <c r="R1117" s="8" t="str">
        <f>_xlfn.IFS(J1117&gt;=8,"Hit",J1117&gt;=6,"Average",J1117&lt;6,"Flop")</f>
        <v>Average</v>
      </c>
      <c r="S1117" s="9" t="str">
        <f>_xlfn.IFS(K1117&gt;=400,"Blockbuster",K1117&gt;=200,"Popular",K1117&lt;200,"Normal")</f>
        <v>Popular</v>
      </c>
      <c r="T1117" s="10" t="str">
        <f>IF(OR(I1117="PG",I1117="G"),"Yes","No")</f>
        <v>No</v>
      </c>
      <c r="U1117" s="11" t="str">
        <f>IF(P1117&gt;=100,"High","Low")</f>
        <v>High</v>
      </c>
      <c r="V1117" s="28">
        <f t="shared" si="34"/>
        <v>252.8</v>
      </c>
      <c r="W1117" s="29">
        <f t="shared" si="35"/>
        <v>279.29078014184398</v>
      </c>
    </row>
    <row r="1118" spans="1:23" x14ac:dyDescent="0.3">
      <c r="A1118" s="1" t="s">
        <v>3215</v>
      </c>
      <c r="B1118" s="1" t="s">
        <v>3216</v>
      </c>
      <c r="C1118" s="1" t="s">
        <v>18</v>
      </c>
      <c r="D1118" s="1" t="s">
        <v>82</v>
      </c>
      <c r="E1118" s="1">
        <v>2016</v>
      </c>
      <c r="F1118" s="1" t="s">
        <v>181</v>
      </c>
      <c r="G1118" s="1" t="s">
        <v>603</v>
      </c>
      <c r="H1118" s="1">
        <v>179</v>
      </c>
      <c r="I1118" s="1" t="s">
        <v>50</v>
      </c>
      <c r="J1118" s="1">
        <v>7.9</v>
      </c>
      <c r="K1118" s="1">
        <v>419.1</v>
      </c>
      <c r="L1118" s="1" t="s">
        <v>65</v>
      </c>
      <c r="M1118" s="1" t="s">
        <v>97</v>
      </c>
      <c r="N1118" s="1" t="s">
        <v>60</v>
      </c>
      <c r="O1118" s="1"/>
      <c r="P1118" s="1">
        <v>172</v>
      </c>
      <c r="Q1118" s="1">
        <v>986.4</v>
      </c>
      <c r="R1118" s="8" t="str">
        <f>_xlfn.IFS(J1118&gt;=8,"Hit",J1118&gt;=6,"Average",J1118&lt;6,"Flop")</f>
        <v>Average</v>
      </c>
      <c r="S1118" s="9" t="str">
        <f>_xlfn.IFS(K1118&gt;=400,"Blockbuster",K1118&gt;=200,"Popular",K1118&lt;200,"Normal")</f>
        <v>Blockbuster</v>
      </c>
      <c r="T1118" s="10" t="str">
        <f>IF(OR(I1118="PG",I1118="G"),"Yes","No")</f>
        <v>Yes</v>
      </c>
      <c r="U1118" s="11" t="str">
        <f>IF(P1118&gt;=100,"High","Low")</f>
        <v>High</v>
      </c>
      <c r="V1118" s="28">
        <f t="shared" si="34"/>
        <v>814.4</v>
      </c>
      <c r="W1118" s="29">
        <f t="shared" si="35"/>
        <v>573.48837209302326</v>
      </c>
    </row>
    <row r="1119" spans="1:23" x14ac:dyDescent="0.3">
      <c r="A1119" s="1" t="s">
        <v>3217</v>
      </c>
      <c r="B1119" s="1" t="s">
        <v>3218</v>
      </c>
      <c r="C1119" s="1" t="s">
        <v>46</v>
      </c>
      <c r="D1119" s="1" t="s">
        <v>37</v>
      </c>
      <c r="E1119" s="1">
        <v>2015</v>
      </c>
      <c r="F1119" s="1" t="s">
        <v>29</v>
      </c>
      <c r="G1119" s="1" t="s">
        <v>3219</v>
      </c>
      <c r="H1119" s="1">
        <v>40</v>
      </c>
      <c r="I1119" s="1" t="s">
        <v>22</v>
      </c>
      <c r="J1119" s="1">
        <v>7.7</v>
      </c>
      <c r="K1119" s="1">
        <v>523.4</v>
      </c>
      <c r="L1119" s="1" t="s">
        <v>32</v>
      </c>
      <c r="M1119" s="1" t="s">
        <v>106</v>
      </c>
      <c r="N1119" s="1" t="s">
        <v>119</v>
      </c>
      <c r="O1119" s="1">
        <v>7</v>
      </c>
      <c r="P1119" s="1">
        <v>73</v>
      </c>
      <c r="Q1119" s="1">
        <v>111.4</v>
      </c>
      <c r="R1119" s="8" t="str">
        <f>_xlfn.IFS(J1119&gt;=8,"Hit",J1119&gt;=6,"Average",J1119&lt;6,"Flop")</f>
        <v>Average</v>
      </c>
      <c r="S1119" s="9" t="str">
        <f>_xlfn.IFS(K1119&gt;=400,"Blockbuster",K1119&gt;=200,"Popular",K1119&lt;200,"Normal")</f>
        <v>Blockbuster</v>
      </c>
      <c r="T1119" s="10" t="str">
        <f>IF(OR(I1119="PG",I1119="G"),"Yes","No")</f>
        <v>No</v>
      </c>
      <c r="U1119" s="11" t="str">
        <f>IF(P1119&gt;=100,"High","Low")</f>
        <v>Low</v>
      </c>
      <c r="V1119" s="28">
        <f t="shared" si="34"/>
        <v>38.400000000000006</v>
      </c>
      <c r="W1119" s="29">
        <f t="shared" si="35"/>
        <v>152.60273972602741</v>
      </c>
    </row>
    <row r="1120" spans="1:23" x14ac:dyDescent="0.3">
      <c r="A1120" s="1" t="s">
        <v>3220</v>
      </c>
      <c r="B1120" s="1" t="s">
        <v>3221</v>
      </c>
      <c r="C1120" s="1" t="s">
        <v>18</v>
      </c>
      <c r="D1120" s="1" t="s">
        <v>75</v>
      </c>
      <c r="E1120" s="1">
        <v>2021</v>
      </c>
      <c r="F1120" s="1" t="s">
        <v>122</v>
      </c>
      <c r="G1120" s="1" t="s">
        <v>2871</v>
      </c>
      <c r="H1120" s="1">
        <v>150</v>
      </c>
      <c r="I1120" s="1" t="s">
        <v>40</v>
      </c>
      <c r="J1120" s="1">
        <v>7.6</v>
      </c>
      <c r="K1120" s="1">
        <v>361.5</v>
      </c>
      <c r="L1120" s="1" t="s">
        <v>90</v>
      </c>
      <c r="M1120" s="1" t="s">
        <v>111</v>
      </c>
      <c r="N1120" s="1" t="s">
        <v>158</v>
      </c>
      <c r="O1120" s="1"/>
      <c r="P1120" s="1">
        <v>164</v>
      </c>
      <c r="Q1120" s="1">
        <v>307.10000000000002</v>
      </c>
      <c r="R1120" s="8" t="str">
        <f>_xlfn.IFS(J1120&gt;=8,"Hit",J1120&gt;=6,"Average",J1120&lt;6,"Flop")</f>
        <v>Average</v>
      </c>
      <c r="S1120" s="9" t="str">
        <f>_xlfn.IFS(K1120&gt;=400,"Blockbuster",K1120&gt;=200,"Popular",K1120&lt;200,"Normal")</f>
        <v>Popular</v>
      </c>
      <c r="T1120" s="10" t="str">
        <f>IF(OR(I1120="PG",I1120="G"),"Yes","No")</f>
        <v>Yes</v>
      </c>
      <c r="U1120" s="11" t="str">
        <f>IF(P1120&gt;=100,"High","Low")</f>
        <v>High</v>
      </c>
      <c r="V1120" s="28">
        <f t="shared" si="34"/>
        <v>143.10000000000002</v>
      </c>
      <c r="W1120" s="29">
        <f t="shared" si="35"/>
        <v>187.25609756097563</v>
      </c>
    </row>
    <row r="1121" spans="1:23" x14ac:dyDescent="0.3">
      <c r="A1121" s="1" t="s">
        <v>3222</v>
      </c>
      <c r="B1121" s="1" t="s">
        <v>3223</v>
      </c>
      <c r="C1121" s="1" t="s">
        <v>18</v>
      </c>
      <c r="D1121" s="1" t="s">
        <v>117</v>
      </c>
      <c r="E1121" s="1">
        <v>2017</v>
      </c>
      <c r="F1121" s="1" t="s">
        <v>122</v>
      </c>
      <c r="G1121" s="1" t="s">
        <v>3224</v>
      </c>
      <c r="H1121" s="1">
        <v>114</v>
      </c>
      <c r="I1121" s="1" t="s">
        <v>22</v>
      </c>
      <c r="J1121" s="1">
        <v>6.3</v>
      </c>
      <c r="K1121" s="1">
        <v>383.7</v>
      </c>
      <c r="L1121" s="1" t="s">
        <v>90</v>
      </c>
      <c r="M1121" s="1" t="s">
        <v>24</v>
      </c>
      <c r="N1121" s="1" t="s">
        <v>91</v>
      </c>
      <c r="O1121" s="1"/>
      <c r="P1121" s="1">
        <v>46</v>
      </c>
      <c r="Q1121" s="1">
        <v>286.60000000000002</v>
      </c>
      <c r="R1121" s="8" t="str">
        <f>_xlfn.IFS(J1121&gt;=8,"Hit",J1121&gt;=6,"Average",J1121&lt;6,"Flop")</f>
        <v>Average</v>
      </c>
      <c r="S1121" s="9" t="str">
        <f>_xlfn.IFS(K1121&gt;=400,"Blockbuster",K1121&gt;=200,"Popular",K1121&lt;200,"Normal")</f>
        <v>Popular</v>
      </c>
      <c r="T1121" s="10" t="str">
        <f>IF(OR(I1121="PG",I1121="G"),"Yes","No")</f>
        <v>No</v>
      </c>
      <c r="U1121" s="11" t="str">
        <f>IF(P1121&gt;=100,"High","Low")</f>
        <v>Low</v>
      </c>
      <c r="V1121" s="28">
        <f t="shared" si="34"/>
        <v>240.60000000000002</v>
      </c>
      <c r="W1121" s="29">
        <f t="shared" si="35"/>
        <v>623.04347826086962</v>
      </c>
    </row>
    <row r="1122" spans="1:23" x14ac:dyDescent="0.3">
      <c r="A1122" s="1" t="s">
        <v>3225</v>
      </c>
      <c r="B1122" s="1" t="s">
        <v>3226</v>
      </c>
      <c r="C1122" s="1" t="s">
        <v>46</v>
      </c>
      <c r="D1122" s="1" t="s">
        <v>19</v>
      </c>
      <c r="E1122" s="1">
        <v>2023</v>
      </c>
      <c r="F1122" s="1" t="s">
        <v>181</v>
      </c>
      <c r="G1122" s="1" t="s">
        <v>1092</v>
      </c>
      <c r="H1122" s="1">
        <v>39</v>
      </c>
      <c r="I1122" s="1" t="s">
        <v>50</v>
      </c>
      <c r="J1122" s="1">
        <v>8.9</v>
      </c>
      <c r="K1122" s="1">
        <v>405.1</v>
      </c>
      <c r="L1122" s="1" t="s">
        <v>90</v>
      </c>
      <c r="M1122" s="1" t="s">
        <v>132</v>
      </c>
      <c r="N1122" s="1" t="s">
        <v>119</v>
      </c>
      <c r="O1122" s="1">
        <v>1</v>
      </c>
      <c r="P1122" s="1">
        <v>135</v>
      </c>
      <c r="Q1122" s="1">
        <v>548</v>
      </c>
      <c r="R1122" s="8" t="str">
        <f>_xlfn.IFS(J1122&gt;=8,"Hit",J1122&gt;=6,"Average",J1122&lt;6,"Flop")</f>
        <v>Hit</v>
      </c>
      <c r="S1122" s="9" t="str">
        <f>_xlfn.IFS(K1122&gt;=400,"Blockbuster",K1122&gt;=200,"Popular",K1122&lt;200,"Normal")</f>
        <v>Blockbuster</v>
      </c>
      <c r="T1122" s="10" t="str">
        <f>IF(OR(I1122="PG",I1122="G"),"Yes","No")</f>
        <v>Yes</v>
      </c>
      <c r="U1122" s="11" t="str">
        <f>IF(P1122&gt;=100,"High","Low")</f>
        <v>High</v>
      </c>
      <c r="V1122" s="28">
        <f t="shared" si="34"/>
        <v>413</v>
      </c>
      <c r="W1122" s="29">
        <f t="shared" si="35"/>
        <v>405.92592592592592</v>
      </c>
    </row>
    <row r="1123" spans="1:23" x14ac:dyDescent="0.3">
      <c r="A1123" s="1" t="s">
        <v>3227</v>
      </c>
      <c r="B1123" s="1" t="s">
        <v>3228</v>
      </c>
      <c r="C1123" s="1" t="s">
        <v>18</v>
      </c>
      <c r="D1123" s="1" t="s">
        <v>58</v>
      </c>
      <c r="E1123" s="1">
        <v>2002</v>
      </c>
      <c r="F1123" s="1" t="s">
        <v>95</v>
      </c>
      <c r="G1123" s="1" t="s">
        <v>3229</v>
      </c>
      <c r="H1123" s="1">
        <v>90</v>
      </c>
      <c r="I1123" s="1" t="s">
        <v>110</v>
      </c>
      <c r="J1123" s="1">
        <v>8.8000000000000007</v>
      </c>
      <c r="K1123" s="1">
        <v>506.3</v>
      </c>
      <c r="L1123" s="1" t="s">
        <v>171</v>
      </c>
      <c r="M1123" s="1" t="s">
        <v>42</v>
      </c>
      <c r="N1123" s="1" t="s">
        <v>55</v>
      </c>
      <c r="O1123" s="1"/>
      <c r="P1123" s="1">
        <v>92</v>
      </c>
      <c r="Q1123" s="1">
        <v>113.8</v>
      </c>
      <c r="R1123" s="8" t="str">
        <f>_xlfn.IFS(J1123&gt;=8,"Hit",J1123&gt;=6,"Average",J1123&lt;6,"Flop")</f>
        <v>Hit</v>
      </c>
      <c r="S1123" s="9" t="str">
        <f>_xlfn.IFS(K1123&gt;=400,"Blockbuster",K1123&gt;=200,"Popular",K1123&lt;200,"Normal")</f>
        <v>Blockbuster</v>
      </c>
      <c r="T1123" s="10" t="str">
        <f>IF(OR(I1123="PG",I1123="G"),"Yes","No")</f>
        <v>No</v>
      </c>
      <c r="U1123" s="11" t="str">
        <f>IF(P1123&gt;=100,"High","Low")</f>
        <v>Low</v>
      </c>
      <c r="V1123" s="28">
        <f t="shared" si="34"/>
        <v>21.799999999999997</v>
      </c>
      <c r="W1123" s="29">
        <f t="shared" si="35"/>
        <v>123.69565217391305</v>
      </c>
    </row>
    <row r="1124" spans="1:23" x14ac:dyDescent="0.3">
      <c r="A1124" s="1" t="s">
        <v>3230</v>
      </c>
      <c r="B1124" s="1" t="s">
        <v>3231</v>
      </c>
      <c r="C1124" s="1" t="s">
        <v>18</v>
      </c>
      <c r="D1124" s="1" t="s">
        <v>19</v>
      </c>
      <c r="E1124" s="1">
        <v>2017</v>
      </c>
      <c r="F1124" s="1" t="s">
        <v>122</v>
      </c>
      <c r="G1124" s="1" t="s">
        <v>3232</v>
      </c>
      <c r="H1124" s="1">
        <v>169</v>
      </c>
      <c r="I1124" s="1" t="s">
        <v>110</v>
      </c>
      <c r="J1124" s="1">
        <v>6.9</v>
      </c>
      <c r="K1124" s="1">
        <v>479.9</v>
      </c>
      <c r="L1124" s="1" t="s">
        <v>32</v>
      </c>
      <c r="M1124" s="1" t="s">
        <v>97</v>
      </c>
      <c r="N1124" s="1" t="s">
        <v>67</v>
      </c>
      <c r="O1124" s="1"/>
      <c r="P1124" s="1">
        <v>136</v>
      </c>
      <c r="Q1124" s="1">
        <v>349.3</v>
      </c>
      <c r="R1124" s="8" t="str">
        <f>_xlfn.IFS(J1124&gt;=8,"Hit",J1124&gt;=6,"Average",J1124&lt;6,"Flop")</f>
        <v>Average</v>
      </c>
      <c r="S1124" s="9" t="str">
        <f>_xlfn.IFS(K1124&gt;=400,"Blockbuster",K1124&gt;=200,"Popular",K1124&lt;200,"Normal")</f>
        <v>Blockbuster</v>
      </c>
      <c r="T1124" s="10" t="str">
        <f>IF(OR(I1124="PG",I1124="G"),"Yes","No")</f>
        <v>No</v>
      </c>
      <c r="U1124" s="11" t="str">
        <f>IF(P1124&gt;=100,"High","Low")</f>
        <v>High</v>
      </c>
      <c r="V1124" s="28">
        <f t="shared" si="34"/>
        <v>213.3</v>
      </c>
      <c r="W1124" s="29">
        <f t="shared" si="35"/>
        <v>256.83823529411762</v>
      </c>
    </row>
    <row r="1125" spans="1:23" x14ac:dyDescent="0.3">
      <c r="A1125" s="1" t="s">
        <v>3233</v>
      </c>
      <c r="B1125" s="1" t="s">
        <v>3234</v>
      </c>
      <c r="C1125" s="1" t="s">
        <v>18</v>
      </c>
      <c r="D1125" s="1" t="s">
        <v>19</v>
      </c>
      <c r="E1125" s="1">
        <v>2015</v>
      </c>
      <c r="F1125" s="1" t="s">
        <v>95</v>
      </c>
      <c r="G1125" s="1" t="s">
        <v>1197</v>
      </c>
      <c r="H1125" s="1">
        <v>155</v>
      </c>
      <c r="I1125" s="1" t="s">
        <v>22</v>
      </c>
      <c r="J1125" s="1">
        <v>8.3000000000000007</v>
      </c>
      <c r="K1125" s="1">
        <v>551.20000000000005</v>
      </c>
      <c r="L1125" s="1" t="s">
        <v>65</v>
      </c>
      <c r="M1125" s="1" t="s">
        <v>85</v>
      </c>
      <c r="N1125" s="1" t="s">
        <v>128</v>
      </c>
      <c r="O1125" s="1"/>
      <c r="P1125" s="1">
        <v>105</v>
      </c>
      <c r="Q1125" s="1">
        <v>203.8</v>
      </c>
      <c r="R1125" s="8" t="str">
        <f>_xlfn.IFS(J1125&gt;=8,"Hit",J1125&gt;=6,"Average",J1125&lt;6,"Flop")</f>
        <v>Hit</v>
      </c>
      <c r="S1125" s="9" t="str">
        <f>_xlfn.IFS(K1125&gt;=400,"Blockbuster",K1125&gt;=200,"Popular",K1125&lt;200,"Normal")</f>
        <v>Blockbuster</v>
      </c>
      <c r="T1125" s="10" t="str">
        <f>IF(OR(I1125="PG",I1125="G"),"Yes","No")</f>
        <v>No</v>
      </c>
      <c r="U1125" s="11" t="str">
        <f>IF(P1125&gt;=100,"High","Low")</f>
        <v>High</v>
      </c>
      <c r="V1125" s="28">
        <f t="shared" si="34"/>
        <v>98.800000000000011</v>
      </c>
      <c r="W1125" s="29">
        <f t="shared" si="35"/>
        <v>194.0952380952381</v>
      </c>
    </row>
    <row r="1126" spans="1:23" x14ac:dyDescent="0.3">
      <c r="A1126" s="1" t="s">
        <v>3235</v>
      </c>
      <c r="B1126" s="1" t="s">
        <v>3236</v>
      </c>
      <c r="C1126" s="1" t="s">
        <v>46</v>
      </c>
      <c r="D1126" s="1" t="s">
        <v>82</v>
      </c>
      <c r="E1126" s="1">
        <v>2003</v>
      </c>
      <c r="F1126" s="1" t="s">
        <v>29</v>
      </c>
      <c r="G1126" s="1" t="s">
        <v>3237</v>
      </c>
      <c r="H1126" s="1">
        <v>32</v>
      </c>
      <c r="I1126" s="1" t="s">
        <v>31</v>
      </c>
      <c r="J1126" s="1">
        <v>4.8</v>
      </c>
      <c r="K1126" s="1">
        <v>395.8</v>
      </c>
      <c r="L1126" s="1" t="s">
        <v>71</v>
      </c>
      <c r="M1126" s="1" t="s">
        <v>106</v>
      </c>
      <c r="N1126" s="1" t="s">
        <v>43</v>
      </c>
      <c r="O1126" s="1">
        <v>2</v>
      </c>
      <c r="P1126" s="1">
        <v>53</v>
      </c>
      <c r="Q1126" s="1">
        <v>196.5</v>
      </c>
      <c r="R1126" s="8" t="str">
        <f>_xlfn.IFS(J1126&gt;=8,"Hit",J1126&gt;=6,"Average",J1126&lt;6,"Flop")</f>
        <v>Flop</v>
      </c>
      <c r="S1126" s="9" t="str">
        <f>_xlfn.IFS(K1126&gt;=400,"Blockbuster",K1126&gt;=200,"Popular",K1126&lt;200,"Normal")</f>
        <v>Popular</v>
      </c>
      <c r="T1126" s="10" t="str">
        <f>IF(OR(I1126="PG",I1126="G"),"Yes","No")</f>
        <v>No</v>
      </c>
      <c r="U1126" s="11" t="str">
        <f>IF(P1126&gt;=100,"High","Low")</f>
        <v>Low</v>
      </c>
      <c r="V1126" s="28">
        <f t="shared" si="34"/>
        <v>143.5</v>
      </c>
      <c r="W1126" s="29">
        <f t="shared" si="35"/>
        <v>370.75471698113211</v>
      </c>
    </row>
    <row r="1127" spans="1:23" x14ac:dyDescent="0.3">
      <c r="A1127" s="1" t="s">
        <v>3238</v>
      </c>
      <c r="B1127" s="1" t="s">
        <v>3239</v>
      </c>
      <c r="C1127" s="1" t="s">
        <v>46</v>
      </c>
      <c r="D1127" s="1" t="s">
        <v>19</v>
      </c>
      <c r="E1127" s="1">
        <v>2007</v>
      </c>
      <c r="F1127" s="1" t="s">
        <v>100</v>
      </c>
      <c r="G1127" s="1" t="s">
        <v>3240</v>
      </c>
      <c r="H1127" s="1">
        <v>60</v>
      </c>
      <c r="I1127" s="1" t="s">
        <v>22</v>
      </c>
      <c r="J1127" s="1">
        <v>7.9</v>
      </c>
      <c r="K1127" s="1">
        <v>136.19999999999999</v>
      </c>
      <c r="L1127" s="1" t="s">
        <v>23</v>
      </c>
      <c r="M1127" s="1" t="s">
        <v>33</v>
      </c>
      <c r="N1127" s="1" t="s">
        <v>79</v>
      </c>
      <c r="O1127" s="1">
        <v>2</v>
      </c>
      <c r="P1127" s="1">
        <v>13</v>
      </c>
      <c r="Q1127" s="1">
        <v>34.5</v>
      </c>
      <c r="R1127" s="8" t="str">
        <f>_xlfn.IFS(J1127&gt;=8,"Hit",J1127&gt;=6,"Average",J1127&lt;6,"Flop")</f>
        <v>Average</v>
      </c>
      <c r="S1127" s="9" t="str">
        <f>_xlfn.IFS(K1127&gt;=400,"Blockbuster",K1127&gt;=200,"Popular",K1127&lt;200,"Normal")</f>
        <v>Normal</v>
      </c>
      <c r="T1127" s="10" t="str">
        <f>IF(OR(I1127="PG",I1127="G"),"Yes","No")</f>
        <v>No</v>
      </c>
      <c r="U1127" s="11" t="str">
        <f>IF(P1127&gt;=100,"High","Low")</f>
        <v>Low</v>
      </c>
      <c r="V1127" s="28">
        <f t="shared" si="34"/>
        <v>21.5</v>
      </c>
      <c r="W1127" s="29">
        <f t="shared" si="35"/>
        <v>265.38461538461536</v>
      </c>
    </row>
    <row r="1128" spans="1:23" x14ac:dyDescent="0.3">
      <c r="A1128" s="1" t="s">
        <v>3241</v>
      </c>
      <c r="B1128" s="1" t="s">
        <v>3242</v>
      </c>
      <c r="C1128" s="1" t="s">
        <v>18</v>
      </c>
      <c r="D1128" s="1" t="s">
        <v>58</v>
      </c>
      <c r="E1128" s="1">
        <v>2019</v>
      </c>
      <c r="F1128" s="1" t="s">
        <v>38</v>
      </c>
      <c r="G1128" s="1" t="s">
        <v>251</v>
      </c>
      <c r="H1128" s="1">
        <v>97</v>
      </c>
      <c r="I1128" s="1" t="s">
        <v>40</v>
      </c>
      <c r="J1128" s="1">
        <v>5.4</v>
      </c>
      <c r="K1128" s="1">
        <v>56.5</v>
      </c>
      <c r="L1128" s="1" t="s">
        <v>90</v>
      </c>
      <c r="M1128" s="1" t="s">
        <v>132</v>
      </c>
      <c r="N1128" s="1" t="s">
        <v>34</v>
      </c>
      <c r="O1128" s="1"/>
      <c r="P1128" s="1">
        <v>44</v>
      </c>
      <c r="Q1128" s="1">
        <v>99.3</v>
      </c>
      <c r="R1128" s="8" t="str">
        <f>_xlfn.IFS(J1128&gt;=8,"Hit",J1128&gt;=6,"Average",J1128&lt;6,"Flop")</f>
        <v>Flop</v>
      </c>
      <c r="S1128" s="9" t="str">
        <f>_xlfn.IFS(K1128&gt;=400,"Blockbuster",K1128&gt;=200,"Popular",K1128&lt;200,"Normal")</f>
        <v>Normal</v>
      </c>
      <c r="T1128" s="10" t="str">
        <f>IF(OR(I1128="PG",I1128="G"),"Yes","No")</f>
        <v>Yes</v>
      </c>
      <c r="U1128" s="11" t="str">
        <f>IF(P1128&gt;=100,"High","Low")</f>
        <v>Low</v>
      </c>
      <c r="V1128" s="28">
        <f t="shared" si="34"/>
        <v>55.3</v>
      </c>
      <c r="W1128" s="29">
        <f t="shared" si="35"/>
        <v>225.68181818181819</v>
      </c>
    </row>
    <row r="1129" spans="1:23" x14ac:dyDescent="0.3">
      <c r="A1129" s="1" t="s">
        <v>3243</v>
      </c>
      <c r="B1129" s="1" t="s">
        <v>3244</v>
      </c>
      <c r="C1129" s="1" t="s">
        <v>46</v>
      </c>
      <c r="D1129" s="1" t="s">
        <v>19</v>
      </c>
      <c r="E1129" s="1">
        <v>2010</v>
      </c>
      <c r="F1129" s="1" t="s">
        <v>29</v>
      </c>
      <c r="G1129" s="1" t="s">
        <v>3245</v>
      </c>
      <c r="H1129" s="1">
        <v>44</v>
      </c>
      <c r="I1129" s="1" t="s">
        <v>110</v>
      </c>
      <c r="J1129" s="1">
        <v>4.5999999999999996</v>
      </c>
      <c r="K1129" s="1">
        <v>547.6</v>
      </c>
      <c r="L1129" s="1" t="s">
        <v>171</v>
      </c>
      <c r="M1129" s="1" t="s">
        <v>78</v>
      </c>
      <c r="N1129" s="1" t="s">
        <v>128</v>
      </c>
      <c r="O1129" s="1">
        <v>4</v>
      </c>
      <c r="P1129" s="1">
        <v>43</v>
      </c>
      <c r="Q1129" s="1">
        <v>238.1</v>
      </c>
      <c r="R1129" s="8" t="str">
        <f>_xlfn.IFS(J1129&gt;=8,"Hit",J1129&gt;=6,"Average",J1129&lt;6,"Flop")</f>
        <v>Flop</v>
      </c>
      <c r="S1129" s="9" t="str">
        <f>_xlfn.IFS(K1129&gt;=400,"Blockbuster",K1129&gt;=200,"Popular",K1129&lt;200,"Normal")</f>
        <v>Blockbuster</v>
      </c>
      <c r="T1129" s="10" t="str">
        <f>IF(OR(I1129="PG",I1129="G"),"Yes","No")</f>
        <v>No</v>
      </c>
      <c r="U1129" s="11" t="str">
        <f>IF(P1129&gt;=100,"High","Low")</f>
        <v>Low</v>
      </c>
      <c r="V1129" s="28">
        <f t="shared" si="34"/>
        <v>195.1</v>
      </c>
      <c r="W1129" s="29">
        <f t="shared" si="35"/>
        <v>553.72093023255809</v>
      </c>
    </row>
    <row r="1130" spans="1:23" x14ac:dyDescent="0.3">
      <c r="A1130" s="1" t="s">
        <v>3246</v>
      </c>
      <c r="B1130" s="1" t="s">
        <v>3247</v>
      </c>
      <c r="C1130" s="1" t="s">
        <v>46</v>
      </c>
      <c r="D1130" s="1" t="s">
        <v>19</v>
      </c>
      <c r="E1130" s="1">
        <v>2017</v>
      </c>
      <c r="F1130" s="1" t="s">
        <v>29</v>
      </c>
      <c r="G1130" s="1" t="s">
        <v>3248</v>
      </c>
      <c r="H1130" s="1">
        <v>45</v>
      </c>
      <c r="I1130" s="1" t="s">
        <v>110</v>
      </c>
      <c r="J1130" s="1">
        <v>5.2</v>
      </c>
      <c r="K1130" s="1">
        <v>148.69999999999999</v>
      </c>
      <c r="L1130" s="1" t="s">
        <v>71</v>
      </c>
      <c r="M1130" s="1" t="s">
        <v>24</v>
      </c>
      <c r="N1130" s="1" t="s">
        <v>178</v>
      </c>
      <c r="O1130" s="1">
        <v>7</v>
      </c>
      <c r="P1130" s="1">
        <v>54</v>
      </c>
      <c r="Q1130" s="1">
        <v>325.10000000000002</v>
      </c>
      <c r="R1130" s="8" t="str">
        <f>_xlfn.IFS(J1130&gt;=8,"Hit",J1130&gt;=6,"Average",J1130&lt;6,"Flop")</f>
        <v>Flop</v>
      </c>
      <c r="S1130" s="9" t="str">
        <f>_xlfn.IFS(K1130&gt;=400,"Blockbuster",K1130&gt;=200,"Popular",K1130&lt;200,"Normal")</f>
        <v>Normal</v>
      </c>
      <c r="T1130" s="10" t="str">
        <f>IF(OR(I1130="PG",I1130="G"),"Yes","No")</f>
        <v>No</v>
      </c>
      <c r="U1130" s="11" t="str">
        <f>IF(P1130&gt;=100,"High","Low")</f>
        <v>Low</v>
      </c>
      <c r="V1130" s="28">
        <f t="shared" si="34"/>
        <v>271.10000000000002</v>
      </c>
      <c r="W1130" s="29">
        <f t="shared" si="35"/>
        <v>602.03703703703707</v>
      </c>
    </row>
    <row r="1131" spans="1:23" x14ac:dyDescent="0.3">
      <c r="A1131" s="1" t="s">
        <v>3249</v>
      </c>
      <c r="B1131" s="1" t="s">
        <v>3250</v>
      </c>
      <c r="C1131" s="1" t="s">
        <v>46</v>
      </c>
      <c r="D1131" s="1" t="s">
        <v>82</v>
      </c>
      <c r="E1131" s="1">
        <v>2000</v>
      </c>
      <c r="F1131" s="1" t="s">
        <v>38</v>
      </c>
      <c r="G1131" s="1" t="s">
        <v>3251</v>
      </c>
      <c r="H1131" s="1">
        <v>58</v>
      </c>
      <c r="I1131" s="1" t="s">
        <v>40</v>
      </c>
      <c r="J1131" s="1">
        <v>5.6</v>
      </c>
      <c r="K1131" s="1">
        <v>509</v>
      </c>
      <c r="L1131" s="1" t="s">
        <v>41</v>
      </c>
      <c r="M1131" s="1" t="s">
        <v>78</v>
      </c>
      <c r="N1131" s="1" t="s">
        <v>119</v>
      </c>
      <c r="O1131" s="1">
        <v>7</v>
      </c>
      <c r="P1131" s="1">
        <v>49</v>
      </c>
      <c r="Q1131" s="1">
        <v>187.6</v>
      </c>
      <c r="R1131" s="8" t="str">
        <f>_xlfn.IFS(J1131&gt;=8,"Hit",J1131&gt;=6,"Average",J1131&lt;6,"Flop")</f>
        <v>Flop</v>
      </c>
      <c r="S1131" s="9" t="str">
        <f>_xlfn.IFS(K1131&gt;=400,"Blockbuster",K1131&gt;=200,"Popular",K1131&lt;200,"Normal")</f>
        <v>Blockbuster</v>
      </c>
      <c r="T1131" s="10" t="str">
        <f>IF(OR(I1131="PG",I1131="G"),"Yes","No")</f>
        <v>Yes</v>
      </c>
      <c r="U1131" s="11" t="str">
        <f>IF(P1131&gt;=100,"High","Low")</f>
        <v>Low</v>
      </c>
      <c r="V1131" s="28">
        <f t="shared" si="34"/>
        <v>138.6</v>
      </c>
      <c r="W1131" s="29">
        <f t="shared" si="35"/>
        <v>382.85714285714283</v>
      </c>
    </row>
    <row r="1132" spans="1:23" x14ac:dyDescent="0.3">
      <c r="A1132" s="1" t="s">
        <v>3252</v>
      </c>
      <c r="B1132" s="1" t="s">
        <v>3253</v>
      </c>
      <c r="C1132" s="1" t="s">
        <v>18</v>
      </c>
      <c r="D1132" s="1" t="s">
        <v>117</v>
      </c>
      <c r="E1132" s="1">
        <v>2025</v>
      </c>
      <c r="F1132" s="1" t="s">
        <v>122</v>
      </c>
      <c r="G1132" s="1" t="s">
        <v>2189</v>
      </c>
      <c r="H1132" s="1">
        <v>99</v>
      </c>
      <c r="I1132" s="1" t="s">
        <v>40</v>
      </c>
      <c r="J1132" s="1">
        <v>5.3</v>
      </c>
      <c r="K1132" s="1">
        <v>544.20000000000005</v>
      </c>
      <c r="L1132" s="1" t="s">
        <v>171</v>
      </c>
      <c r="M1132" s="1" t="s">
        <v>78</v>
      </c>
      <c r="N1132" s="1" t="s">
        <v>43</v>
      </c>
      <c r="O1132" s="1"/>
      <c r="P1132" s="1">
        <v>191</v>
      </c>
      <c r="Q1132" s="1">
        <v>537.9</v>
      </c>
      <c r="R1132" s="8" t="str">
        <f>_xlfn.IFS(J1132&gt;=8,"Hit",J1132&gt;=6,"Average",J1132&lt;6,"Flop")</f>
        <v>Flop</v>
      </c>
      <c r="S1132" s="9" t="str">
        <f>_xlfn.IFS(K1132&gt;=400,"Blockbuster",K1132&gt;=200,"Popular",K1132&lt;200,"Normal")</f>
        <v>Blockbuster</v>
      </c>
      <c r="T1132" s="10" t="str">
        <f>IF(OR(I1132="PG",I1132="G"),"Yes","No")</f>
        <v>Yes</v>
      </c>
      <c r="U1132" s="11" t="str">
        <f>IF(P1132&gt;=100,"High","Low")</f>
        <v>High</v>
      </c>
      <c r="V1132" s="28">
        <f t="shared" si="34"/>
        <v>346.9</v>
      </c>
      <c r="W1132" s="29">
        <f t="shared" si="35"/>
        <v>281.62303664921467</v>
      </c>
    </row>
    <row r="1133" spans="1:23" x14ac:dyDescent="0.3">
      <c r="A1133" s="1" t="s">
        <v>3254</v>
      </c>
      <c r="B1133" s="1" t="s">
        <v>3255</v>
      </c>
      <c r="C1133" s="1" t="s">
        <v>18</v>
      </c>
      <c r="D1133" s="1" t="s">
        <v>117</v>
      </c>
      <c r="E1133" s="1">
        <v>2007</v>
      </c>
      <c r="F1133" s="1" t="s">
        <v>181</v>
      </c>
      <c r="G1133" s="1" t="s">
        <v>3256</v>
      </c>
      <c r="H1133" s="1">
        <v>178</v>
      </c>
      <c r="I1133" s="1" t="s">
        <v>50</v>
      </c>
      <c r="J1133" s="1">
        <v>6.7</v>
      </c>
      <c r="K1133" s="1">
        <v>386.6</v>
      </c>
      <c r="L1133" s="1" t="s">
        <v>23</v>
      </c>
      <c r="M1133" s="1" t="s">
        <v>132</v>
      </c>
      <c r="N1133" s="1" t="s">
        <v>128</v>
      </c>
      <c r="O1133" s="1"/>
      <c r="P1133" s="1">
        <v>143</v>
      </c>
      <c r="Q1133" s="1">
        <v>685.5</v>
      </c>
      <c r="R1133" s="8" t="str">
        <f>_xlfn.IFS(J1133&gt;=8,"Hit",J1133&gt;=6,"Average",J1133&lt;6,"Flop")</f>
        <v>Average</v>
      </c>
      <c r="S1133" s="9" t="str">
        <f>_xlfn.IFS(K1133&gt;=400,"Blockbuster",K1133&gt;=200,"Popular",K1133&lt;200,"Normal")</f>
        <v>Popular</v>
      </c>
      <c r="T1133" s="10" t="str">
        <f>IF(OR(I1133="PG",I1133="G"),"Yes","No")</f>
        <v>Yes</v>
      </c>
      <c r="U1133" s="11" t="str">
        <f>IF(P1133&gt;=100,"High","Low")</f>
        <v>High</v>
      </c>
      <c r="V1133" s="28">
        <f t="shared" si="34"/>
        <v>542.5</v>
      </c>
      <c r="W1133" s="29">
        <f t="shared" si="35"/>
        <v>479.37062937062933</v>
      </c>
    </row>
    <row r="1134" spans="1:23" x14ac:dyDescent="0.3">
      <c r="A1134" s="1" t="s">
        <v>3257</v>
      </c>
      <c r="B1134" s="1" t="s">
        <v>3258</v>
      </c>
      <c r="C1134" s="1" t="s">
        <v>18</v>
      </c>
      <c r="D1134" s="1" t="s">
        <v>37</v>
      </c>
      <c r="E1134" s="1">
        <v>2001</v>
      </c>
      <c r="F1134" s="1" t="s">
        <v>38</v>
      </c>
      <c r="G1134" s="1" t="s">
        <v>1192</v>
      </c>
      <c r="H1134" s="1">
        <v>97</v>
      </c>
      <c r="I1134" s="1" t="s">
        <v>110</v>
      </c>
      <c r="J1134" s="1">
        <v>9.3000000000000007</v>
      </c>
      <c r="K1134" s="1">
        <v>597.1</v>
      </c>
      <c r="L1134" s="1" t="s">
        <v>171</v>
      </c>
      <c r="M1134" s="1" t="s">
        <v>54</v>
      </c>
      <c r="N1134" s="1" t="s">
        <v>34</v>
      </c>
      <c r="O1134" s="1"/>
      <c r="P1134" s="1">
        <v>191</v>
      </c>
      <c r="Q1134" s="1">
        <v>1217.2</v>
      </c>
      <c r="R1134" s="8" t="str">
        <f>_xlfn.IFS(J1134&gt;=8,"Hit",J1134&gt;=6,"Average",J1134&lt;6,"Flop")</f>
        <v>Hit</v>
      </c>
      <c r="S1134" s="9" t="str">
        <f>_xlfn.IFS(K1134&gt;=400,"Blockbuster",K1134&gt;=200,"Popular",K1134&lt;200,"Normal")</f>
        <v>Blockbuster</v>
      </c>
      <c r="T1134" s="10" t="str">
        <f>IF(OR(I1134="PG",I1134="G"),"Yes","No")</f>
        <v>No</v>
      </c>
      <c r="U1134" s="11" t="str">
        <f>IF(P1134&gt;=100,"High","Low")</f>
        <v>High</v>
      </c>
      <c r="V1134" s="28">
        <f t="shared" si="34"/>
        <v>1026.2</v>
      </c>
      <c r="W1134" s="29">
        <f t="shared" si="35"/>
        <v>637.27748691099487</v>
      </c>
    </row>
    <row r="1135" spans="1:23" x14ac:dyDescent="0.3">
      <c r="A1135" s="1" t="s">
        <v>3259</v>
      </c>
      <c r="B1135" s="1" t="s">
        <v>3260</v>
      </c>
      <c r="C1135" s="1" t="s">
        <v>46</v>
      </c>
      <c r="D1135" s="1" t="s">
        <v>58</v>
      </c>
      <c r="E1135" s="1">
        <v>2020</v>
      </c>
      <c r="F1135" s="1" t="s">
        <v>181</v>
      </c>
      <c r="G1135" s="1" t="s">
        <v>3261</v>
      </c>
      <c r="H1135" s="1">
        <v>50</v>
      </c>
      <c r="I1135" s="1" t="s">
        <v>50</v>
      </c>
      <c r="J1135" s="1">
        <v>9</v>
      </c>
      <c r="K1135" s="1">
        <v>519.1</v>
      </c>
      <c r="L1135" s="1" t="s">
        <v>41</v>
      </c>
      <c r="M1135" s="1" t="s">
        <v>72</v>
      </c>
      <c r="N1135" s="1" t="s">
        <v>25</v>
      </c>
      <c r="O1135" s="1">
        <v>3</v>
      </c>
      <c r="P1135" s="1">
        <v>21</v>
      </c>
      <c r="Q1135" s="1">
        <v>82.1</v>
      </c>
      <c r="R1135" s="8" t="str">
        <f>_xlfn.IFS(J1135&gt;=8,"Hit",J1135&gt;=6,"Average",J1135&lt;6,"Flop")</f>
        <v>Hit</v>
      </c>
      <c r="S1135" s="9" t="str">
        <f>_xlfn.IFS(K1135&gt;=400,"Blockbuster",K1135&gt;=200,"Popular",K1135&lt;200,"Normal")</f>
        <v>Blockbuster</v>
      </c>
      <c r="T1135" s="10" t="str">
        <f>IF(OR(I1135="PG",I1135="G"),"Yes","No")</f>
        <v>Yes</v>
      </c>
      <c r="U1135" s="11" t="str">
        <f>IF(P1135&gt;=100,"High","Low")</f>
        <v>Low</v>
      </c>
      <c r="V1135" s="28">
        <f t="shared" si="34"/>
        <v>61.099999999999994</v>
      </c>
      <c r="W1135" s="29">
        <f t="shared" si="35"/>
        <v>390.95238095238096</v>
      </c>
    </row>
    <row r="1136" spans="1:23" x14ac:dyDescent="0.3">
      <c r="A1136" s="1" t="s">
        <v>3262</v>
      </c>
      <c r="B1136" s="1" t="s">
        <v>3263</v>
      </c>
      <c r="C1136" s="1" t="s">
        <v>46</v>
      </c>
      <c r="D1136" s="1" t="s">
        <v>94</v>
      </c>
      <c r="E1136" s="1">
        <v>2007</v>
      </c>
      <c r="F1136" s="1" t="s">
        <v>95</v>
      </c>
      <c r="G1136" s="1" t="s">
        <v>1219</v>
      </c>
      <c r="H1136" s="1">
        <v>33</v>
      </c>
      <c r="I1136" s="1" t="s">
        <v>40</v>
      </c>
      <c r="J1136" s="1">
        <v>7.8</v>
      </c>
      <c r="K1136" s="1">
        <v>97.5</v>
      </c>
      <c r="L1136" s="1" t="s">
        <v>23</v>
      </c>
      <c r="M1136" s="1" t="s">
        <v>24</v>
      </c>
      <c r="N1136" s="1" t="s">
        <v>128</v>
      </c>
      <c r="O1136" s="1">
        <v>5</v>
      </c>
      <c r="P1136" s="1">
        <v>123</v>
      </c>
      <c r="Q1136" s="1">
        <v>359.1</v>
      </c>
      <c r="R1136" s="8" t="str">
        <f>_xlfn.IFS(J1136&gt;=8,"Hit",J1136&gt;=6,"Average",J1136&lt;6,"Flop")</f>
        <v>Average</v>
      </c>
      <c r="S1136" s="9" t="str">
        <f>_xlfn.IFS(K1136&gt;=400,"Blockbuster",K1136&gt;=200,"Popular",K1136&lt;200,"Normal")</f>
        <v>Normal</v>
      </c>
      <c r="T1136" s="10" t="str">
        <f>IF(OR(I1136="PG",I1136="G"),"Yes","No")</f>
        <v>Yes</v>
      </c>
      <c r="U1136" s="11" t="str">
        <f>IF(P1136&gt;=100,"High","Low")</f>
        <v>High</v>
      </c>
      <c r="V1136" s="28">
        <f t="shared" si="34"/>
        <v>236.10000000000002</v>
      </c>
      <c r="W1136" s="29">
        <f t="shared" si="35"/>
        <v>291.95121951219517</v>
      </c>
    </row>
    <row r="1137" spans="1:23" x14ac:dyDescent="0.3">
      <c r="A1137" s="1" t="s">
        <v>3264</v>
      </c>
      <c r="B1137" s="1" t="s">
        <v>3265</v>
      </c>
      <c r="C1137" s="1" t="s">
        <v>18</v>
      </c>
      <c r="D1137" s="1" t="s">
        <v>94</v>
      </c>
      <c r="E1137" s="1">
        <v>2015</v>
      </c>
      <c r="F1137" s="1" t="s">
        <v>38</v>
      </c>
      <c r="G1137" s="1" t="s">
        <v>3266</v>
      </c>
      <c r="H1137" s="1">
        <v>90</v>
      </c>
      <c r="I1137" s="1" t="s">
        <v>22</v>
      </c>
      <c r="J1137" s="1">
        <v>5.0999999999999996</v>
      </c>
      <c r="K1137" s="1">
        <v>391.1</v>
      </c>
      <c r="L1137" s="1" t="s">
        <v>171</v>
      </c>
      <c r="M1137" s="1" t="s">
        <v>124</v>
      </c>
      <c r="N1137" s="1" t="s">
        <v>43</v>
      </c>
      <c r="O1137" s="1"/>
      <c r="P1137" s="1">
        <v>161</v>
      </c>
      <c r="Q1137" s="1">
        <v>840.7</v>
      </c>
      <c r="R1137" s="8" t="str">
        <f>_xlfn.IFS(J1137&gt;=8,"Hit",J1137&gt;=6,"Average",J1137&lt;6,"Flop")</f>
        <v>Flop</v>
      </c>
      <c r="S1137" s="9" t="str">
        <f>_xlfn.IFS(K1137&gt;=400,"Blockbuster",K1137&gt;=200,"Popular",K1137&lt;200,"Normal")</f>
        <v>Popular</v>
      </c>
      <c r="T1137" s="10" t="str">
        <f>IF(OR(I1137="PG",I1137="G"),"Yes","No")</f>
        <v>No</v>
      </c>
      <c r="U1137" s="11" t="str">
        <f>IF(P1137&gt;=100,"High","Low")</f>
        <v>High</v>
      </c>
      <c r="V1137" s="28">
        <f t="shared" si="34"/>
        <v>679.7</v>
      </c>
      <c r="W1137" s="29">
        <f t="shared" si="35"/>
        <v>522.17391304347836</v>
      </c>
    </row>
    <row r="1138" spans="1:23" x14ac:dyDescent="0.3">
      <c r="A1138" s="1" t="s">
        <v>3267</v>
      </c>
      <c r="B1138" s="1" t="s">
        <v>3268</v>
      </c>
      <c r="C1138" s="1" t="s">
        <v>18</v>
      </c>
      <c r="D1138" s="1" t="s">
        <v>47</v>
      </c>
      <c r="E1138" s="1">
        <v>2005</v>
      </c>
      <c r="F1138" s="1" t="s">
        <v>122</v>
      </c>
      <c r="G1138" s="1" t="s">
        <v>3269</v>
      </c>
      <c r="H1138" s="1">
        <v>111</v>
      </c>
      <c r="I1138" s="1" t="s">
        <v>22</v>
      </c>
      <c r="J1138" s="1">
        <v>7.3</v>
      </c>
      <c r="K1138" s="1">
        <v>174.4</v>
      </c>
      <c r="L1138" s="1" t="s">
        <v>32</v>
      </c>
      <c r="M1138" s="1" t="s">
        <v>146</v>
      </c>
      <c r="N1138" s="1" t="s">
        <v>119</v>
      </c>
      <c r="O1138" s="1"/>
      <c r="P1138" s="1">
        <v>124</v>
      </c>
      <c r="Q1138" s="1">
        <v>613</v>
      </c>
      <c r="R1138" s="8" t="str">
        <f>_xlfn.IFS(J1138&gt;=8,"Hit",J1138&gt;=6,"Average",J1138&lt;6,"Flop")</f>
        <v>Average</v>
      </c>
      <c r="S1138" s="9" t="str">
        <f>_xlfn.IFS(K1138&gt;=400,"Blockbuster",K1138&gt;=200,"Popular",K1138&lt;200,"Normal")</f>
        <v>Normal</v>
      </c>
      <c r="T1138" s="10" t="str">
        <f>IF(OR(I1138="PG",I1138="G"),"Yes","No")</f>
        <v>No</v>
      </c>
      <c r="U1138" s="11" t="str">
        <f>IF(P1138&gt;=100,"High","Low")</f>
        <v>High</v>
      </c>
      <c r="V1138" s="28">
        <f t="shared" si="34"/>
        <v>489</v>
      </c>
      <c r="W1138" s="29">
        <f t="shared" si="35"/>
        <v>494.35483870967738</v>
      </c>
    </row>
    <row r="1139" spans="1:23" x14ac:dyDescent="0.3">
      <c r="A1139" s="1" t="s">
        <v>3270</v>
      </c>
      <c r="B1139" s="1" t="s">
        <v>3271</v>
      </c>
      <c r="C1139" s="1" t="s">
        <v>46</v>
      </c>
      <c r="D1139" s="1" t="s">
        <v>63</v>
      </c>
      <c r="E1139" s="1">
        <v>2023</v>
      </c>
      <c r="F1139" s="1" t="s">
        <v>100</v>
      </c>
      <c r="G1139" s="1" t="s">
        <v>3272</v>
      </c>
      <c r="H1139" s="1">
        <v>53</v>
      </c>
      <c r="I1139" s="1" t="s">
        <v>40</v>
      </c>
      <c r="J1139" s="1">
        <v>7.4</v>
      </c>
      <c r="K1139" s="1">
        <v>129.19999999999999</v>
      </c>
      <c r="L1139" s="1" t="s">
        <v>41</v>
      </c>
      <c r="M1139" s="1" t="s">
        <v>66</v>
      </c>
      <c r="N1139" s="1" t="s">
        <v>25</v>
      </c>
      <c r="O1139" s="1">
        <v>3</v>
      </c>
      <c r="P1139" s="1">
        <v>132</v>
      </c>
      <c r="Q1139" s="1">
        <v>315.10000000000002</v>
      </c>
      <c r="R1139" s="8" t="str">
        <f>_xlfn.IFS(J1139&gt;=8,"Hit",J1139&gt;=6,"Average",J1139&lt;6,"Flop")</f>
        <v>Average</v>
      </c>
      <c r="S1139" s="9" t="str">
        <f>_xlfn.IFS(K1139&gt;=400,"Blockbuster",K1139&gt;=200,"Popular",K1139&lt;200,"Normal")</f>
        <v>Normal</v>
      </c>
      <c r="T1139" s="10" t="str">
        <f>IF(OR(I1139="PG",I1139="G"),"Yes","No")</f>
        <v>Yes</v>
      </c>
      <c r="U1139" s="11" t="str">
        <f>IF(P1139&gt;=100,"High","Low")</f>
        <v>High</v>
      </c>
      <c r="V1139" s="28">
        <f t="shared" si="34"/>
        <v>183.10000000000002</v>
      </c>
      <c r="W1139" s="29">
        <f t="shared" si="35"/>
        <v>238.71212121212122</v>
      </c>
    </row>
    <row r="1140" spans="1:23" x14ac:dyDescent="0.3">
      <c r="A1140" s="1" t="s">
        <v>3273</v>
      </c>
      <c r="B1140" s="1" t="s">
        <v>3274</v>
      </c>
      <c r="C1140" s="1" t="s">
        <v>18</v>
      </c>
      <c r="D1140" s="1" t="s">
        <v>37</v>
      </c>
      <c r="E1140" s="1">
        <v>2018</v>
      </c>
      <c r="F1140" s="1" t="s">
        <v>48</v>
      </c>
      <c r="G1140" s="1" t="s">
        <v>3275</v>
      </c>
      <c r="H1140" s="1">
        <v>149</v>
      </c>
      <c r="I1140" s="1" t="s">
        <v>110</v>
      </c>
      <c r="J1140" s="1">
        <v>8.9</v>
      </c>
      <c r="K1140" s="1">
        <v>259.60000000000002</v>
      </c>
      <c r="L1140" s="1" t="s">
        <v>41</v>
      </c>
      <c r="M1140" s="1" t="s">
        <v>146</v>
      </c>
      <c r="N1140" s="1" t="s">
        <v>91</v>
      </c>
      <c r="O1140" s="1"/>
      <c r="P1140" s="1">
        <v>198</v>
      </c>
      <c r="Q1140" s="1">
        <v>243.4</v>
      </c>
      <c r="R1140" s="8" t="str">
        <f>_xlfn.IFS(J1140&gt;=8,"Hit",J1140&gt;=6,"Average",J1140&lt;6,"Flop")</f>
        <v>Hit</v>
      </c>
      <c r="S1140" s="9" t="str">
        <f>_xlfn.IFS(K1140&gt;=400,"Blockbuster",K1140&gt;=200,"Popular",K1140&lt;200,"Normal")</f>
        <v>Popular</v>
      </c>
      <c r="T1140" s="10" t="str">
        <f>IF(OR(I1140="PG",I1140="G"),"Yes","No")</f>
        <v>No</v>
      </c>
      <c r="U1140" s="11" t="str">
        <f>IF(P1140&gt;=100,"High","Low")</f>
        <v>High</v>
      </c>
      <c r="V1140" s="28">
        <f t="shared" si="34"/>
        <v>45.400000000000006</v>
      </c>
      <c r="W1140" s="29">
        <f t="shared" si="35"/>
        <v>122.92929292929293</v>
      </c>
    </row>
    <row r="1141" spans="1:23" x14ac:dyDescent="0.3">
      <c r="A1141" s="1" t="s">
        <v>3276</v>
      </c>
      <c r="B1141" s="1" t="s">
        <v>3277</v>
      </c>
      <c r="C1141" s="1" t="s">
        <v>18</v>
      </c>
      <c r="D1141" s="1" t="s">
        <v>37</v>
      </c>
      <c r="E1141" s="1">
        <v>2017</v>
      </c>
      <c r="F1141" s="1" t="s">
        <v>181</v>
      </c>
      <c r="G1141" s="1" t="s">
        <v>1816</v>
      </c>
      <c r="H1141" s="1">
        <v>145</v>
      </c>
      <c r="I1141" s="1" t="s">
        <v>22</v>
      </c>
      <c r="J1141" s="1">
        <v>8.1</v>
      </c>
      <c r="K1141" s="1">
        <v>218.9</v>
      </c>
      <c r="L1141" s="1" t="s">
        <v>171</v>
      </c>
      <c r="M1141" s="1" t="s">
        <v>106</v>
      </c>
      <c r="N1141" s="1" t="s">
        <v>128</v>
      </c>
      <c r="O1141" s="1"/>
      <c r="P1141" s="1">
        <v>61</v>
      </c>
      <c r="Q1141" s="1">
        <v>348.7</v>
      </c>
      <c r="R1141" s="8" t="str">
        <f>_xlfn.IFS(J1141&gt;=8,"Hit",J1141&gt;=6,"Average",J1141&lt;6,"Flop")</f>
        <v>Hit</v>
      </c>
      <c r="S1141" s="9" t="str">
        <f>_xlfn.IFS(K1141&gt;=400,"Blockbuster",K1141&gt;=200,"Popular",K1141&lt;200,"Normal")</f>
        <v>Popular</v>
      </c>
      <c r="T1141" s="10" t="str">
        <f>IF(OR(I1141="PG",I1141="G"),"Yes","No")</f>
        <v>No</v>
      </c>
      <c r="U1141" s="11" t="str">
        <f>IF(P1141&gt;=100,"High","Low")</f>
        <v>Low</v>
      </c>
      <c r="V1141" s="28">
        <f t="shared" si="34"/>
        <v>287.7</v>
      </c>
      <c r="W1141" s="29">
        <f t="shared" si="35"/>
        <v>571.63934426229503</v>
      </c>
    </row>
    <row r="1142" spans="1:23" x14ac:dyDescent="0.3">
      <c r="A1142" s="1" t="s">
        <v>3278</v>
      </c>
      <c r="B1142" s="1" t="s">
        <v>3279</v>
      </c>
      <c r="C1142" s="1" t="s">
        <v>46</v>
      </c>
      <c r="D1142" s="1" t="s">
        <v>28</v>
      </c>
      <c r="E1142" s="1">
        <v>2003</v>
      </c>
      <c r="F1142" s="1" t="s">
        <v>83</v>
      </c>
      <c r="G1142" s="1" t="s">
        <v>3280</v>
      </c>
      <c r="H1142" s="1">
        <v>55</v>
      </c>
      <c r="I1142" s="1" t="s">
        <v>31</v>
      </c>
      <c r="J1142" s="1">
        <v>5.2</v>
      </c>
      <c r="K1142" s="1">
        <v>208.9</v>
      </c>
      <c r="L1142" s="1" t="s">
        <v>90</v>
      </c>
      <c r="M1142" s="1" t="s">
        <v>157</v>
      </c>
      <c r="N1142" s="1" t="s">
        <v>67</v>
      </c>
      <c r="O1142" s="1">
        <v>7</v>
      </c>
      <c r="P1142" s="1">
        <v>66</v>
      </c>
      <c r="Q1142" s="1">
        <v>257.3</v>
      </c>
      <c r="R1142" s="8" t="str">
        <f>_xlfn.IFS(J1142&gt;=8,"Hit",J1142&gt;=6,"Average",J1142&lt;6,"Flop")</f>
        <v>Flop</v>
      </c>
      <c r="S1142" s="9" t="str">
        <f>_xlfn.IFS(K1142&gt;=400,"Blockbuster",K1142&gt;=200,"Popular",K1142&lt;200,"Normal")</f>
        <v>Popular</v>
      </c>
      <c r="T1142" s="10" t="str">
        <f>IF(OR(I1142="PG",I1142="G"),"Yes","No")</f>
        <v>No</v>
      </c>
      <c r="U1142" s="11" t="str">
        <f>IF(P1142&gt;=100,"High","Low")</f>
        <v>Low</v>
      </c>
      <c r="V1142" s="28">
        <f t="shared" si="34"/>
        <v>191.3</v>
      </c>
      <c r="W1142" s="29">
        <f t="shared" si="35"/>
        <v>389.84848484848487</v>
      </c>
    </row>
    <row r="1143" spans="1:23" x14ac:dyDescent="0.3">
      <c r="A1143" s="1" t="s">
        <v>3281</v>
      </c>
      <c r="B1143" s="1" t="s">
        <v>3282</v>
      </c>
      <c r="C1143" s="1" t="s">
        <v>46</v>
      </c>
      <c r="D1143" s="1" t="s">
        <v>117</v>
      </c>
      <c r="E1143" s="1">
        <v>2012</v>
      </c>
      <c r="F1143" s="1" t="s">
        <v>95</v>
      </c>
      <c r="G1143" s="1" t="s">
        <v>3283</v>
      </c>
      <c r="H1143" s="1">
        <v>39</v>
      </c>
      <c r="I1143" s="1" t="s">
        <v>110</v>
      </c>
      <c r="J1143" s="1">
        <v>4.8</v>
      </c>
      <c r="K1143" s="1">
        <v>206.6</v>
      </c>
      <c r="L1143" s="1" t="s">
        <v>65</v>
      </c>
      <c r="M1143" s="1" t="s">
        <v>42</v>
      </c>
      <c r="N1143" s="1" t="s">
        <v>43</v>
      </c>
      <c r="O1143" s="1">
        <v>7</v>
      </c>
      <c r="P1143" s="1">
        <v>35</v>
      </c>
      <c r="Q1143" s="1">
        <v>190.4</v>
      </c>
      <c r="R1143" s="8" t="str">
        <f>_xlfn.IFS(J1143&gt;=8,"Hit",J1143&gt;=6,"Average",J1143&lt;6,"Flop")</f>
        <v>Flop</v>
      </c>
      <c r="S1143" s="9" t="str">
        <f>_xlfn.IFS(K1143&gt;=400,"Blockbuster",K1143&gt;=200,"Popular",K1143&lt;200,"Normal")</f>
        <v>Popular</v>
      </c>
      <c r="T1143" s="10" t="str">
        <f>IF(OR(I1143="PG",I1143="G"),"Yes","No")</f>
        <v>No</v>
      </c>
      <c r="U1143" s="11" t="str">
        <f>IF(P1143&gt;=100,"High","Low")</f>
        <v>Low</v>
      </c>
      <c r="V1143" s="28">
        <f t="shared" si="34"/>
        <v>155.4</v>
      </c>
      <c r="W1143" s="29">
        <f t="shared" si="35"/>
        <v>544</v>
      </c>
    </row>
    <row r="1144" spans="1:23" x14ac:dyDescent="0.3">
      <c r="A1144" s="1" t="s">
        <v>3284</v>
      </c>
      <c r="B1144" s="1" t="s">
        <v>3285</v>
      </c>
      <c r="C1144" s="1" t="s">
        <v>18</v>
      </c>
      <c r="D1144" s="1" t="s">
        <v>28</v>
      </c>
      <c r="E1144" s="1">
        <v>2018</v>
      </c>
      <c r="F1144" s="1" t="s">
        <v>181</v>
      </c>
      <c r="G1144" s="1" t="s">
        <v>3286</v>
      </c>
      <c r="H1144" s="1">
        <v>110</v>
      </c>
      <c r="I1144" s="1" t="s">
        <v>40</v>
      </c>
      <c r="J1144" s="1">
        <v>9.4</v>
      </c>
      <c r="K1144" s="1">
        <v>257.5</v>
      </c>
      <c r="L1144" s="1" t="s">
        <v>90</v>
      </c>
      <c r="M1144" s="1" t="s">
        <v>72</v>
      </c>
      <c r="N1144" s="1" t="s">
        <v>153</v>
      </c>
      <c r="O1144" s="1"/>
      <c r="P1144" s="1">
        <v>27</v>
      </c>
      <c r="Q1144" s="1">
        <v>57</v>
      </c>
      <c r="R1144" s="8" t="str">
        <f>_xlfn.IFS(J1144&gt;=8,"Hit",J1144&gt;=6,"Average",J1144&lt;6,"Flop")</f>
        <v>Hit</v>
      </c>
      <c r="S1144" s="9" t="str">
        <f>_xlfn.IFS(K1144&gt;=400,"Blockbuster",K1144&gt;=200,"Popular",K1144&lt;200,"Normal")</f>
        <v>Popular</v>
      </c>
      <c r="T1144" s="10" t="str">
        <f>IF(OR(I1144="PG",I1144="G"),"Yes","No")</f>
        <v>Yes</v>
      </c>
      <c r="U1144" s="11" t="str">
        <f>IF(P1144&gt;=100,"High","Low")</f>
        <v>Low</v>
      </c>
      <c r="V1144" s="28">
        <f t="shared" si="34"/>
        <v>30</v>
      </c>
      <c r="W1144" s="29">
        <f t="shared" si="35"/>
        <v>211.11111111111111</v>
      </c>
    </row>
    <row r="1145" spans="1:23" x14ac:dyDescent="0.3">
      <c r="A1145" s="1" t="s">
        <v>3287</v>
      </c>
      <c r="B1145" s="1" t="s">
        <v>3288</v>
      </c>
      <c r="C1145" s="1" t="s">
        <v>46</v>
      </c>
      <c r="D1145" s="1" t="s">
        <v>58</v>
      </c>
      <c r="E1145" s="1">
        <v>2008</v>
      </c>
      <c r="F1145" s="1" t="s">
        <v>76</v>
      </c>
      <c r="G1145" s="1" t="s">
        <v>3289</v>
      </c>
      <c r="H1145" s="1">
        <v>37</v>
      </c>
      <c r="I1145" s="1" t="s">
        <v>110</v>
      </c>
      <c r="J1145" s="1">
        <v>6</v>
      </c>
      <c r="K1145" s="1">
        <v>450.8</v>
      </c>
      <c r="L1145" s="1" t="s">
        <v>32</v>
      </c>
      <c r="M1145" s="1" t="s">
        <v>33</v>
      </c>
      <c r="N1145" s="1" t="s">
        <v>25</v>
      </c>
      <c r="O1145" s="1">
        <v>3</v>
      </c>
      <c r="P1145" s="1">
        <v>93</v>
      </c>
      <c r="Q1145" s="1">
        <v>374.6</v>
      </c>
      <c r="R1145" s="8" t="str">
        <f>_xlfn.IFS(J1145&gt;=8,"Hit",J1145&gt;=6,"Average",J1145&lt;6,"Flop")</f>
        <v>Average</v>
      </c>
      <c r="S1145" s="9" t="str">
        <f>_xlfn.IFS(K1145&gt;=400,"Blockbuster",K1145&gt;=200,"Popular",K1145&lt;200,"Normal")</f>
        <v>Blockbuster</v>
      </c>
      <c r="T1145" s="10" t="str">
        <f>IF(OR(I1145="PG",I1145="G"),"Yes","No")</f>
        <v>No</v>
      </c>
      <c r="U1145" s="11" t="str">
        <f>IF(P1145&gt;=100,"High","Low")</f>
        <v>Low</v>
      </c>
      <c r="V1145" s="28">
        <f t="shared" si="34"/>
        <v>281.60000000000002</v>
      </c>
      <c r="W1145" s="29">
        <f t="shared" si="35"/>
        <v>402.7956989247312</v>
      </c>
    </row>
    <row r="1146" spans="1:23" x14ac:dyDescent="0.3">
      <c r="A1146" s="1" t="s">
        <v>3290</v>
      </c>
      <c r="B1146" s="1" t="s">
        <v>3291</v>
      </c>
      <c r="C1146" s="1" t="s">
        <v>18</v>
      </c>
      <c r="D1146" s="1" t="s">
        <v>94</v>
      </c>
      <c r="E1146" s="1">
        <v>2012</v>
      </c>
      <c r="F1146" s="1" t="s">
        <v>38</v>
      </c>
      <c r="G1146" s="1" t="s">
        <v>3292</v>
      </c>
      <c r="H1146" s="1">
        <v>81</v>
      </c>
      <c r="I1146" s="1" t="s">
        <v>40</v>
      </c>
      <c r="J1146" s="1">
        <v>5.8</v>
      </c>
      <c r="K1146" s="1">
        <v>297.5</v>
      </c>
      <c r="L1146" s="1" t="s">
        <v>90</v>
      </c>
      <c r="M1146" s="1" t="s">
        <v>33</v>
      </c>
      <c r="N1146" s="1" t="s">
        <v>79</v>
      </c>
      <c r="O1146" s="1"/>
      <c r="P1146" s="1">
        <v>157</v>
      </c>
      <c r="Q1146" s="1">
        <v>829.7</v>
      </c>
      <c r="R1146" s="8" t="str">
        <f>_xlfn.IFS(J1146&gt;=8,"Hit",J1146&gt;=6,"Average",J1146&lt;6,"Flop")</f>
        <v>Flop</v>
      </c>
      <c r="S1146" s="9" t="str">
        <f>_xlfn.IFS(K1146&gt;=400,"Blockbuster",K1146&gt;=200,"Popular",K1146&lt;200,"Normal")</f>
        <v>Popular</v>
      </c>
      <c r="T1146" s="10" t="str">
        <f>IF(OR(I1146="PG",I1146="G"),"Yes","No")</f>
        <v>Yes</v>
      </c>
      <c r="U1146" s="11" t="str">
        <f>IF(P1146&gt;=100,"High","Low")</f>
        <v>High</v>
      </c>
      <c r="V1146" s="28">
        <f t="shared" si="34"/>
        <v>672.7</v>
      </c>
      <c r="W1146" s="29">
        <f t="shared" si="35"/>
        <v>528.47133757961785</v>
      </c>
    </row>
    <row r="1147" spans="1:23" x14ac:dyDescent="0.3">
      <c r="A1147" s="1" t="s">
        <v>3293</v>
      </c>
      <c r="B1147" s="1" t="s">
        <v>3294</v>
      </c>
      <c r="C1147" s="1" t="s">
        <v>18</v>
      </c>
      <c r="D1147" s="1" t="s">
        <v>37</v>
      </c>
      <c r="E1147" s="1">
        <v>2024</v>
      </c>
      <c r="F1147" s="1" t="s">
        <v>122</v>
      </c>
      <c r="G1147" s="1" t="s">
        <v>728</v>
      </c>
      <c r="H1147" s="1">
        <v>132</v>
      </c>
      <c r="I1147" s="1" t="s">
        <v>22</v>
      </c>
      <c r="J1147" s="1">
        <v>8</v>
      </c>
      <c r="K1147" s="1">
        <v>475.7</v>
      </c>
      <c r="L1147" s="1" t="s">
        <v>90</v>
      </c>
      <c r="M1147" s="1" t="s">
        <v>78</v>
      </c>
      <c r="N1147" s="1" t="s">
        <v>119</v>
      </c>
      <c r="O1147" s="1"/>
      <c r="P1147" s="1">
        <v>167</v>
      </c>
      <c r="Q1147" s="1">
        <v>483.6</v>
      </c>
      <c r="R1147" s="8" t="str">
        <f>_xlfn.IFS(J1147&gt;=8,"Hit",J1147&gt;=6,"Average",J1147&lt;6,"Flop")</f>
        <v>Hit</v>
      </c>
      <c r="S1147" s="9" t="str">
        <f>_xlfn.IFS(K1147&gt;=400,"Blockbuster",K1147&gt;=200,"Popular",K1147&lt;200,"Normal")</f>
        <v>Blockbuster</v>
      </c>
      <c r="T1147" s="10" t="str">
        <f>IF(OR(I1147="PG",I1147="G"),"Yes","No")</f>
        <v>No</v>
      </c>
      <c r="U1147" s="11" t="str">
        <f>IF(P1147&gt;=100,"High","Low")</f>
        <v>High</v>
      </c>
      <c r="V1147" s="28">
        <f t="shared" si="34"/>
        <v>316.60000000000002</v>
      </c>
      <c r="W1147" s="29">
        <f t="shared" si="35"/>
        <v>289.5808383233533</v>
      </c>
    </row>
    <row r="1148" spans="1:23" x14ac:dyDescent="0.3">
      <c r="A1148" s="1" t="s">
        <v>3295</v>
      </c>
      <c r="B1148" s="1" t="s">
        <v>3296</v>
      </c>
      <c r="C1148" s="1" t="s">
        <v>46</v>
      </c>
      <c r="D1148" s="1" t="s">
        <v>117</v>
      </c>
      <c r="E1148" s="1">
        <v>2017</v>
      </c>
      <c r="F1148" s="1" t="s">
        <v>122</v>
      </c>
      <c r="G1148" s="1" t="s">
        <v>3297</v>
      </c>
      <c r="H1148" s="1">
        <v>46</v>
      </c>
      <c r="I1148" s="1" t="s">
        <v>22</v>
      </c>
      <c r="J1148" s="1">
        <v>8.6</v>
      </c>
      <c r="K1148" s="1">
        <v>408.8</v>
      </c>
      <c r="L1148" s="1" t="s">
        <v>41</v>
      </c>
      <c r="M1148" s="1" t="s">
        <v>111</v>
      </c>
      <c r="N1148" s="1" t="s">
        <v>91</v>
      </c>
      <c r="O1148" s="1">
        <v>5</v>
      </c>
      <c r="P1148" s="1">
        <v>34</v>
      </c>
      <c r="Q1148" s="1">
        <v>172.5</v>
      </c>
      <c r="R1148" s="8" t="str">
        <f>_xlfn.IFS(J1148&gt;=8,"Hit",J1148&gt;=6,"Average",J1148&lt;6,"Flop")</f>
        <v>Hit</v>
      </c>
      <c r="S1148" s="9" t="str">
        <f>_xlfn.IFS(K1148&gt;=400,"Blockbuster",K1148&gt;=200,"Popular",K1148&lt;200,"Normal")</f>
        <v>Blockbuster</v>
      </c>
      <c r="T1148" s="10" t="str">
        <f>IF(OR(I1148="PG",I1148="G"),"Yes","No")</f>
        <v>No</v>
      </c>
      <c r="U1148" s="11" t="str">
        <f>IF(P1148&gt;=100,"High","Low")</f>
        <v>Low</v>
      </c>
      <c r="V1148" s="28">
        <f t="shared" si="34"/>
        <v>138.5</v>
      </c>
      <c r="W1148" s="29">
        <f t="shared" si="35"/>
        <v>507.35294117647055</v>
      </c>
    </row>
    <row r="1149" spans="1:23" x14ac:dyDescent="0.3">
      <c r="A1149" s="1" t="s">
        <v>3298</v>
      </c>
      <c r="B1149" s="1" t="s">
        <v>3299</v>
      </c>
      <c r="C1149" s="1" t="s">
        <v>18</v>
      </c>
      <c r="D1149" s="1" t="s">
        <v>75</v>
      </c>
      <c r="E1149" s="1">
        <v>2016</v>
      </c>
      <c r="F1149" s="1" t="s">
        <v>29</v>
      </c>
      <c r="G1149" s="1" t="s">
        <v>3300</v>
      </c>
      <c r="H1149" s="1">
        <v>155</v>
      </c>
      <c r="I1149" s="1" t="s">
        <v>22</v>
      </c>
      <c r="J1149" s="1">
        <v>7</v>
      </c>
      <c r="K1149" s="1">
        <v>403</v>
      </c>
      <c r="L1149" s="1" t="s">
        <v>90</v>
      </c>
      <c r="M1149" s="1" t="s">
        <v>124</v>
      </c>
      <c r="N1149" s="1" t="s">
        <v>67</v>
      </c>
      <c r="O1149" s="1"/>
      <c r="P1149" s="1">
        <v>126</v>
      </c>
      <c r="Q1149" s="1">
        <v>538.4</v>
      </c>
      <c r="R1149" s="8" t="str">
        <f>_xlfn.IFS(J1149&gt;=8,"Hit",J1149&gt;=6,"Average",J1149&lt;6,"Flop")</f>
        <v>Average</v>
      </c>
      <c r="S1149" s="9" t="str">
        <f>_xlfn.IFS(K1149&gt;=400,"Blockbuster",K1149&gt;=200,"Popular",K1149&lt;200,"Normal")</f>
        <v>Blockbuster</v>
      </c>
      <c r="T1149" s="10" t="str">
        <f>IF(OR(I1149="PG",I1149="G"),"Yes","No")</f>
        <v>No</v>
      </c>
      <c r="U1149" s="11" t="str">
        <f>IF(P1149&gt;=100,"High","Low")</f>
        <v>High</v>
      </c>
      <c r="V1149" s="28">
        <f t="shared" si="34"/>
        <v>412.4</v>
      </c>
      <c r="W1149" s="29">
        <f t="shared" si="35"/>
        <v>427.30158730158729</v>
      </c>
    </row>
    <row r="1150" spans="1:23" x14ac:dyDescent="0.3">
      <c r="A1150" s="1" t="s">
        <v>3301</v>
      </c>
      <c r="B1150" s="1" t="s">
        <v>3302</v>
      </c>
      <c r="C1150" s="1" t="s">
        <v>46</v>
      </c>
      <c r="D1150" s="1" t="s">
        <v>28</v>
      </c>
      <c r="E1150" s="1">
        <v>2004</v>
      </c>
      <c r="F1150" s="1" t="s">
        <v>83</v>
      </c>
      <c r="G1150" s="1" t="s">
        <v>3303</v>
      </c>
      <c r="H1150" s="1">
        <v>30</v>
      </c>
      <c r="I1150" s="1" t="s">
        <v>40</v>
      </c>
      <c r="J1150" s="1">
        <v>6.8</v>
      </c>
      <c r="K1150" s="1">
        <v>463.9</v>
      </c>
      <c r="L1150" s="1" t="s">
        <v>65</v>
      </c>
      <c r="M1150" s="1" t="s">
        <v>157</v>
      </c>
      <c r="N1150" s="1" t="s">
        <v>25</v>
      </c>
      <c r="O1150" s="1">
        <v>8</v>
      </c>
      <c r="P1150" s="1">
        <v>73</v>
      </c>
      <c r="Q1150" s="1">
        <v>158.5</v>
      </c>
      <c r="R1150" s="8" t="str">
        <f>_xlfn.IFS(J1150&gt;=8,"Hit",J1150&gt;=6,"Average",J1150&lt;6,"Flop")</f>
        <v>Average</v>
      </c>
      <c r="S1150" s="9" t="str">
        <f>_xlfn.IFS(K1150&gt;=400,"Blockbuster",K1150&gt;=200,"Popular",K1150&lt;200,"Normal")</f>
        <v>Blockbuster</v>
      </c>
      <c r="T1150" s="10" t="str">
        <f>IF(OR(I1150="PG",I1150="G"),"Yes","No")</f>
        <v>Yes</v>
      </c>
      <c r="U1150" s="11" t="str">
        <f>IF(P1150&gt;=100,"High","Low")</f>
        <v>Low</v>
      </c>
      <c r="V1150" s="28">
        <f t="shared" si="34"/>
        <v>85.5</v>
      </c>
      <c r="W1150" s="29">
        <f t="shared" si="35"/>
        <v>217.12328767123287</v>
      </c>
    </row>
    <row r="1151" spans="1:23" x14ac:dyDescent="0.3">
      <c r="A1151" s="1" t="s">
        <v>3304</v>
      </c>
      <c r="B1151" s="1" t="s">
        <v>3305</v>
      </c>
      <c r="C1151" s="1" t="s">
        <v>18</v>
      </c>
      <c r="D1151" s="1" t="s">
        <v>63</v>
      </c>
      <c r="E1151" s="1">
        <v>2008</v>
      </c>
      <c r="F1151" s="1" t="s">
        <v>76</v>
      </c>
      <c r="G1151" s="1" t="s">
        <v>3306</v>
      </c>
      <c r="H1151" s="1">
        <v>112</v>
      </c>
      <c r="I1151" s="1" t="s">
        <v>50</v>
      </c>
      <c r="J1151" s="1">
        <v>7.5</v>
      </c>
      <c r="K1151" s="1">
        <v>183.3</v>
      </c>
      <c r="L1151" s="1" t="s">
        <v>41</v>
      </c>
      <c r="M1151" s="1" t="s">
        <v>85</v>
      </c>
      <c r="N1151" s="1" t="s">
        <v>67</v>
      </c>
      <c r="O1151" s="1"/>
      <c r="P1151" s="1">
        <v>91</v>
      </c>
      <c r="Q1151" s="1">
        <v>430.7</v>
      </c>
      <c r="R1151" s="8" t="str">
        <f>_xlfn.IFS(J1151&gt;=8,"Hit",J1151&gt;=6,"Average",J1151&lt;6,"Flop")</f>
        <v>Average</v>
      </c>
      <c r="S1151" s="9" t="str">
        <f>_xlfn.IFS(K1151&gt;=400,"Blockbuster",K1151&gt;=200,"Popular",K1151&lt;200,"Normal")</f>
        <v>Normal</v>
      </c>
      <c r="T1151" s="10" t="str">
        <f>IF(OR(I1151="PG",I1151="G"),"Yes","No")</f>
        <v>Yes</v>
      </c>
      <c r="U1151" s="11" t="str">
        <f>IF(P1151&gt;=100,"High","Low")</f>
        <v>Low</v>
      </c>
      <c r="V1151" s="28">
        <f t="shared" si="34"/>
        <v>339.7</v>
      </c>
      <c r="W1151" s="29">
        <f t="shared" si="35"/>
        <v>473.2967032967033</v>
      </c>
    </row>
    <row r="1152" spans="1:23" x14ac:dyDescent="0.3">
      <c r="A1152" s="1" t="s">
        <v>3307</v>
      </c>
      <c r="B1152" s="1" t="s">
        <v>3308</v>
      </c>
      <c r="C1152" s="1" t="s">
        <v>46</v>
      </c>
      <c r="D1152" s="1" t="s">
        <v>141</v>
      </c>
      <c r="E1152" s="1">
        <v>2015</v>
      </c>
      <c r="F1152" s="1" t="s">
        <v>122</v>
      </c>
      <c r="G1152" s="1" t="s">
        <v>3309</v>
      </c>
      <c r="H1152" s="1">
        <v>59</v>
      </c>
      <c r="I1152" s="1" t="s">
        <v>31</v>
      </c>
      <c r="J1152" s="1">
        <v>8.1999999999999993</v>
      </c>
      <c r="K1152" s="1">
        <v>286.60000000000002</v>
      </c>
      <c r="L1152" s="1" t="s">
        <v>71</v>
      </c>
      <c r="M1152" s="1" t="s">
        <v>42</v>
      </c>
      <c r="N1152" s="1" t="s">
        <v>153</v>
      </c>
      <c r="O1152" s="1">
        <v>5</v>
      </c>
      <c r="P1152" s="1">
        <v>52</v>
      </c>
      <c r="Q1152" s="1">
        <v>144.4</v>
      </c>
      <c r="R1152" s="8" t="str">
        <f>_xlfn.IFS(J1152&gt;=8,"Hit",J1152&gt;=6,"Average",J1152&lt;6,"Flop")</f>
        <v>Hit</v>
      </c>
      <c r="S1152" s="9" t="str">
        <f>_xlfn.IFS(K1152&gt;=400,"Blockbuster",K1152&gt;=200,"Popular",K1152&lt;200,"Normal")</f>
        <v>Popular</v>
      </c>
      <c r="T1152" s="10" t="str">
        <f>IF(OR(I1152="PG",I1152="G"),"Yes","No")</f>
        <v>No</v>
      </c>
      <c r="U1152" s="11" t="str">
        <f>IF(P1152&gt;=100,"High","Low")</f>
        <v>Low</v>
      </c>
      <c r="V1152" s="28">
        <f t="shared" si="34"/>
        <v>92.4</v>
      </c>
      <c r="W1152" s="29">
        <f t="shared" si="35"/>
        <v>277.69230769230768</v>
      </c>
    </row>
    <row r="1153" spans="1:23" x14ac:dyDescent="0.3">
      <c r="A1153" s="1" t="s">
        <v>3310</v>
      </c>
      <c r="B1153" s="1" t="s">
        <v>3311</v>
      </c>
      <c r="C1153" s="1" t="s">
        <v>46</v>
      </c>
      <c r="D1153" s="1" t="s">
        <v>94</v>
      </c>
      <c r="E1153" s="1">
        <v>2020</v>
      </c>
      <c r="F1153" s="1" t="s">
        <v>38</v>
      </c>
      <c r="G1153" s="1" t="s">
        <v>3312</v>
      </c>
      <c r="H1153" s="1">
        <v>48</v>
      </c>
      <c r="I1153" s="1" t="s">
        <v>22</v>
      </c>
      <c r="J1153" s="1">
        <v>9.5</v>
      </c>
      <c r="K1153" s="1">
        <v>65</v>
      </c>
      <c r="L1153" s="1" t="s">
        <v>23</v>
      </c>
      <c r="M1153" s="1" t="s">
        <v>106</v>
      </c>
      <c r="N1153" s="1" t="s">
        <v>43</v>
      </c>
      <c r="O1153" s="1">
        <v>1</v>
      </c>
      <c r="P1153" s="1">
        <v>55</v>
      </c>
      <c r="Q1153" s="1">
        <v>297.3</v>
      </c>
      <c r="R1153" s="8" t="str">
        <f>_xlfn.IFS(J1153&gt;=8,"Hit",J1153&gt;=6,"Average",J1153&lt;6,"Flop")</f>
        <v>Hit</v>
      </c>
      <c r="S1153" s="9" t="str">
        <f>_xlfn.IFS(K1153&gt;=400,"Blockbuster",K1153&gt;=200,"Popular",K1153&lt;200,"Normal")</f>
        <v>Normal</v>
      </c>
      <c r="T1153" s="10" t="str">
        <f>IF(OR(I1153="PG",I1153="G"),"Yes","No")</f>
        <v>No</v>
      </c>
      <c r="U1153" s="11" t="str">
        <f>IF(P1153&gt;=100,"High","Low")</f>
        <v>Low</v>
      </c>
      <c r="V1153" s="28">
        <f t="shared" si="34"/>
        <v>242.3</v>
      </c>
      <c r="W1153" s="29">
        <f t="shared" si="35"/>
        <v>540.5454545454545</v>
      </c>
    </row>
    <row r="1154" spans="1:23" x14ac:dyDescent="0.3">
      <c r="A1154" s="1" t="s">
        <v>3313</v>
      </c>
      <c r="B1154" s="1" t="s">
        <v>3314</v>
      </c>
      <c r="C1154" s="1" t="s">
        <v>46</v>
      </c>
      <c r="D1154" s="1" t="s">
        <v>58</v>
      </c>
      <c r="E1154" s="1">
        <v>2005</v>
      </c>
      <c r="F1154" s="1" t="s">
        <v>29</v>
      </c>
      <c r="G1154" s="1" t="s">
        <v>591</v>
      </c>
      <c r="H1154" s="1">
        <v>31</v>
      </c>
      <c r="I1154" s="1" t="s">
        <v>50</v>
      </c>
      <c r="J1154" s="1">
        <v>6.3</v>
      </c>
      <c r="K1154" s="1">
        <v>18.5</v>
      </c>
      <c r="L1154" s="1" t="s">
        <v>41</v>
      </c>
      <c r="M1154" s="1" t="s">
        <v>157</v>
      </c>
      <c r="N1154" s="1" t="s">
        <v>25</v>
      </c>
      <c r="O1154" s="1">
        <v>6</v>
      </c>
      <c r="P1154" s="1">
        <v>59</v>
      </c>
      <c r="Q1154" s="1">
        <v>296.8</v>
      </c>
      <c r="R1154" s="8" t="str">
        <f>_xlfn.IFS(J1154&gt;=8,"Hit",J1154&gt;=6,"Average",J1154&lt;6,"Flop")</f>
        <v>Average</v>
      </c>
      <c r="S1154" s="9" t="str">
        <f>_xlfn.IFS(K1154&gt;=400,"Blockbuster",K1154&gt;=200,"Popular",K1154&lt;200,"Normal")</f>
        <v>Normal</v>
      </c>
      <c r="T1154" s="10" t="str">
        <f>IF(OR(I1154="PG",I1154="G"),"Yes","No")</f>
        <v>Yes</v>
      </c>
      <c r="U1154" s="11" t="str">
        <f>IF(P1154&gt;=100,"High","Low")</f>
        <v>Low</v>
      </c>
      <c r="V1154" s="28">
        <f t="shared" si="34"/>
        <v>237.8</v>
      </c>
      <c r="W1154" s="29">
        <f t="shared" si="35"/>
        <v>503.05084745762719</v>
      </c>
    </row>
    <row r="1155" spans="1:23" x14ac:dyDescent="0.3">
      <c r="A1155" s="1" t="s">
        <v>3315</v>
      </c>
      <c r="B1155" s="1" t="s">
        <v>3316</v>
      </c>
      <c r="C1155" s="1" t="s">
        <v>46</v>
      </c>
      <c r="D1155" s="1" t="s">
        <v>75</v>
      </c>
      <c r="E1155" s="1">
        <v>2025</v>
      </c>
      <c r="F1155" s="1" t="s">
        <v>29</v>
      </c>
      <c r="G1155" s="1" t="s">
        <v>3317</v>
      </c>
      <c r="H1155" s="1">
        <v>31</v>
      </c>
      <c r="I1155" s="1" t="s">
        <v>50</v>
      </c>
      <c r="J1155" s="1">
        <v>6.9</v>
      </c>
      <c r="K1155" s="1">
        <v>154.6</v>
      </c>
      <c r="L1155" s="1" t="s">
        <v>23</v>
      </c>
      <c r="M1155" s="1" t="s">
        <v>124</v>
      </c>
      <c r="N1155" s="1" t="s">
        <v>34</v>
      </c>
      <c r="O1155" s="1">
        <v>4</v>
      </c>
      <c r="P1155" s="1">
        <v>169</v>
      </c>
      <c r="Q1155" s="1">
        <v>706.2</v>
      </c>
      <c r="R1155" s="8" t="str">
        <f>_xlfn.IFS(J1155&gt;=8,"Hit",J1155&gt;=6,"Average",J1155&lt;6,"Flop")</f>
        <v>Average</v>
      </c>
      <c r="S1155" s="9" t="str">
        <f>_xlfn.IFS(K1155&gt;=400,"Blockbuster",K1155&gt;=200,"Popular",K1155&lt;200,"Normal")</f>
        <v>Normal</v>
      </c>
      <c r="T1155" s="10" t="str">
        <f>IF(OR(I1155="PG",I1155="G"),"Yes","No")</f>
        <v>Yes</v>
      </c>
      <c r="U1155" s="11" t="str">
        <f>IF(P1155&gt;=100,"High","Low")</f>
        <v>High</v>
      </c>
      <c r="V1155" s="28">
        <f t="shared" ref="V1155:V1218" si="36">Q1155-P1155</f>
        <v>537.20000000000005</v>
      </c>
      <c r="W1155" s="29">
        <f t="shared" ref="W1155:W1218" si="37">(Q1155/P1155)*100</f>
        <v>417.86982248520712</v>
      </c>
    </row>
    <row r="1156" spans="1:23" x14ac:dyDescent="0.3">
      <c r="A1156" s="1" t="s">
        <v>3318</v>
      </c>
      <c r="B1156" s="1" t="s">
        <v>3319</v>
      </c>
      <c r="C1156" s="1" t="s">
        <v>46</v>
      </c>
      <c r="D1156" s="1" t="s">
        <v>94</v>
      </c>
      <c r="E1156" s="1">
        <v>2019</v>
      </c>
      <c r="F1156" s="1" t="s">
        <v>29</v>
      </c>
      <c r="G1156" s="1" t="s">
        <v>3320</v>
      </c>
      <c r="H1156" s="1">
        <v>56</v>
      </c>
      <c r="I1156" s="1" t="s">
        <v>110</v>
      </c>
      <c r="J1156" s="1">
        <v>8.1</v>
      </c>
      <c r="K1156" s="1">
        <v>265.8</v>
      </c>
      <c r="L1156" s="1" t="s">
        <v>90</v>
      </c>
      <c r="M1156" s="1" t="s">
        <v>72</v>
      </c>
      <c r="N1156" s="1" t="s">
        <v>153</v>
      </c>
      <c r="O1156" s="1">
        <v>6</v>
      </c>
      <c r="P1156" s="1">
        <v>84</v>
      </c>
      <c r="Q1156" s="1">
        <v>117.7</v>
      </c>
      <c r="R1156" s="8" t="str">
        <f>_xlfn.IFS(J1156&gt;=8,"Hit",J1156&gt;=6,"Average",J1156&lt;6,"Flop")</f>
        <v>Hit</v>
      </c>
      <c r="S1156" s="9" t="str">
        <f>_xlfn.IFS(K1156&gt;=400,"Blockbuster",K1156&gt;=200,"Popular",K1156&lt;200,"Normal")</f>
        <v>Popular</v>
      </c>
      <c r="T1156" s="10" t="str">
        <f>IF(OR(I1156="PG",I1156="G"),"Yes","No")</f>
        <v>No</v>
      </c>
      <c r="U1156" s="11" t="str">
        <f>IF(P1156&gt;=100,"High","Low")</f>
        <v>Low</v>
      </c>
      <c r="V1156" s="28">
        <f t="shared" si="36"/>
        <v>33.700000000000003</v>
      </c>
      <c r="W1156" s="29">
        <f t="shared" si="37"/>
        <v>140.11904761904762</v>
      </c>
    </row>
    <row r="1157" spans="1:23" x14ac:dyDescent="0.3">
      <c r="A1157" s="1" t="s">
        <v>3321</v>
      </c>
      <c r="B1157" s="1" t="s">
        <v>3322</v>
      </c>
      <c r="C1157" s="1" t="s">
        <v>18</v>
      </c>
      <c r="D1157" s="1" t="s">
        <v>117</v>
      </c>
      <c r="E1157" s="1">
        <v>2009</v>
      </c>
      <c r="F1157" s="1" t="s">
        <v>83</v>
      </c>
      <c r="G1157" s="1" t="s">
        <v>2467</v>
      </c>
      <c r="H1157" s="1">
        <v>88</v>
      </c>
      <c r="I1157" s="1" t="s">
        <v>40</v>
      </c>
      <c r="J1157" s="1">
        <v>8.3000000000000007</v>
      </c>
      <c r="K1157" s="1">
        <v>342</v>
      </c>
      <c r="L1157" s="1" t="s">
        <v>90</v>
      </c>
      <c r="M1157" s="1" t="s">
        <v>54</v>
      </c>
      <c r="N1157" s="1" t="s">
        <v>102</v>
      </c>
      <c r="O1157" s="1"/>
      <c r="P1157" s="1">
        <v>111</v>
      </c>
      <c r="Q1157" s="1">
        <v>297.39999999999998</v>
      </c>
      <c r="R1157" s="8" t="str">
        <f>_xlfn.IFS(J1157&gt;=8,"Hit",J1157&gt;=6,"Average",J1157&lt;6,"Flop")</f>
        <v>Hit</v>
      </c>
      <c r="S1157" s="9" t="str">
        <f>_xlfn.IFS(K1157&gt;=400,"Blockbuster",K1157&gt;=200,"Popular",K1157&lt;200,"Normal")</f>
        <v>Popular</v>
      </c>
      <c r="T1157" s="10" t="str">
        <f>IF(OR(I1157="PG",I1157="G"),"Yes","No")</f>
        <v>Yes</v>
      </c>
      <c r="U1157" s="11" t="str">
        <f>IF(P1157&gt;=100,"High","Low")</f>
        <v>High</v>
      </c>
      <c r="V1157" s="28">
        <f t="shared" si="36"/>
        <v>186.39999999999998</v>
      </c>
      <c r="W1157" s="29">
        <f t="shared" si="37"/>
        <v>267.9279279279279</v>
      </c>
    </row>
    <row r="1158" spans="1:23" x14ac:dyDescent="0.3">
      <c r="A1158" s="1" t="s">
        <v>3323</v>
      </c>
      <c r="B1158" s="1" t="s">
        <v>3324</v>
      </c>
      <c r="C1158" s="1" t="s">
        <v>46</v>
      </c>
      <c r="D1158" s="1" t="s">
        <v>28</v>
      </c>
      <c r="E1158" s="1">
        <v>2025</v>
      </c>
      <c r="F1158" s="1" t="s">
        <v>20</v>
      </c>
      <c r="G1158" s="1" t="s">
        <v>3325</v>
      </c>
      <c r="H1158" s="1">
        <v>47</v>
      </c>
      <c r="I1158" s="1" t="s">
        <v>31</v>
      </c>
      <c r="J1158" s="1">
        <v>8.5</v>
      </c>
      <c r="K1158" s="1">
        <v>90</v>
      </c>
      <c r="L1158" s="1" t="s">
        <v>23</v>
      </c>
      <c r="M1158" s="1" t="s">
        <v>33</v>
      </c>
      <c r="N1158" s="1" t="s">
        <v>34</v>
      </c>
      <c r="O1158" s="1">
        <v>1</v>
      </c>
      <c r="P1158" s="1">
        <v>59</v>
      </c>
      <c r="Q1158" s="1">
        <v>75.400000000000006</v>
      </c>
      <c r="R1158" s="8" t="str">
        <f>_xlfn.IFS(J1158&gt;=8,"Hit",J1158&gt;=6,"Average",J1158&lt;6,"Flop")</f>
        <v>Hit</v>
      </c>
      <c r="S1158" s="9" t="str">
        <f>_xlfn.IFS(K1158&gt;=400,"Blockbuster",K1158&gt;=200,"Popular",K1158&lt;200,"Normal")</f>
        <v>Normal</v>
      </c>
      <c r="T1158" s="10" t="str">
        <f>IF(OR(I1158="PG",I1158="G"),"Yes","No")</f>
        <v>No</v>
      </c>
      <c r="U1158" s="11" t="str">
        <f>IF(P1158&gt;=100,"High","Low")</f>
        <v>Low</v>
      </c>
      <c r="V1158" s="28">
        <f t="shared" si="36"/>
        <v>16.400000000000006</v>
      </c>
      <c r="W1158" s="29">
        <f t="shared" si="37"/>
        <v>127.79661016949153</v>
      </c>
    </row>
    <row r="1159" spans="1:23" x14ac:dyDescent="0.3">
      <c r="A1159" s="1" t="s">
        <v>3326</v>
      </c>
      <c r="B1159" s="1" t="s">
        <v>3327</v>
      </c>
      <c r="C1159" s="1" t="s">
        <v>46</v>
      </c>
      <c r="D1159" s="1" t="s">
        <v>47</v>
      </c>
      <c r="E1159" s="1">
        <v>2011</v>
      </c>
      <c r="F1159" s="1" t="s">
        <v>122</v>
      </c>
      <c r="G1159" s="1" t="s">
        <v>185</v>
      </c>
      <c r="H1159" s="1">
        <v>55</v>
      </c>
      <c r="I1159" s="1" t="s">
        <v>40</v>
      </c>
      <c r="J1159" s="1">
        <v>7.7</v>
      </c>
      <c r="K1159" s="1">
        <v>140.6</v>
      </c>
      <c r="L1159" s="1" t="s">
        <v>90</v>
      </c>
      <c r="M1159" s="1" t="s">
        <v>54</v>
      </c>
      <c r="N1159" s="1" t="s">
        <v>153</v>
      </c>
      <c r="O1159" s="1">
        <v>3</v>
      </c>
      <c r="P1159" s="1">
        <v>41</v>
      </c>
      <c r="Q1159" s="1">
        <v>258</v>
      </c>
      <c r="R1159" s="8" t="str">
        <f>_xlfn.IFS(J1159&gt;=8,"Hit",J1159&gt;=6,"Average",J1159&lt;6,"Flop")</f>
        <v>Average</v>
      </c>
      <c r="S1159" s="9" t="str">
        <f>_xlfn.IFS(K1159&gt;=400,"Blockbuster",K1159&gt;=200,"Popular",K1159&lt;200,"Normal")</f>
        <v>Normal</v>
      </c>
      <c r="T1159" s="10" t="str">
        <f>IF(OR(I1159="PG",I1159="G"),"Yes","No")</f>
        <v>Yes</v>
      </c>
      <c r="U1159" s="11" t="str">
        <f>IF(P1159&gt;=100,"High","Low")</f>
        <v>Low</v>
      </c>
      <c r="V1159" s="28">
        <f t="shared" si="36"/>
        <v>217</v>
      </c>
      <c r="W1159" s="29">
        <f t="shared" si="37"/>
        <v>629.26829268292681</v>
      </c>
    </row>
    <row r="1160" spans="1:23" x14ac:dyDescent="0.3">
      <c r="A1160" s="1" t="s">
        <v>3328</v>
      </c>
      <c r="B1160" s="1" t="s">
        <v>3329</v>
      </c>
      <c r="C1160" s="1" t="s">
        <v>46</v>
      </c>
      <c r="D1160" s="1" t="s">
        <v>141</v>
      </c>
      <c r="E1160" s="1">
        <v>2004</v>
      </c>
      <c r="F1160" s="1" t="s">
        <v>83</v>
      </c>
      <c r="G1160" s="1" t="s">
        <v>1497</v>
      </c>
      <c r="H1160" s="1">
        <v>57</v>
      </c>
      <c r="I1160" s="1" t="s">
        <v>50</v>
      </c>
      <c r="J1160" s="1">
        <v>5.7</v>
      </c>
      <c r="K1160" s="1">
        <v>244.3</v>
      </c>
      <c r="L1160" s="1" t="s">
        <v>65</v>
      </c>
      <c r="M1160" s="1" t="s">
        <v>66</v>
      </c>
      <c r="N1160" s="1" t="s">
        <v>158</v>
      </c>
      <c r="O1160" s="1">
        <v>6</v>
      </c>
      <c r="P1160" s="1">
        <v>152</v>
      </c>
      <c r="Q1160" s="1">
        <v>756.7</v>
      </c>
      <c r="R1160" s="8" t="str">
        <f>_xlfn.IFS(J1160&gt;=8,"Hit",J1160&gt;=6,"Average",J1160&lt;6,"Flop")</f>
        <v>Flop</v>
      </c>
      <c r="S1160" s="9" t="str">
        <f>_xlfn.IFS(K1160&gt;=400,"Blockbuster",K1160&gt;=200,"Popular",K1160&lt;200,"Normal")</f>
        <v>Popular</v>
      </c>
      <c r="T1160" s="10" t="str">
        <f>IF(OR(I1160="PG",I1160="G"),"Yes","No")</f>
        <v>Yes</v>
      </c>
      <c r="U1160" s="11" t="str">
        <f>IF(P1160&gt;=100,"High","Low")</f>
        <v>High</v>
      </c>
      <c r="V1160" s="28">
        <f t="shared" si="36"/>
        <v>604.70000000000005</v>
      </c>
      <c r="W1160" s="29">
        <f t="shared" si="37"/>
        <v>497.8289473684211</v>
      </c>
    </row>
    <row r="1161" spans="1:23" x14ac:dyDescent="0.3">
      <c r="A1161" s="1" t="s">
        <v>3330</v>
      </c>
      <c r="B1161" s="1" t="s">
        <v>3331</v>
      </c>
      <c r="C1161" s="1" t="s">
        <v>46</v>
      </c>
      <c r="D1161" s="1" t="s">
        <v>28</v>
      </c>
      <c r="E1161" s="1">
        <v>2025</v>
      </c>
      <c r="F1161" s="1" t="s">
        <v>20</v>
      </c>
      <c r="G1161" s="1" t="s">
        <v>3332</v>
      </c>
      <c r="H1161" s="1">
        <v>53</v>
      </c>
      <c r="I1161" s="1" t="s">
        <v>50</v>
      </c>
      <c r="J1161" s="1">
        <v>8.8000000000000007</v>
      </c>
      <c r="K1161" s="1">
        <v>555.79999999999995</v>
      </c>
      <c r="L1161" s="1" t="s">
        <v>171</v>
      </c>
      <c r="M1161" s="1" t="s">
        <v>85</v>
      </c>
      <c r="N1161" s="1" t="s">
        <v>60</v>
      </c>
      <c r="O1161" s="1">
        <v>6</v>
      </c>
      <c r="P1161" s="1">
        <v>7</v>
      </c>
      <c r="Q1161" s="1">
        <v>30.5</v>
      </c>
      <c r="R1161" s="8" t="str">
        <f>_xlfn.IFS(J1161&gt;=8,"Hit",J1161&gt;=6,"Average",J1161&lt;6,"Flop")</f>
        <v>Hit</v>
      </c>
      <c r="S1161" s="9" t="str">
        <f>_xlfn.IFS(K1161&gt;=400,"Blockbuster",K1161&gt;=200,"Popular",K1161&lt;200,"Normal")</f>
        <v>Blockbuster</v>
      </c>
      <c r="T1161" s="10" t="str">
        <f>IF(OR(I1161="PG",I1161="G"),"Yes","No")</f>
        <v>Yes</v>
      </c>
      <c r="U1161" s="11" t="str">
        <f>IF(P1161&gt;=100,"High","Low")</f>
        <v>Low</v>
      </c>
      <c r="V1161" s="28">
        <f t="shared" si="36"/>
        <v>23.5</v>
      </c>
      <c r="W1161" s="29">
        <f t="shared" si="37"/>
        <v>435.71428571428567</v>
      </c>
    </row>
    <row r="1162" spans="1:23" x14ac:dyDescent="0.3">
      <c r="A1162" s="1" t="s">
        <v>3333</v>
      </c>
      <c r="B1162" s="1" t="s">
        <v>3334</v>
      </c>
      <c r="C1162" s="1" t="s">
        <v>18</v>
      </c>
      <c r="D1162" s="1" t="s">
        <v>28</v>
      </c>
      <c r="E1162" s="1">
        <v>2008</v>
      </c>
      <c r="F1162" s="1" t="s">
        <v>38</v>
      </c>
      <c r="G1162" s="1" t="s">
        <v>3335</v>
      </c>
      <c r="H1162" s="1">
        <v>92</v>
      </c>
      <c r="I1162" s="1" t="s">
        <v>40</v>
      </c>
      <c r="J1162" s="1">
        <v>8.5</v>
      </c>
      <c r="K1162" s="1">
        <v>12.8</v>
      </c>
      <c r="L1162" s="1" t="s">
        <v>41</v>
      </c>
      <c r="M1162" s="1" t="s">
        <v>157</v>
      </c>
      <c r="N1162" s="1" t="s">
        <v>128</v>
      </c>
      <c r="O1162" s="1"/>
      <c r="P1162" s="1">
        <v>173</v>
      </c>
      <c r="Q1162" s="1">
        <v>374.3</v>
      </c>
      <c r="R1162" s="8" t="str">
        <f>_xlfn.IFS(J1162&gt;=8,"Hit",J1162&gt;=6,"Average",J1162&lt;6,"Flop")</f>
        <v>Hit</v>
      </c>
      <c r="S1162" s="9" t="str">
        <f>_xlfn.IFS(K1162&gt;=400,"Blockbuster",K1162&gt;=200,"Popular",K1162&lt;200,"Normal")</f>
        <v>Normal</v>
      </c>
      <c r="T1162" s="10" t="str">
        <f>IF(OR(I1162="PG",I1162="G"),"Yes","No")</f>
        <v>Yes</v>
      </c>
      <c r="U1162" s="11" t="str">
        <f>IF(P1162&gt;=100,"High","Low")</f>
        <v>High</v>
      </c>
      <c r="V1162" s="28">
        <f t="shared" si="36"/>
        <v>201.3</v>
      </c>
      <c r="W1162" s="29">
        <f t="shared" si="37"/>
        <v>216.35838150289018</v>
      </c>
    </row>
    <row r="1163" spans="1:23" x14ac:dyDescent="0.3">
      <c r="A1163" s="1" t="s">
        <v>3336</v>
      </c>
      <c r="B1163" s="1" t="s">
        <v>3337</v>
      </c>
      <c r="C1163" s="1" t="s">
        <v>18</v>
      </c>
      <c r="D1163" s="1" t="s">
        <v>94</v>
      </c>
      <c r="E1163" s="1">
        <v>2014</v>
      </c>
      <c r="F1163" s="1" t="s">
        <v>122</v>
      </c>
      <c r="G1163" s="1" t="s">
        <v>843</v>
      </c>
      <c r="H1163" s="1">
        <v>151</v>
      </c>
      <c r="I1163" s="1" t="s">
        <v>110</v>
      </c>
      <c r="J1163" s="1">
        <v>8.1</v>
      </c>
      <c r="K1163" s="1">
        <v>381.6</v>
      </c>
      <c r="L1163" s="1" t="s">
        <v>23</v>
      </c>
      <c r="M1163" s="1" t="s">
        <v>106</v>
      </c>
      <c r="N1163" s="1" t="s">
        <v>34</v>
      </c>
      <c r="O1163" s="1"/>
      <c r="P1163" s="1">
        <v>26</v>
      </c>
      <c r="Q1163" s="1">
        <v>97.7</v>
      </c>
      <c r="R1163" s="8" t="str">
        <f>_xlfn.IFS(J1163&gt;=8,"Hit",J1163&gt;=6,"Average",J1163&lt;6,"Flop")</f>
        <v>Hit</v>
      </c>
      <c r="S1163" s="9" t="str">
        <f>_xlfn.IFS(K1163&gt;=400,"Blockbuster",K1163&gt;=200,"Popular",K1163&lt;200,"Normal")</f>
        <v>Popular</v>
      </c>
      <c r="T1163" s="10" t="str">
        <f>IF(OR(I1163="PG",I1163="G"),"Yes","No")</f>
        <v>No</v>
      </c>
      <c r="U1163" s="11" t="str">
        <f>IF(P1163&gt;=100,"High","Low")</f>
        <v>Low</v>
      </c>
      <c r="V1163" s="28">
        <f t="shared" si="36"/>
        <v>71.7</v>
      </c>
      <c r="W1163" s="29">
        <f t="shared" si="37"/>
        <v>375.76923076923077</v>
      </c>
    </row>
    <row r="1164" spans="1:23" x14ac:dyDescent="0.3">
      <c r="A1164" s="1" t="s">
        <v>3338</v>
      </c>
      <c r="B1164" s="1" t="s">
        <v>3339</v>
      </c>
      <c r="C1164" s="1" t="s">
        <v>18</v>
      </c>
      <c r="D1164" s="1" t="s">
        <v>47</v>
      </c>
      <c r="E1164" s="1">
        <v>2003</v>
      </c>
      <c r="F1164" s="1" t="s">
        <v>76</v>
      </c>
      <c r="G1164" s="1" t="s">
        <v>3340</v>
      </c>
      <c r="H1164" s="1">
        <v>119</v>
      </c>
      <c r="I1164" s="1" t="s">
        <v>40</v>
      </c>
      <c r="J1164" s="1">
        <v>7.9</v>
      </c>
      <c r="K1164" s="1">
        <v>421.9</v>
      </c>
      <c r="L1164" s="1" t="s">
        <v>71</v>
      </c>
      <c r="M1164" s="1" t="s">
        <v>66</v>
      </c>
      <c r="N1164" s="1" t="s">
        <v>153</v>
      </c>
      <c r="O1164" s="1"/>
      <c r="P1164" s="1">
        <v>177</v>
      </c>
      <c r="Q1164" s="1">
        <v>1008.9</v>
      </c>
      <c r="R1164" s="8" t="str">
        <f>_xlfn.IFS(J1164&gt;=8,"Hit",J1164&gt;=6,"Average",J1164&lt;6,"Flop")</f>
        <v>Average</v>
      </c>
      <c r="S1164" s="9" t="str">
        <f>_xlfn.IFS(K1164&gt;=400,"Blockbuster",K1164&gt;=200,"Popular",K1164&lt;200,"Normal")</f>
        <v>Blockbuster</v>
      </c>
      <c r="T1164" s="10" t="str">
        <f>IF(OR(I1164="PG",I1164="G"),"Yes","No")</f>
        <v>Yes</v>
      </c>
      <c r="U1164" s="11" t="str">
        <f>IF(P1164&gt;=100,"High","Low")</f>
        <v>High</v>
      </c>
      <c r="V1164" s="28">
        <f t="shared" si="36"/>
        <v>831.9</v>
      </c>
      <c r="W1164" s="29">
        <f t="shared" si="37"/>
        <v>570</v>
      </c>
    </row>
    <row r="1165" spans="1:23" x14ac:dyDescent="0.3">
      <c r="A1165" s="1" t="s">
        <v>3341</v>
      </c>
      <c r="B1165" s="1" t="s">
        <v>3342</v>
      </c>
      <c r="C1165" s="1" t="s">
        <v>18</v>
      </c>
      <c r="D1165" s="1" t="s">
        <v>141</v>
      </c>
      <c r="E1165" s="1">
        <v>2014</v>
      </c>
      <c r="F1165" s="1" t="s">
        <v>76</v>
      </c>
      <c r="G1165" s="1" t="s">
        <v>2571</v>
      </c>
      <c r="H1165" s="1">
        <v>96</v>
      </c>
      <c r="I1165" s="1" t="s">
        <v>110</v>
      </c>
      <c r="J1165" s="1">
        <v>7.6</v>
      </c>
      <c r="K1165" s="1">
        <v>178.5</v>
      </c>
      <c r="L1165" s="1" t="s">
        <v>23</v>
      </c>
      <c r="M1165" s="1" t="s">
        <v>111</v>
      </c>
      <c r="N1165" s="1" t="s">
        <v>102</v>
      </c>
      <c r="O1165" s="1"/>
      <c r="P1165" s="1">
        <v>163</v>
      </c>
      <c r="Q1165" s="1">
        <v>227.6</v>
      </c>
      <c r="R1165" s="8" t="str">
        <f>_xlfn.IFS(J1165&gt;=8,"Hit",J1165&gt;=6,"Average",J1165&lt;6,"Flop")</f>
        <v>Average</v>
      </c>
      <c r="S1165" s="9" t="str">
        <f>_xlfn.IFS(K1165&gt;=400,"Blockbuster",K1165&gt;=200,"Popular",K1165&lt;200,"Normal")</f>
        <v>Normal</v>
      </c>
      <c r="T1165" s="10" t="str">
        <f>IF(OR(I1165="PG",I1165="G"),"Yes","No")</f>
        <v>No</v>
      </c>
      <c r="U1165" s="11" t="str">
        <f>IF(P1165&gt;=100,"High","Low")</f>
        <v>High</v>
      </c>
      <c r="V1165" s="28">
        <f t="shared" si="36"/>
        <v>64.599999999999994</v>
      </c>
      <c r="W1165" s="29">
        <f t="shared" si="37"/>
        <v>139.6319018404908</v>
      </c>
    </row>
    <row r="1166" spans="1:23" x14ac:dyDescent="0.3">
      <c r="A1166" s="1" t="s">
        <v>3343</v>
      </c>
      <c r="B1166" s="1" t="s">
        <v>3344</v>
      </c>
      <c r="C1166" s="1" t="s">
        <v>46</v>
      </c>
      <c r="D1166" s="1" t="s">
        <v>82</v>
      </c>
      <c r="E1166" s="1">
        <v>2011</v>
      </c>
      <c r="F1166" s="1" t="s">
        <v>38</v>
      </c>
      <c r="G1166" s="1" t="s">
        <v>3345</v>
      </c>
      <c r="H1166" s="1">
        <v>57</v>
      </c>
      <c r="I1166" s="1" t="s">
        <v>110</v>
      </c>
      <c r="J1166" s="1">
        <v>6.5</v>
      </c>
      <c r="K1166" s="1">
        <v>598.6</v>
      </c>
      <c r="L1166" s="1" t="s">
        <v>41</v>
      </c>
      <c r="M1166" s="1" t="s">
        <v>124</v>
      </c>
      <c r="N1166" s="1" t="s">
        <v>79</v>
      </c>
      <c r="O1166" s="1">
        <v>2</v>
      </c>
      <c r="P1166" s="1">
        <v>45</v>
      </c>
      <c r="Q1166" s="1">
        <v>119</v>
      </c>
      <c r="R1166" s="8" t="str">
        <f>_xlfn.IFS(J1166&gt;=8,"Hit",J1166&gt;=6,"Average",J1166&lt;6,"Flop")</f>
        <v>Average</v>
      </c>
      <c r="S1166" s="9" t="str">
        <f>_xlfn.IFS(K1166&gt;=400,"Blockbuster",K1166&gt;=200,"Popular",K1166&lt;200,"Normal")</f>
        <v>Blockbuster</v>
      </c>
      <c r="T1166" s="10" t="str">
        <f>IF(OR(I1166="PG",I1166="G"),"Yes","No")</f>
        <v>No</v>
      </c>
      <c r="U1166" s="11" t="str">
        <f>IF(P1166&gt;=100,"High","Low")</f>
        <v>Low</v>
      </c>
      <c r="V1166" s="28">
        <f t="shared" si="36"/>
        <v>74</v>
      </c>
      <c r="W1166" s="29">
        <f t="shared" si="37"/>
        <v>264.44444444444446</v>
      </c>
    </row>
    <row r="1167" spans="1:23" x14ac:dyDescent="0.3">
      <c r="A1167" s="1" t="s">
        <v>3346</v>
      </c>
      <c r="B1167" s="1" t="s">
        <v>3347</v>
      </c>
      <c r="C1167" s="1" t="s">
        <v>46</v>
      </c>
      <c r="D1167" s="1" t="s">
        <v>117</v>
      </c>
      <c r="E1167" s="1">
        <v>2023</v>
      </c>
      <c r="F1167" s="1" t="s">
        <v>48</v>
      </c>
      <c r="G1167" s="1" t="s">
        <v>1497</v>
      </c>
      <c r="H1167" s="1">
        <v>60</v>
      </c>
      <c r="I1167" s="1" t="s">
        <v>40</v>
      </c>
      <c r="J1167" s="1">
        <v>5.2</v>
      </c>
      <c r="K1167" s="1">
        <v>107.6</v>
      </c>
      <c r="L1167" s="1" t="s">
        <v>41</v>
      </c>
      <c r="M1167" s="1" t="s">
        <v>85</v>
      </c>
      <c r="N1167" s="1" t="s">
        <v>67</v>
      </c>
      <c r="O1167" s="1">
        <v>4</v>
      </c>
      <c r="P1167" s="1">
        <v>83</v>
      </c>
      <c r="Q1167" s="1">
        <v>400.1</v>
      </c>
      <c r="R1167" s="8" t="str">
        <f>_xlfn.IFS(J1167&gt;=8,"Hit",J1167&gt;=6,"Average",J1167&lt;6,"Flop")</f>
        <v>Flop</v>
      </c>
      <c r="S1167" s="9" t="str">
        <f>_xlfn.IFS(K1167&gt;=400,"Blockbuster",K1167&gt;=200,"Popular",K1167&lt;200,"Normal")</f>
        <v>Normal</v>
      </c>
      <c r="T1167" s="10" t="str">
        <f>IF(OR(I1167="PG",I1167="G"),"Yes","No")</f>
        <v>Yes</v>
      </c>
      <c r="U1167" s="11" t="str">
        <f>IF(P1167&gt;=100,"High","Low")</f>
        <v>Low</v>
      </c>
      <c r="V1167" s="28">
        <f t="shared" si="36"/>
        <v>317.10000000000002</v>
      </c>
      <c r="W1167" s="29">
        <f t="shared" si="37"/>
        <v>482.0481927710843</v>
      </c>
    </row>
    <row r="1168" spans="1:23" x14ac:dyDescent="0.3">
      <c r="A1168" s="1" t="s">
        <v>3348</v>
      </c>
      <c r="B1168" s="1" t="s">
        <v>3349</v>
      </c>
      <c r="C1168" s="1" t="s">
        <v>18</v>
      </c>
      <c r="D1168" s="1" t="s">
        <v>19</v>
      </c>
      <c r="E1168" s="1">
        <v>2019</v>
      </c>
      <c r="F1168" s="1" t="s">
        <v>20</v>
      </c>
      <c r="G1168" s="1" t="s">
        <v>2931</v>
      </c>
      <c r="H1168" s="1">
        <v>101</v>
      </c>
      <c r="I1168" s="1" t="s">
        <v>40</v>
      </c>
      <c r="J1168" s="1">
        <v>6.2</v>
      </c>
      <c r="K1168" s="1">
        <v>198.6</v>
      </c>
      <c r="L1168" s="1" t="s">
        <v>41</v>
      </c>
      <c r="M1168" s="1" t="s">
        <v>33</v>
      </c>
      <c r="N1168" s="1" t="s">
        <v>34</v>
      </c>
      <c r="O1168" s="1"/>
      <c r="P1168" s="1">
        <v>18</v>
      </c>
      <c r="Q1168" s="1">
        <v>59.7</v>
      </c>
      <c r="R1168" s="8" t="str">
        <f>_xlfn.IFS(J1168&gt;=8,"Hit",J1168&gt;=6,"Average",J1168&lt;6,"Flop")</f>
        <v>Average</v>
      </c>
      <c r="S1168" s="9" t="str">
        <f>_xlfn.IFS(K1168&gt;=400,"Blockbuster",K1168&gt;=200,"Popular",K1168&lt;200,"Normal")</f>
        <v>Normal</v>
      </c>
      <c r="T1168" s="10" t="str">
        <f>IF(OR(I1168="PG",I1168="G"),"Yes","No")</f>
        <v>Yes</v>
      </c>
      <c r="U1168" s="11" t="str">
        <f>IF(P1168&gt;=100,"High","Low")</f>
        <v>Low</v>
      </c>
      <c r="V1168" s="28">
        <f t="shared" si="36"/>
        <v>41.7</v>
      </c>
      <c r="W1168" s="29">
        <f t="shared" si="37"/>
        <v>331.66666666666669</v>
      </c>
    </row>
    <row r="1169" spans="1:23" x14ac:dyDescent="0.3">
      <c r="A1169" s="1" t="s">
        <v>3350</v>
      </c>
      <c r="B1169" s="1" t="s">
        <v>3351</v>
      </c>
      <c r="C1169" s="1" t="s">
        <v>46</v>
      </c>
      <c r="D1169" s="1" t="s">
        <v>141</v>
      </c>
      <c r="E1169" s="1">
        <v>2004</v>
      </c>
      <c r="F1169" s="1" t="s">
        <v>122</v>
      </c>
      <c r="G1169" s="1" t="s">
        <v>3352</v>
      </c>
      <c r="H1169" s="1">
        <v>32</v>
      </c>
      <c r="I1169" s="1" t="s">
        <v>22</v>
      </c>
      <c r="J1169" s="1">
        <v>8</v>
      </c>
      <c r="K1169" s="1">
        <v>14.2</v>
      </c>
      <c r="L1169" s="1" t="s">
        <v>71</v>
      </c>
      <c r="M1169" s="1" t="s">
        <v>111</v>
      </c>
      <c r="N1169" s="1" t="s">
        <v>91</v>
      </c>
      <c r="O1169" s="1">
        <v>1</v>
      </c>
      <c r="P1169" s="1">
        <v>86</v>
      </c>
      <c r="Q1169" s="1">
        <v>421.1</v>
      </c>
      <c r="R1169" s="8" t="str">
        <f>_xlfn.IFS(J1169&gt;=8,"Hit",J1169&gt;=6,"Average",J1169&lt;6,"Flop")</f>
        <v>Hit</v>
      </c>
      <c r="S1169" s="9" t="str">
        <f>_xlfn.IFS(K1169&gt;=400,"Blockbuster",K1169&gt;=200,"Popular",K1169&lt;200,"Normal")</f>
        <v>Normal</v>
      </c>
      <c r="T1169" s="10" t="str">
        <f>IF(OR(I1169="PG",I1169="G"),"Yes","No")</f>
        <v>No</v>
      </c>
      <c r="U1169" s="11" t="str">
        <f>IF(P1169&gt;=100,"High","Low")</f>
        <v>Low</v>
      </c>
      <c r="V1169" s="28">
        <f t="shared" si="36"/>
        <v>335.1</v>
      </c>
      <c r="W1169" s="29">
        <f t="shared" si="37"/>
        <v>489.65116279069775</v>
      </c>
    </row>
    <row r="1170" spans="1:23" x14ac:dyDescent="0.3">
      <c r="A1170" s="1" t="s">
        <v>3353</v>
      </c>
      <c r="B1170" s="1" t="s">
        <v>3354</v>
      </c>
      <c r="C1170" s="1" t="s">
        <v>46</v>
      </c>
      <c r="D1170" s="1" t="s">
        <v>28</v>
      </c>
      <c r="E1170" s="1">
        <v>2002</v>
      </c>
      <c r="F1170" s="1" t="s">
        <v>122</v>
      </c>
      <c r="G1170" s="1" t="s">
        <v>3355</v>
      </c>
      <c r="H1170" s="1">
        <v>38</v>
      </c>
      <c r="I1170" s="1" t="s">
        <v>31</v>
      </c>
      <c r="J1170" s="1">
        <v>4.5</v>
      </c>
      <c r="K1170" s="1">
        <v>100.3</v>
      </c>
      <c r="L1170" s="1" t="s">
        <v>41</v>
      </c>
      <c r="M1170" s="1" t="s">
        <v>42</v>
      </c>
      <c r="N1170" s="1" t="s">
        <v>128</v>
      </c>
      <c r="O1170" s="1">
        <v>6</v>
      </c>
      <c r="P1170" s="1">
        <v>54</v>
      </c>
      <c r="Q1170" s="1">
        <v>319.5</v>
      </c>
      <c r="R1170" s="8" t="str">
        <f>_xlfn.IFS(J1170&gt;=8,"Hit",J1170&gt;=6,"Average",J1170&lt;6,"Flop")</f>
        <v>Flop</v>
      </c>
      <c r="S1170" s="9" t="str">
        <f>_xlfn.IFS(K1170&gt;=400,"Blockbuster",K1170&gt;=200,"Popular",K1170&lt;200,"Normal")</f>
        <v>Normal</v>
      </c>
      <c r="T1170" s="10" t="str">
        <f>IF(OR(I1170="PG",I1170="G"),"Yes","No")</f>
        <v>No</v>
      </c>
      <c r="U1170" s="11" t="str">
        <f>IF(P1170&gt;=100,"High","Low")</f>
        <v>Low</v>
      </c>
      <c r="V1170" s="28">
        <f t="shared" si="36"/>
        <v>265.5</v>
      </c>
      <c r="W1170" s="29">
        <f t="shared" si="37"/>
        <v>591.66666666666674</v>
      </c>
    </row>
    <row r="1171" spans="1:23" x14ac:dyDescent="0.3">
      <c r="A1171" s="1" t="s">
        <v>3356</v>
      </c>
      <c r="B1171" s="1" t="s">
        <v>3357</v>
      </c>
      <c r="C1171" s="1" t="s">
        <v>18</v>
      </c>
      <c r="D1171" s="1" t="s">
        <v>28</v>
      </c>
      <c r="E1171" s="1">
        <v>2006</v>
      </c>
      <c r="F1171" s="1" t="s">
        <v>95</v>
      </c>
      <c r="G1171" s="1" t="s">
        <v>3358</v>
      </c>
      <c r="H1171" s="1">
        <v>132</v>
      </c>
      <c r="I1171" s="1" t="s">
        <v>40</v>
      </c>
      <c r="J1171" s="1">
        <v>6.3</v>
      </c>
      <c r="K1171" s="1">
        <v>407.3</v>
      </c>
      <c r="L1171" s="1" t="s">
        <v>90</v>
      </c>
      <c r="M1171" s="1" t="s">
        <v>78</v>
      </c>
      <c r="N1171" s="1" t="s">
        <v>102</v>
      </c>
      <c r="O1171" s="1"/>
      <c r="P1171" s="1">
        <v>177</v>
      </c>
      <c r="Q1171" s="1">
        <v>733.5</v>
      </c>
      <c r="R1171" s="8" t="str">
        <f>_xlfn.IFS(J1171&gt;=8,"Hit",J1171&gt;=6,"Average",J1171&lt;6,"Flop")</f>
        <v>Average</v>
      </c>
      <c r="S1171" s="9" t="str">
        <f>_xlfn.IFS(K1171&gt;=400,"Blockbuster",K1171&gt;=200,"Popular",K1171&lt;200,"Normal")</f>
        <v>Blockbuster</v>
      </c>
      <c r="T1171" s="10" t="str">
        <f>IF(OR(I1171="PG",I1171="G"),"Yes","No")</f>
        <v>Yes</v>
      </c>
      <c r="U1171" s="11" t="str">
        <f>IF(P1171&gt;=100,"High","Low")</f>
        <v>High</v>
      </c>
      <c r="V1171" s="28">
        <f t="shared" si="36"/>
        <v>556.5</v>
      </c>
      <c r="W1171" s="29">
        <f t="shared" si="37"/>
        <v>414.40677966101697</v>
      </c>
    </row>
    <row r="1172" spans="1:23" x14ac:dyDescent="0.3">
      <c r="A1172" s="1" t="s">
        <v>3359</v>
      </c>
      <c r="B1172" s="1" t="s">
        <v>3360</v>
      </c>
      <c r="C1172" s="1" t="s">
        <v>18</v>
      </c>
      <c r="D1172" s="1" t="s">
        <v>141</v>
      </c>
      <c r="E1172" s="1">
        <v>2015</v>
      </c>
      <c r="F1172" s="1" t="s">
        <v>181</v>
      </c>
      <c r="G1172" s="1" t="s">
        <v>3361</v>
      </c>
      <c r="H1172" s="1">
        <v>108</v>
      </c>
      <c r="I1172" s="1" t="s">
        <v>31</v>
      </c>
      <c r="J1172" s="1">
        <v>7</v>
      </c>
      <c r="K1172" s="1">
        <v>516.6</v>
      </c>
      <c r="L1172" s="1" t="s">
        <v>71</v>
      </c>
      <c r="M1172" s="1" t="s">
        <v>157</v>
      </c>
      <c r="N1172" s="1" t="s">
        <v>86</v>
      </c>
      <c r="O1172" s="1"/>
      <c r="P1172" s="1">
        <v>20</v>
      </c>
      <c r="Q1172" s="1">
        <v>35.5</v>
      </c>
      <c r="R1172" s="8" t="str">
        <f>_xlfn.IFS(J1172&gt;=8,"Hit",J1172&gt;=6,"Average",J1172&lt;6,"Flop")</f>
        <v>Average</v>
      </c>
      <c r="S1172" s="9" t="str">
        <f>_xlfn.IFS(K1172&gt;=400,"Blockbuster",K1172&gt;=200,"Popular",K1172&lt;200,"Normal")</f>
        <v>Blockbuster</v>
      </c>
      <c r="T1172" s="10" t="str">
        <f>IF(OR(I1172="PG",I1172="G"),"Yes","No")</f>
        <v>No</v>
      </c>
      <c r="U1172" s="11" t="str">
        <f>IF(P1172&gt;=100,"High","Low")</f>
        <v>Low</v>
      </c>
      <c r="V1172" s="28">
        <f t="shared" si="36"/>
        <v>15.5</v>
      </c>
      <c r="W1172" s="29">
        <f t="shared" si="37"/>
        <v>177.5</v>
      </c>
    </row>
    <row r="1173" spans="1:23" x14ac:dyDescent="0.3">
      <c r="A1173" s="1" t="s">
        <v>3362</v>
      </c>
      <c r="B1173" s="1" t="s">
        <v>3363</v>
      </c>
      <c r="C1173" s="1" t="s">
        <v>18</v>
      </c>
      <c r="D1173" s="1" t="s">
        <v>58</v>
      </c>
      <c r="E1173" s="1">
        <v>2022</v>
      </c>
      <c r="F1173" s="1" t="s">
        <v>29</v>
      </c>
      <c r="G1173" s="1" t="s">
        <v>814</v>
      </c>
      <c r="H1173" s="1">
        <v>102</v>
      </c>
      <c r="I1173" s="1" t="s">
        <v>40</v>
      </c>
      <c r="J1173" s="1">
        <v>9.5</v>
      </c>
      <c r="K1173" s="1">
        <v>12.7</v>
      </c>
      <c r="L1173" s="1" t="s">
        <v>65</v>
      </c>
      <c r="M1173" s="1" t="s">
        <v>24</v>
      </c>
      <c r="N1173" s="1" t="s">
        <v>119</v>
      </c>
      <c r="O1173" s="1"/>
      <c r="P1173" s="1">
        <v>198</v>
      </c>
      <c r="Q1173" s="1">
        <v>694.3</v>
      </c>
      <c r="R1173" s="8" t="str">
        <f>_xlfn.IFS(J1173&gt;=8,"Hit",J1173&gt;=6,"Average",J1173&lt;6,"Flop")</f>
        <v>Hit</v>
      </c>
      <c r="S1173" s="9" t="str">
        <f>_xlfn.IFS(K1173&gt;=400,"Blockbuster",K1173&gt;=200,"Popular",K1173&lt;200,"Normal")</f>
        <v>Normal</v>
      </c>
      <c r="T1173" s="10" t="str">
        <f>IF(OR(I1173="PG",I1173="G"),"Yes","No")</f>
        <v>Yes</v>
      </c>
      <c r="U1173" s="11" t="str">
        <f>IF(P1173&gt;=100,"High","Low")</f>
        <v>High</v>
      </c>
      <c r="V1173" s="28">
        <f t="shared" si="36"/>
        <v>496.29999999999995</v>
      </c>
      <c r="W1173" s="29">
        <f t="shared" si="37"/>
        <v>350.65656565656565</v>
      </c>
    </row>
    <row r="1174" spans="1:23" x14ac:dyDescent="0.3">
      <c r="A1174" s="1" t="s">
        <v>3364</v>
      </c>
      <c r="B1174" s="1" t="s">
        <v>3365</v>
      </c>
      <c r="C1174" s="1" t="s">
        <v>18</v>
      </c>
      <c r="D1174" s="1" t="s">
        <v>19</v>
      </c>
      <c r="E1174" s="1">
        <v>2014</v>
      </c>
      <c r="F1174" s="1" t="s">
        <v>29</v>
      </c>
      <c r="G1174" s="1" t="s">
        <v>3366</v>
      </c>
      <c r="H1174" s="1">
        <v>178</v>
      </c>
      <c r="I1174" s="1" t="s">
        <v>22</v>
      </c>
      <c r="J1174" s="1">
        <v>7.2</v>
      </c>
      <c r="K1174" s="1">
        <v>250.2</v>
      </c>
      <c r="L1174" s="1" t="s">
        <v>90</v>
      </c>
      <c r="M1174" s="1" t="s">
        <v>24</v>
      </c>
      <c r="N1174" s="1" t="s">
        <v>119</v>
      </c>
      <c r="O1174" s="1"/>
      <c r="P1174" s="1">
        <v>196</v>
      </c>
      <c r="Q1174" s="1">
        <v>1191.8</v>
      </c>
      <c r="R1174" s="8" t="str">
        <f>_xlfn.IFS(J1174&gt;=8,"Hit",J1174&gt;=6,"Average",J1174&lt;6,"Flop")</f>
        <v>Average</v>
      </c>
      <c r="S1174" s="9" t="str">
        <f>_xlfn.IFS(K1174&gt;=400,"Blockbuster",K1174&gt;=200,"Popular",K1174&lt;200,"Normal")</f>
        <v>Popular</v>
      </c>
      <c r="T1174" s="10" t="str">
        <f>IF(OR(I1174="PG",I1174="G"),"Yes","No")</f>
        <v>No</v>
      </c>
      <c r="U1174" s="11" t="str">
        <f>IF(P1174&gt;=100,"High","Low")</f>
        <v>High</v>
      </c>
      <c r="V1174" s="28">
        <f t="shared" si="36"/>
        <v>995.8</v>
      </c>
      <c r="W1174" s="29">
        <f t="shared" si="37"/>
        <v>608.0612244897959</v>
      </c>
    </row>
    <row r="1175" spans="1:23" x14ac:dyDescent="0.3">
      <c r="A1175" s="1" t="s">
        <v>3367</v>
      </c>
      <c r="B1175" s="1" t="s">
        <v>3368</v>
      </c>
      <c r="C1175" s="1" t="s">
        <v>18</v>
      </c>
      <c r="D1175" s="1" t="s">
        <v>63</v>
      </c>
      <c r="E1175" s="1">
        <v>2013</v>
      </c>
      <c r="F1175" s="1" t="s">
        <v>122</v>
      </c>
      <c r="G1175" s="1" t="s">
        <v>1492</v>
      </c>
      <c r="H1175" s="1">
        <v>112</v>
      </c>
      <c r="I1175" s="1" t="s">
        <v>40</v>
      </c>
      <c r="J1175" s="1">
        <v>6.2</v>
      </c>
      <c r="K1175" s="1">
        <v>60</v>
      </c>
      <c r="L1175" s="1" t="s">
        <v>23</v>
      </c>
      <c r="M1175" s="1" t="s">
        <v>72</v>
      </c>
      <c r="N1175" s="1" t="s">
        <v>55</v>
      </c>
      <c r="O1175" s="1"/>
      <c r="P1175" s="1">
        <v>22</v>
      </c>
      <c r="Q1175" s="1">
        <v>113.7</v>
      </c>
      <c r="R1175" s="8" t="str">
        <f>_xlfn.IFS(J1175&gt;=8,"Hit",J1175&gt;=6,"Average",J1175&lt;6,"Flop")</f>
        <v>Average</v>
      </c>
      <c r="S1175" s="9" t="str">
        <f>_xlfn.IFS(K1175&gt;=400,"Blockbuster",K1175&gt;=200,"Popular",K1175&lt;200,"Normal")</f>
        <v>Normal</v>
      </c>
      <c r="T1175" s="10" t="str">
        <f>IF(OR(I1175="PG",I1175="G"),"Yes","No")</f>
        <v>Yes</v>
      </c>
      <c r="U1175" s="11" t="str">
        <f>IF(P1175&gt;=100,"High","Low")</f>
        <v>Low</v>
      </c>
      <c r="V1175" s="28">
        <f t="shared" si="36"/>
        <v>91.7</v>
      </c>
      <c r="W1175" s="29">
        <f t="shared" si="37"/>
        <v>516.81818181818176</v>
      </c>
    </row>
    <row r="1176" spans="1:23" x14ac:dyDescent="0.3">
      <c r="A1176" s="1" t="s">
        <v>3369</v>
      </c>
      <c r="B1176" s="1" t="s">
        <v>3370</v>
      </c>
      <c r="C1176" s="1" t="s">
        <v>18</v>
      </c>
      <c r="D1176" s="1" t="s">
        <v>117</v>
      </c>
      <c r="E1176" s="1">
        <v>2006</v>
      </c>
      <c r="F1176" s="1" t="s">
        <v>83</v>
      </c>
      <c r="G1176" s="1" t="s">
        <v>2235</v>
      </c>
      <c r="H1176" s="1">
        <v>118</v>
      </c>
      <c r="I1176" s="1" t="s">
        <v>22</v>
      </c>
      <c r="J1176" s="1">
        <v>6.4</v>
      </c>
      <c r="K1176" s="1">
        <v>337.3</v>
      </c>
      <c r="L1176" s="1" t="s">
        <v>71</v>
      </c>
      <c r="M1176" s="1" t="s">
        <v>78</v>
      </c>
      <c r="N1176" s="1" t="s">
        <v>79</v>
      </c>
      <c r="O1176" s="1"/>
      <c r="P1176" s="1">
        <v>148</v>
      </c>
      <c r="Q1176" s="1">
        <v>295</v>
      </c>
      <c r="R1176" s="8" t="str">
        <f>_xlfn.IFS(J1176&gt;=8,"Hit",J1176&gt;=6,"Average",J1176&lt;6,"Flop")</f>
        <v>Average</v>
      </c>
      <c r="S1176" s="9" t="str">
        <f>_xlfn.IFS(K1176&gt;=400,"Blockbuster",K1176&gt;=200,"Popular",K1176&lt;200,"Normal")</f>
        <v>Popular</v>
      </c>
      <c r="T1176" s="10" t="str">
        <f>IF(OR(I1176="PG",I1176="G"),"Yes","No")</f>
        <v>No</v>
      </c>
      <c r="U1176" s="11" t="str">
        <f>IF(P1176&gt;=100,"High","Low")</f>
        <v>High</v>
      </c>
      <c r="V1176" s="28">
        <f t="shared" si="36"/>
        <v>147</v>
      </c>
      <c r="W1176" s="29">
        <f t="shared" si="37"/>
        <v>199.32432432432432</v>
      </c>
    </row>
    <row r="1177" spans="1:23" x14ac:dyDescent="0.3">
      <c r="A1177" s="1" t="s">
        <v>3371</v>
      </c>
      <c r="B1177" s="1" t="s">
        <v>3372</v>
      </c>
      <c r="C1177" s="1" t="s">
        <v>18</v>
      </c>
      <c r="D1177" s="1" t="s">
        <v>75</v>
      </c>
      <c r="E1177" s="1">
        <v>2015</v>
      </c>
      <c r="F1177" s="1" t="s">
        <v>83</v>
      </c>
      <c r="G1177" s="1" t="s">
        <v>3373</v>
      </c>
      <c r="H1177" s="1">
        <v>144</v>
      </c>
      <c r="I1177" s="1" t="s">
        <v>22</v>
      </c>
      <c r="J1177" s="1">
        <v>4.8</v>
      </c>
      <c r="K1177" s="1">
        <v>478</v>
      </c>
      <c r="L1177" s="1" t="s">
        <v>71</v>
      </c>
      <c r="M1177" s="1" t="s">
        <v>54</v>
      </c>
      <c r="N1177" s="1" t="s">
        <v>128</v>
      </c>
      <c r="O1177" s="1"/>
      <c r="P1177" s="1">
        <v>73</v>
      </c>
      <c r="Q1177" s="1">
        <v>134.19999999999999</v>
      </c>
      <c r="R1177" s="8" t="str">
        <f>_xlfn.IFS(J1177&gt;=8,"Hit",J1177&gt;=6,"Average",J1177&lt;6,"Flop")</f>
        <v>Flop</v>
      </c>
      <c r="S1177" s="9" t="str">
        <f>_xlfn.IFS(K1177&gt;=400,"Blockbuster",K1177&gt;=200,"Popular",K1177&lt;200,"Normal")</f>
        <v>Blockbuster</v>
      </c>
      <c r="T1177" s="10" t="str">
        <f>IF(OR(I1177="PG",I1177="G"),"Yes","No")</f>
        <v>No</v>
      </c>
      <c r="U1177" s="11" t="str">
        <f>IF(P1177&gt;=100,"High","Low")</f>
        <v>Low</v>
      </c>
      <c r="V1177" s="28">
        <f t="shared" si="36"/>
        <v>61.199999999999989</v>
      </c>
      <c r="W1177" s="29">
        <f t="shared" si="37"/>
        <v>183.83561643835614</v>
      </c>
    </row>
    <row r="1178" spans="1:23" x14ac:dyDescent="0.3">
      <c r="A1178" s="1" t="s">
        <v>3374</v>
      </c>
      <c r="B1178" s="1" t="s">
        <v>3375</v>
      </c>
      <c r="C1178" s="1" t="s">
        <v>18</v>
      </c>
      <c r="D1178" s="1" t="s">
        <v>94</v>
      </c>
      <c r="E1178" s="1">
        <v>2022</v>
      </c>
      <c r="F1178" s="1" t="s">
        <v>100</v>
      </c>
      <c r="G1178" s="1" t="s">
        <v>1317</v>
      </c>
      <c r="H1178" s="1">
        <v>117</v>
      </c>
      <c r="I1178" s="1" t="s">
        <v>40</v>
      </c>
      <c r="J1178" s="1">
        <v>6</v>
      </c>
      <c r="K1178" s="1">
        <v>539.20000000000005</v>
      </c>
      <c r="L1178" s="1" t="s">
        <v>171</v>
      </c>
      <c r="M1178" s="1" t="s">
        <v>24</v>
      </c>
      <c r="N1178" s="1" t="s">
        <v>67</v>
      </c>
      <c r="O1178" s="1"/>
      <c r="P1178" s="1">
        <v>156</v>
      </c>
      <c r="Q1178" s="1">
        <v>836.4</v>
      </c>
      <c r="R1178" s="8" t="str">
        <f>_xlfn.IFS(J1178&gt;=8,"Hit",J1178&gt;=6,"Average",J1178&lt;6,"Flop")</f>
        <v>Average</v>
      </c>
      <c r="S1178" s="9" t="str">
        <f>_xlfn.IFS(K1178&gt;=400,"Blockbuster",K1178&gt;=200,"Popular",K1178&lt;200,"Normal")</f>
        <v>Blockbuster</v>
      </c>
      <c r="T1178" s="10" t="str">
        <f>IF(OR(I1178="PG",I1178="G"),"Yes","No")</f>
        <v>Yes</v>
      </c>
      <c r="U1178" s="11" t="str">
        <f>IF(P1178&gt;=100,"High","Low")</f>
        <v>High</v>
      </c>
      <c r="V1178" s="28">
        <f t="shared" si="36"/>
        <v>680.4</v>
      </c>
      <c r="W1178" s="29">
        <f t="shared" si="37"/>
        <v>536.15384615384608</v>
      </c>
    </row>
    <row r="1179" spans="1:23" x14ac:dyDescent="0.3">
      <c r="A1179" s="1" t="s">
        <v>3376</v>
      </c>
      <c r="B1179" s="1" t="s">
        <v>3377</v>
      </c>
      <c r="C1179" s="1" t="s">
        <v>46</v>
      </c>
      <c r="D1179" s="1" t="s">
        <v>19</v>
      </c>
      <c r="E1179" s="1">
        <v>2021</v>
      </c>
      <c r="F1179" s="1" t="s">
        <v>122</v>
      </c>
      <c r="G1179" s="1" t="s">
        <v>3378</v>
      </c>
      <c r="H1179" s="1">
        <v>30</v>
      </c>
      <c r="I1179" s="1" t="s">
        <v>31</v>
      </c>
      <c r="J1179" s="1">
        <v>8.6</v>
      </c>
      <c r="K1179" s="1">
        <v>418.7</v>
      </c>
      <c r="L1179" s="1" t="s">
        <v>23</v>
      </c>
      <c r="M1179" s="1" t="s">
        <v>66</v>
      </c>
      <c r="N1179" s="1" t="s">
        <v>43</v>
      </c>
      <c r="O1179" s="1">
        <v>8</v>
      </c>
      <c r="P1179" s="1">
        <v>21</v>
      </c>
      <c r="Q1179" s="1">
        <v>69.099999999999994</v>
      </c>
      <c r="R1179" s="8" t="str">
        <f>_xlfn.IFS(J1179&gt;=8,"Hit",J1179&gt;=6,"Average",J1179&lt;6,"Flop")</f>
        <v>Hit</v>
      </c>
      <c r="S1179" s="9" t="str">
        <f>_xlfn.IFS(K1179&gt;=400,"Blockbuster",K1179&gt;=200,"Popular",K1179&lt;200,"Normal")</f>
        <v>Blockbuster</v>
      </c>
      <c r="T1179" s="10" t="str">
        <f>IF(OR(I1179="PG",I1179="G"),"Yes","No")</f>
        <v>No</v>
      </c>
      <c r="U1179" s="11" t="str">
        <f>IF(P1179&gt;=100,"High","Low")</f>
        <v>Low</v>
      </c>
      <c r="V1179" s="28">
        <f t="shared" si="36"/>
        <v>48.099999999999994</v>
      </c>
      <c r="W1179" s="29">
        <f t="shared" si="37"/>
        <v>329.04761904761904</v>
      </c>
    </row>
    <row r="1180" spans="1:23" x14ac:dyDescent="0.3">
      <c r="A1180" s="1" t="s">
        <v>3379</v>
      </c>
      <c r="B1180" s="1" t="s">
        <v>3380</v>
      </c>
      <c r="C1180" s="1" t="s">
        <v>46</v>
      </c>
      <c r="D1180" s="1" t="s">
        <v>28</v>
      </c>
      <c r="E1180" s="1">
        <v>2005</v>
      </c>
      <c r="F1180" s="1" t="s">
        <v>29</v>
      </c>
      <c r="G1180" s="1" t="s">
        <v>3266</v>
      </c>
      <c r="H1180" s="1">
        <v>33</v>
      </c>
      <c r="I1180" s="1" t="s">
        <v>110</v>
      </c>
      <c r="J1180" s="1">
        <v>6.9</v>
      </c>
      <c r="K1180" s="1">
        <v>561.6</v>
      </c>
      <c r="L1180" s="1" t="s">
        <v>41</v>
      </c>
      <c r="M1180" s="1" t="s">
        <v>54</v>
      </c>
      <c r="N1180" s="1" t="s">
        <v>67</v>
      </c>
      <c r="O1180" s="1">
        <v>4</v>
      </c>
      <c r="P1180" s="1">
        <v>15</v>
      </c>
      <c r="Q1180" s="1">
        <v>82.4</v>
      </c>
      <c r="R1180" s="8" t="str">
        <f>_xlfn.IFS(J1180&gt;=8,"Hit",J1180&gt;=6,"Average",J1180&lt;6,"Flop")</f>
        <v>Average</v>
      </c>
      <c r="S1180" s="9" t="str">
        <f>_xlfn.IFS(K1180&gt;=400,"Blockbuster",K1180&gt;=200,"Popular",K1180&lt;200,"Normal")</f>
        <v>Blockbuster</v>
      </c>
      <c r="T1180" s="10" t="str">
        <f>IF(OR(I1180="PG",I1180="G"),"Yes","No")</f>
        <v>No</v>
      </c>
      <c r="U1180" s="11" t="str">
        <f>IF(P1180&gt;=100,"High","Low")</f>
        <v>Low</v>
      </c>
      <c r="V1180" s="28">
        <f t="shared" si="36"/>
        <v>67.400000000000006</v>
      </c>
      <c r="W1180" s="29">
        <f t="shared" si="37"/>
        <v>549.33333333333337</v>
      </c>
    </row>
    <row r="1181" spans="1:23" x14ac:dyDescent="0.3">
      <c r="A1181" s="1" t="s">
        <v>3381</v>
      </c>
      <c r="B1181" s="1" t="s">
        <v>3382</v>
      </c>
      <c r="C1181" s="1" t="s">
        <v>18</v>
      </c>
      <c r="D1181" s="1" t="s">
        <v>37</v>
      </c>
      <c r="E1181" s="1">
        <v>2013</v>
      </c>
      <c r="F1181" s="1" t="s">
        <v>95</v>
      </c>
      <c r="G1181" s="1" t="s">
        <v>3383</v>
      </c>
      <c r="H1181" s="1">
        <v>173</v>
      </c>
      <c r="I1181" s="1" t="s">
        <v>50</v>
      </c>
      <c r="J1181" s="1">
        <v>4.7</v>
      </c>
      <c r="K1181" s="1">
        <v>126.3</v>
      </c>
      <c r="L1181" s="1" t="s">
        <v>71</v>
      </c>
      <c r="M1181" s="1" t="s">
        <v>97</v>
      </c>
      <c r="N1181" s="1" t="s">
        <v>60</v>
      </c>
      <c r="O1181" s="1"/>
      <c r="P1181" s="1">
        <v>34</v>
      </c>
      <c r="Q1181" s="1">
        <v>173.1</v>
      </c>
      <c r="R1181" s="8" t="str">
        <f>_xlfn.IFS(J1181&gt;=8,"Hit",J1181&gt;=6,"Average",J1181&lt;6,"Flop")</f>
        <v>Flop</v>
      </c>
      <c r="S1181" s="9" t="str">
        <f>_xlfn.IFS(K1181&gt;=400,"Blockbuster",K1181&gt;=200,"Popular",K1181&lt;200,"Normal")</f>
        <v>Normal</v>
      </c>
      <c r="T1181" s="10" t="str">
        <f>IF(OR(I1181="PG",I1181="G"),"Yes","No")</f>
        <v>Yes</v>
      </c>
      <c r="U1181" s="11" t="str">
        <f>IF(P1181&gt;=100,"High","Low")</f>
        <v>Low</v>
      </c>
      <c r="V1181" s="28">
        <f t="shared" si="36"/>
        <v>139.1</v>
      </c>
      <c r="W1181" s="29">
        <f t="shared" si="37"/>
        <v>509.11764705882348</v>
      </c>
    </row>
    <row r="1182" spans="1:23" x14ac:dyDescent="0.3">
      <c r="A1182" s="1" t="s">
        <v>3384</v>
      </c>
      <c r="B1182" s="1" t="s">
        <v>3385</v>
      </c>
      <c r="C1182" s="1" t="s">
        <v>46</v>
      </c>
      <c r="D1182" s="1" t="s">
        <v>75</v>
      </c>
      <c r="E1182" s="1">
        <v>2009</v>
      </c>
      <c r="F1182" s="1" t="s">
        <v>122</v>
      </c>
      <c r="G1182" s="1" t="s">
        <v>1427</v>
      </c>
      <c r="H1182" s="1">
        <v>54</v>
      </c>
      <c r="I1182" s="1" t="s">
        <v>110</v>
      </c>
      <c r="J1182" s="1">
        <v>9.3000000000000007</v>
      </c>
      <c r="K1182" s="1">
        <v>309.7</v>
      </c>
      <c r="L1182" s="1" t="s">
        <v>65</v>
      </c>
      <c r="M1182" s="1" t="s">
        <v>54</v>
      </c>
      <c r="N1182" s="1" t="s">
        <v>91</v>
      </c>
      <c r="O1182" s="1">
        <v>4</v>
      </c>
      <c r="P1182" s="1">
        <v>180</v>
      </c>
      <c r="Q1182" s="1">
        <v>1090.9000000000001</v>
      </c>
      <c r="R1182" s="8" t="str">
        <f>_xlfn.IFS(J1182&gt;=8,"Hit",J1182&gt;=6,"Average",J1182&lt;6,"Flop")</f>
        <v>Hit</v>
      </c>
      <c r="S1182" s="9" t="str">
        <f>_xlfn.IFS(K1182&gt;=400,"Blockbuster",K1182&gt;=200,"Popular",K1182&lt;200,"Normal")</f>
        <v>Popular</v>
      </c>
      <c r="T1182" s="10" t="str">
        <f>IF(OR(I1182="PG",I1182="G"),"Yes","No")</f>
        <v>No</v>
      </c>
      <c r="U1182" s="11" t="str">
        <f>IF(P1182&gt;=100,"High","Low")</f>
        <v>High</v>
      </c>
      <c r="V1182" s="28">
        <f t="shared" si="36"/>
        <v>910.90000000000009</v>
      </c>
      <c r="W1182" s="29">
        <f t="shared" si="37"/>
        <v>606.05555555555566</v>
      </c>
    </row>
    <row r="1183" spans="1:23" x14ac:dyDescent="0.3">
      <c r="A1183" s="1" t="s">
        <v>3386</v>
      </c>
      <c r="B1183" s="1" t="s">
        <v>3387</v>
      </c>
      <c r="C1183" s="1" t="s">
        <v>18</v>
      </c>
      <c r="D1183" s="1" t="s">
        <v>94</v>
      </c>
      <c r="E1183" s="1">
        <v>2021</v>
      </c>
      <c r="F1183" s="1" t="s">
        <v>83</v>
      </c>
      <c r="G1183" s="1" t="s">
        <v>3388</v>
      </c>
      <c r="H1183" s="1">
        <v>166</v>
      </c>
      <c r="I1183" s="1" t="s">
        <v>22</v>
      </c>
      <c r="J1183" s="1">
        <v>6.3</v>
      </c>
      <c r="K1183" s="1">
        <v>508.5</v>
      </c>
      <c r="L1183" s="1" t="s">
        <v>71</v>
      </c>
      <c r="M1183" s="1" t="s">
        <v>146</v>
      </c>
      <c r="N1183" s="1" t="s">
        <v>25</v>
      </c>
      <c r="O1183" s="1"/>
      <c r="P1183" s="1">
        <v>137</v>
      </c>
      <c r="Q1183" s="1">
        <v>372.7</v>
      </c>
      <c r="R1183" s="8" t="str">
        <f>_xlfn.IFS(J1183&gt;=8,"Hit",J1183&gt;=6,"Average",J1183&lt;6,"Flop")</f>
        <v>Average</v>
      </c>
      <c r="S1183" s="9" t="str">
        <f>_xlfn.IFS(K1183&gt;=400,"Blockbuster",K1183&gt;=200,"Popular",K1183&lt;200,"Normal")</f>
        <v>Blockbuster</v>
      </c>
      <c r="T1183" s="10" t="str">
        <f>IF(OR(I1183="PG",I1183="G"),"Yes","No")</f>
        <v>No</v>
      </c>
      <c r="U1183" s="11" t="str">
        <f>IF(P1183&gt;=100,"High","Low")</f>
        <v>High</v>
      </c>
      <c r="V1183" s="28">
        <f t="shared" si="36"/>
        <v>235.7</v>
      </c>
      <c r="W1183" s="29">
        <f t="shared" si="37"/>
        <v>272.04379562043795</v>
      </c>
    </row>
    <row r="1184" spans="1:23" x14ac:dyDescent="0.3">
      <c r="A1184" s="1" t="s">
        <v>3389</v>
      </c>
      <c r="B1184" s="1" t="s">
        <v>3390</v>
      </c>
      <c r="C1184" s="1" t="s">
        <v>46</v>
      </c>
      <c r="D1184" s="1" t="s">
        <v>28</v>
      </c>
      <c r="E1184" s="1">
        <v>2012</v>
      </c>
      <c r="F1184" s="1" t="s">
        <v>29</v>
      </c>
      <c r="G1184" s="1" t="s">
        <v>145</v>
      </c>
      <c r="H1184" s="1">
        <v>39</v>
      </c>
      <c r="I1184" s="1" t="s">
        <v>110</v>
      </c>
      <c r="J1184" s="1">
        <v>7.1</v>
      </c>
      <c r="K1184" s="1">
        <v>157.9</v>
      </c>
      <c r="L1184" s="1" t="s">
        <v>171</v>
      </c>
      <c r="M1184" s="1" t="s">
        <v>72</v>
      </c>
      <c r="N1184" s="1" t="s">
        <v>128</v>
      </c>
      <c r="O1184" s="1">
        <v>5</v>
      </c>
      <c r="P1184" s="1">
        <v>26</v>
      </c>
      <c r="Q1184" s="1">
        <v>86.9</v>
      </c>
      <c r="R1184" s="8" t="str">
        <f>_xlfn.IFS(J1184&gt;=8,"Hit",J1184&gt;=6,"Average",J1184&lt;6,"Flop")</f>
        <v>Average</v>
      </c>
      <c r="S1184" s="9" t="str">
        <f>_xlfn.IFS(K1184&gt;=400,"Blockbuster",K1184&gt;=200,"Popular",K1184&lt;200,"Normal")</f>
        <v>Normal</v>
      </c>
      <c r="T1184" s="10" t="str">
        <f>IF(OR(I1184="PG",I1184="G"),"Yes","No")</f>
        <v>No</v>
      </c>
      <c r="U1184" s="11" t="str">
        <f>IF(P1184&gt;=100,"High","Low")</f>
        <v>Low</v>
      </c>
      <c r="V1184" s="28">
        <f t="shared" si="36"/>
        <v>60.900000000000006</v>
      </c>
      <c r="W1184" s="29">
        <f t="shared" si="37"/>
        <v>334.23076923076923</v>
      </c>
    </row>
    <row r="1185" spans="1:23" x14ac:dyDescent="0.3">
      <c r="A1185" s="1" t="s">
        <v>3391</v>
      </c>
      <c r="B1185" s="1" t="s">
        <v>3392</v>
      </c>
      <c r="C1185" s="1" t="s">
        <v>46</v>
      </c>
      <c r="D1185" s="1" t="s">
        <v>94</v>
      </c>
      <c r="E1185" s="1">
        <v>2017</v>
      </c>
      <c r="F1185" s="1" t="s">
        <v>83</v>
      </c>
      <c r="G1185" s="1" t="s">
        <v>2180</v>
      </c>
      <c r="H1185" s="1">
        <v>31</v>
      </c>
      <c r="I1185" s="1" t="s">
        <v>22</v>
      </c>
      <c r="J1185" s="1">
        <v>4.7</v>
      </c>
      <c r="K1185" s="1">
        <v>284.60000000000002</v>
      </c>
      <c r="L1185" s="1" t="s">
        <v>41</v>
      </c>
      <c r="M1185" s="1" t="s">
        <v>124</v>
      </c>
      <c r="N1185" s="1" t="s">
        <v>79</v>
      </c>
      <c r="O1185" s="1">
        <v>4</v>
      </c>
      <c r="P1185" s="1">
        <v>176</v>
      </c>
      <c r="Q1185" s="1">
        <v>574.5</v>
      </c>
      <c r="R1185" s="8" t="str">
        <f>_xlfn.IFS(J1185&gt;=8,"Hit",J1185&gt;=6,"Average",J1185&lt;6,"Flop")</f>
        <v>Flop</v>
      </c>
      <c r="S1185" s="9" t="str">
        <f>_xlfn.IFS(K1185&gt;=400,"Blockbuster",K1185&gt;=200,"Popular",K1185&lt;200,"Normal")</f>
        <v>Popular</v>
      </c>
      <c r="T1185" s="10" t="str">
        <f>IF(OR(I1185="PG",I1185="G"),"Yes","No")</f>
        <v>No</v>
      </c>
      <c r="U1185" s="11" t="str">
        <f>IF(P1185&gt;=100,"High","Low")</f>
        <v>High</v>
      </c>
      <c r="V1185" s="28">
        <f t="shared" si="36"/>
        <v>398.5</v>
      </c>
      <c r="W1185" s="29">
        <f t="shared" si="37"/>
        <v>326.42045454545456</v>
      </c>
    </row>
    <row r="1186" spans="1:23" x14ac:dyDescent="0.3">
      <c r="A1186" s="1" t="s">
        <v>3393</v>
      </c>
      <c r="B1186" s="1" t="s">
        <v>3394</v>
      </c>
      <c r="C1186" s="1" t="s">
        <v>46</v>
      </c>
      <c r="D1186" s="1" t="s">
        <v>94</v>
      </c>
      <c r="E1186" s="1">
        <v>2025</v>
      </c>
      <c r="F1186" s="1" t="s">
        <v>95</v>
      </c>
      <c r="G1186" s="1" t="s">
        <v>3395</v>
      </c>
      <c r="H1186" s="1">
        <v>35</v>
      </c>
      <c r="I1186" s="1" t="s">
        <v>31</v>
      </c>
      <c r="J1186" s="1">
        <v>9.1999999999999993</v>
      </c>
      <c r="K1186" s="1">
        <v>43.4</v>
      </c>
      <c r="L1186" s="1" t="s">
        <v>41</v>
      </c>
      <c r="M1186" s="1" t="s">
        <v>72</v>
      </c>
      <c r="N1186" s="1" t="s">
        <v>91</v>
      </c>
      <c r="O1186" s="1">
        <v>3</v>
      </c>
      <c r="P1186" s="1">
        <v>194</v>
      </c>
      <c r="Q1186" s="1">
        <v>774.3</v>
      </c>
      <c r="R1186" s="8" t="str">
        <f>_xlfn.IFS(J1186&gt;=8,"Hit",J1186&gt;=6,"Average",J1186&lt;6,"Flop")</f>
        <v>Hit</v>
      </c>
      <c r="S1186" s="9" t="str">
        <f>_xlfn.IFS(K1186&gt;=400,"Blockbuster",K1186&gt;=200,"Popular",K1186&lt;200,"Normal")</f>
        <v>Normal</v>
      </c>
      <c r="T1186" s="10" t="str">
        <f>IF(OR(I1186="PG",I1186="G"),"Yes","No")</f>
        <v>No</v>
      </c>
      <c r="U1186" s="11" t="str">
        <f>IF(P1186&gt;=100,"High","Low")</f>
        <v>High</v>
      </c>
      <c r="V1186" s="28">
        <f t="shared" si="36"/>
        <v>580.29999999999995</v>
      </c>
      <c r="W1186" s="29">
        <f t="shared" si="37"/>
        <v>399.12371134020617</v>
      </c>
    </row>
    <row r="1187" spans="1:23" x14ac:dyDescent="0.3">
      <c r="A1187" s="1" t="s">
        <v>3396</v>
      </c>
      <c r="B1187" s="1" t="s">
        <v>3397</v>
      </c>
      <c r="C1187" s="1" t="s">
        <v>46</v>
      </c>
      <c r="D1187" s="1" t="s">
        <v>28</v>
      </c>
      <c r="E1187" s="1">
        <v>2023</v>
      </c>
      <c r="F1187" s="1" t="s">
        <v>76</v>
      </c>
      <c r="G1187" s="1" t="s">
        <v>21</v>
      </c>
      <c r="H1187" s="1">
        <v>45</v>
      </c>
      <c r="I1187" s="1" t="s">
        <v>110</v>
      </c>
      <c r="J1187" s="1">
        <v>5.9</v>
      </c>
      <c r="K1187" s="1">
        <v>546.1</v>
      </c>
      <c r="L1187" s="1" t="s">
        <v>65</v>
      </c>
      <c r="M1187" s="1" t="s">
        <v>124</v>
      </c>
      <c r="N1187" s="1" t="s">
        <v>178</v>
      </c>
      <c r="O1187" s="1">
        <v>2</v>
      </c>
      <c r="P1187" s="1">
        <v>184</v>
      </c>
      <c r="Q1187" s="1">
        <v>569.20000000000005</v>
      </c>
      <c r="R1187" s="8" t="str">
        <f>_xlfn.IFS(J1187&gt;=8,"Hit",J1187&gt;=6,"Average",J1187&lt;6,"Flop")</f>
        <v>Flop</v>
      </c>
      <c r="S1187" s="9" t="str">
        <f>_xlfn.IFS(K1187&gt;=400,"Blockbuster",K1187&gt;=200,"Popular",K1187&lt;200,"Normal")</f>
        <v>Blockbuster</v>
      </c>
      <c r="T1187" s="10" t="str">
        <f>IF(OR(I1187="PG",I1187="G"),"Yes","No")</f>
        <v>No</v>
      </c>
      <c r="U1187" s="11" t="str">
        <f>IF(P1187&gt;=100,"High","Low")</f>
        <v>High</v>
      </c>
      <c r="V1187" s="28">
        <f t="shared" si="36"/>
        <v>385.20000000000005</v>
      </c>
      <c r="W1187" s="29">
        <f t="shared" si="37"/>
        <v>309.34782608695656</v>
      </c>
    </row>
    <row r="1188" spans="1:23" x14ac:dyDescent="0.3">
      <c r="A1188" s="1" t="s">
        <v>3398</v>
      </c>
      <c r="B1188" s="1" t="s">
        <v>3399</v>
      </c>
      <c r="C1188" s="1" t="s">
        <v>46</v>
      </c>
      <c r="D1188" s="1" t="s">
        <v>37</v>
      </c>
      <c r="E1188" s="1">
        <v>2005</v>
      </c>
      <c r="F1188" s="1" t="s">
        <v>95</v>
      </c>
      <c r="G1188" s="1" t="s">
        <v>417</v>
      </c>
      <c r="H1188" s="1">
        <v>34</v>
      </c>
      <c r="I1188" s="1" t="s">
        <v>22</v>
      </c>
      <c r="J1188" s="1">
        <v>9.6</v>
      </c>
      <c r="K1188" s="1">
        <v>353.4</v>
      </c>
      <c r="L1188" s="1" t="s">
        <v>65</v>
      </c>
      <c r="M1188" s="1" t="s">
        <v>111</v>
      </c>
      <c r="N1188" s="1" t="s">
        <v>128</v>
      </c>
      <c r="O1188" s="1">
        <v>3</v>
      </c>
      <c r="P1188" s="1">
        <v>113</v>
      </c>
      <c r="Q1188" s="1">
        <v>528.5</v>
      </c>
      <c r="R1188" s="8" t="str">
        <f>_xlfn.IFS(J1188&gt;=8,"Hit",J1188&gt;=6,"Average",J1188&lt;6,"Flop")</f>
        <v>Hit</v>
      </c>
      <c r="S1188" s="9" t="str">
        <f>_xlfn.IFS(K1188&gt;=400,"Blockbuster",K1188&gt;=200,"Popular",K1188&lt;200,"Normal")</f>
        <v>Popular</v>
      </c>
      <c r="T1188" s="10" t="str">
        <f>IF(OR(I1188="PG",I1188="G"),"Yes","No")</f>
        <v>No</v>
      </c>
      <c r="U1188" s="11" t="str">
        <f>IF(P1188&gt;=100,"High","Low")</f>
        <v>High</v>
      </c>
      <c r="V1188" s="28">
        <f t="shared" si="36"/>
        <v>415.5</v>
      </c>
      <c r="W1188" s="29">
        <f t="shared" si="37"/>
        <v>467.69911504424783</v>
      </c>
    </row>
    <row r="1189" spans="1:23" x14ac:dyDescent="0.3">
      <c r="A1189" s="1" t="s">
        <v>3400</v>
      </c>
      <c r="B1189" s="1" t="s">
        <v>3401</v>
      </c>
      <c r="C1189" s="1" t="s">
        <v>46</v>
      </c>
      <c r="D1189" s="1" t="s">
        <v>63</v>
      </c>
      <c r="E1189" s="1">
        <v>2009</v>
      </c>
      <c r="F1189" s="1" t="s">
        <v>76</v>
      </c>
      <c r="G1189" s="1" t="s">
        <v>3402</v>
      </c>
      <c r="H1189" s="1">
        <v>45</v>
      </c>
      <c r="I1189" s="1" t="s">
        <v>110</v>
      </c>
      <c r="J1189" s="1">
        <v>9.4</v>
      </c>
      <c r="K1189" s="1">
        <v>157</v>
      </c>
      <c r="L1189" s="1" t="s">
        <v>90</v>
      </c>
      <c r="M1189" s="1" t="s">
        <v>54</v>
      </c>
      <c r="N1189" s="1" t="s">
        <v>119</v>
      </c>
      <c r="O1189" s="1">
        <v>6</v>
      </c>
      <c r="P1189" s="1">
        <v>40</v>
      </c>
      <c r="Q1189" s="1">
        <v>198.6</v>
      </c>
      <c r="R1189" s="8" t="str">
        <f>_xlfn.IFS(J1189&gt;=8,"Hit",J1189&gt;=6,"Average",J1189&lt;6,"Flop")</f>
        <v>Hit</v>
      </c>
      <c r="S1189" s="9" t="str">
        <f>_xlfn.IFS(K1189&gt;=400,"Blockbuster",K1189&gt;=200,"Popular",K1189&lt;200,"Normal")</f>
        <v>Normal</v>
      </c>
      <c r="T1189" s="10" t="str">
        <f>IF(OR(I1189="PG",I1189="G"),"Yes","No")</f>
        <v>No</v>
      </c>
      <c r="U1189" s="11" t="str">
        <f>IF(P1189&gt;=100,"High","Low")</f>
        <v>Low</v>
      </c>
      <c r="V1189" s="28">
        <f t="shared" si="36"/>
        <v>158.6</v>
      </c>
      <c r="W1189" s="29">
        <f t="shared" si="37"/>
        <v>496.5</v>
      </c>
    </row>
    <row r="1190" spans="1:23" x14ac:dyDescent="0.3">
      <c r="A1190" s="1" t="s">
        <v>3403</v>
      </c>
      <c r="B1190" s="1" t="s">
        <v>3404</v>
      </c>
      <c r="C1190" s="1" t="s">
        <v>46</v>
      </c>
      <c r="D1190" s="1" t="s">
        <v>37</v>
      </c>
      <c r="E1190" s="1">
        <v>2025</v>
      </c>
      <c r="F1190" s="1" t="s">
        <v>95</v>
      </c>
      <c r="G1190" s="1" t="s">
        <v>1879</v>
      </c>
      <c r="H1190" s="1">
        <v>41</v>
      </c>
      <c r="I1190" s="1" t="s">
        <v>110</v>
      </c>
      <c r="J1190" s="1">
        <v>5.9</v>
      </c>
      <c r="K1190" s="1">
        <v>333.9</v>
      </c>
      <c r="L1190" s="1" t="s">
        <v>71</v>
      </c>
      <c r="M1190" s="1" t="s">
        <v>54</v>
      </c>
      <c r="N1190" s="1" t="s">
        <v>79</v>
      </c>
      <c r="O1190" s="1">
        <v>6</v>
      </c>
      <c r="P1190" s="1">
        <v>124</v>
      </c>
      <c r="Q1190" s="1">
        <v>477.5</v>
      </c>
      <c r="R1190" s="8" t="str">
        <f>_xlfn.IFS(J1190&gt;=8,"Hit",J1190&gt;=6,"Average",J1190&lt;6,"Flop")</f>
        <v>Flop</v>
      </c>
      <c r="S1190" s="9" t="str">
        <f>_xlfn.IFS(K1190&gt;=400,"Blockbuster",K1190&gt;=200,"Popular",K1190&lt;200,"Normal")</f>
        <v>Popular</v>
      </c>
      <c r="T1190" s="10" t="str">
        <f>IF(OR(I1190="PG",I1190="G"),"Yes","No")</f>
        <v>No</v>
      </c>
      <c r="U1190" s="11" t="str">
        <f>IF(P1190&gt;=100,"High","Low")</f>
        <v>High</v>
      </c>
      <c r="V1190" s="28">
        <f t="shared" si="36"/>
        <v>353.5</v>
      </c>
      <c r="W1190" s="29">
        <f t="shared" si="37"/>
        <v>385.08064516129031</v>
      </c>
    </row>
    <row r="1191" spans="1:23" x14ac:dyDescent="0.3">
      <c r="A1191" s="1" t="s">
        <v>3405</v>
      </c>
      <c r="B1191" s="1" t="s">
        <v>3406</v>
      </c>
      <c r="C1191" s="1" t="s">
        <v>46</v>
      </c>
      <c r="D1191" s="1" t="s">
        <v>19</v>
      </c>
      <c r="E1191" s="1">
        <v>2020</v>
      </c>
      <c r="F1191" s="1" t="s">
        <v>76</v>
      </c>
      <c r="G1191" s="1" t="s">
        <v>1725</v>
      </c>
      <c r="H1191" s="1">
        <v>32</v>
      </c>
      <c r="I1191" s="1" t="s">
        <v>31</v>
      </c>
      <c r="J1191" s="1">
        <v>5.7</v>
      </c>
      <c r="K1191" s="1">
        <v>173.5</v>
      </c>
      <c r="L1191" s="1" t="s">
        <v>171</v>
      </c>
      <c r="M1191" s="1" t="s">
        <v>33</v>
      </c>
      <c r="N1191" s="1" t="s">
        <v>60</v>
      </c>
      <c r="O1191" s="1">
        <v>2</v>
      </c>
      <c r="P1191" s="1">
        <v>200</v>
      </c>
      <c r="Q1191" s="1">
        <v>870.5</v>
      </c>
      <c r="R1191" s="8" t="str">
        <f>_xlfn.IFS(J1191&gt;=8,"Hit",J1191&gt;=6,"Average",J1191&lt;6,"Flop")</f>
        <v>Flop</v>
      </c>
      <c r="S1191" s="9" t="str">
        <f>_xlfn.IFS(K1191&gt;=400,"Blockbuster",K1191&gt;=200,"Popular",K1191&lt;200,"Normal")</f>
        <v>Normal</v>
      </c>
      <c r="T1191" s="10" t="str">
        <f>IF(OR(I1191="PG",I1191="G"),"Yes","No")</f>
        <v>No</v>
      </c>
      <c r="U1191" s="11" t="str">
        <f>IF(P1191&gt;=100,"High","Low")</f>
        <v>High</v>
      </c>
      <c r="V1191" s="28">
        <f t="shared" si="36"/>
        <v>670.5</v>
      </c>
      <c r="W1191" s="29">
        <f t="shared" si="37"/>
        <v>435.25</v>
      </c>
    </row>
    <row r="1192" spans="1:23" x14ac:dyDescent="0.3">
      <c r="A1192" s="1" t="s">
        <v>3407</v>
      </c>
      <c r="B1192" s="1" t="s">
        <v>3408</v>
      </c>
      <c r="C1192" s="1" t="s">
        <v>18</v>
      </c>
      <c r="D1192" s="1" t="s">
        <v>28</v>
      </c>
      <c r="E1192" s="1">
        <v>2013</v>
      </c>
      <c r="F1192" s="1" t="s">
        <v>122</v>
      </c>
      <c r="G1192" s="1" t="s">
        <v>583</v>
      </c>
      <c r="H1192" s="1">
        <v>113</v>
      </c>
      <c r="I1192" s="1" t="s">
        <v>40</v>
      </c>
      <c r="J1192" s="1">
        <v>4.5999999999999996</v>
      </c>
      <c r="K1192" s="1">
        <v>324.39999999999998</v>
      </c>
      <c r="L1192" s="1" t="s">
        <v>41</v>
      </c>
      <c r="M1192" s="1" t="s">
        <v>24</v>
      </c>
      <c r="N1192" s="1" t="s">
        <v>91</v>
      </c>
      <c r="O1192" s="1"/>
      <c r="P1192" s="1">
        <v>11</v>
      </c>
      <c r="Q1192" s="1">
        <v>55.3</v>
      </c>
      <c r="R1192" s="8" t="str">
        <f>_xlfn.IFS(J1192&gt;=8,"Hit",J1192&gt;=6,"Average",J1192&lt;6,"Flop")</f>
        <v>Flop</v>
      </c>
      <c r="S1192" s="9" t="str">
        <f>_xlfn.IFS(K1192&gt;=400,"Blockbuster",K1192&gt;=200,"Popular",K1192&lt;200,"Normal")</f>
        <v>Popular</v>
      </c>
      <c r="T1192" s="10" t="str">
        <f>IF(OR(I1192="PG",I1192="G"),"Yes","No")</f>
        <v>Yes</v>
      </c>
      <c r="U1192" s="11" t="str">
        <f>IF(P1192&gt;=100,"High","Low")</f>
        <v>Low</v>
      </c>
      <c r="V1192" s="28">
        <f t="shared" si="36"/>
        <v>44.3</v>
      </c>
      <c r="W1192" s="29">
        <f t="shared" si="37"/>
        <v>502.72727272727275</v>
      </c>
    </row>
    <row r="1193" spans="1:23" x14ac:dyDescent="0.3">
      <c r="A1193" s="1" t="s">
        <v>3409</v>
      </c>
      <c r="B1193" s="1" t="s">
        <v>3410</v>
      </c>
      <c r="C1193" s="1" t="s">
        <v>46</v>
      </c>
      <c r="D1193" s="1" t="s">
        <v>47</v>
      </c>
      <c r="E1193" s="1">
        <v>2001</v>
      </c>
      <c r="F1193" s="1" t="s">
        <v>38</v>
      </c>
      <c r="G1193" s="1" t="s">
        <v>3411</v>
      </c>
      <c r="H1193" s="1">
        <v>59</v>
      </c>
      <c r="I1193" s="1" t="s">
        <v>22</v>
      </c>
      <c r="J1193" s="1">
        <v>8.4</v>
      </c>
      <c r="K1193" s="1">
        <v>65.3</v>
      </c>
      <c r="L1193" s="1" t="s">
        <v>171</v>
      </c>
      <c r="M1193" s="1" t="s">
        <v>42</v>
      </c>
      <c r="N1193" s="1" t="s">
        <v>79</v>
      </c>
      <c r="O1193" s="1">
        <v>7</v>
      </c>
      <c r="P1193" s="1">
        <v>54</v>
      </c>
      <c r="Q1193" s="1">
        <v>149.9</v>
      </c>
      <c r="R1193" s="8" t="str">
        <f>_xlfn.IFS(J1193&gt;=8,"Hit",J1193&gt;=6,"Average",J1193&lt;6,"Flop")</f>
        <v>Hit</v>
      </c>
      <c r="S1193" s="9" t="str">
        <f>_xlfn.IFS(K1193&gt;=400,"Blockbuster",K1193&gt;=200,"Popular",K1193&lt;200,"Normal")</f>
        <v>Normal</v>
      </c>
      <c r="T1193" s="10" t="str">
        <f>IF(OR(I1193="PG",I1193="G"),"Yes","No")</f>
        <v>No</v>
      </c>
      <c r="U1193" s="11" t="str">
        <f>IF(P1193&gt;=100,"High","Low")</f>
        <v>Low</v>
      </c>
      <c r="V1193" s="28">
        <f t="shared" si="36"/>
        <v>95.9</v>
      </c>
      <c r="W1193" s="29">
        <f t="shared" si="37"/>
        <v>277.59259259259261</v>
      </c>
    </row>
    <row r="1194" spans="1:23" x14ac:dyDescent="0.3">
      <c r="A1194" s="1" t="s">
        <v>3412</v>
      </c>
      <c r="B1194" s="1" t="s">
        <v>3413</v>
      </c>
      <c r="C1194" s="1" t="s">
        <v>18</v>
      </c>
      <c r="D1194" s="1" t="s">
        <v>63</v>
      </c>
      <c r="E1194" s="1">
        <v>2021</v>
      </c>
      <c r="F1194" s="1" t="s">
        <v>48</v>
      </c>
      <c r="G1194" s="1" t="s">
        <v>3414</v>
      </c>
      <c r="H1194" s="1">
        <v>86</v>
      </c>
      <c r="I1194" s="1" t="s">
        <v>50</v>
      </c>
      <c r="J1194" s="1">
        <v>8.9</v>
      </c>
      <c r="K1194" s="1">
        <v>264.5</v>
      </c>
      <c r="L1194" s="1" t="s">
        <v>71</v>
      </c>
      <c r="M1194" s="1" t="s">
        <v>146</v>
      </c>
      <c r="N1194" s="1" t="s">
        <v>178</v>
      </c>
      <c r="O1194" s="1"/>
      <c r="P1194" s="1">
        <v>116</v>
      </c>
      <c r="Q1194" s="1">
        <v>657.9</v>
      </c>
      <c r="R1194" s="8" t="str">
        <f>_xlfn.IFS(J1194&gt;=8,"Hit",J1194&gt;=6,"Average",J1194&lt;6,"Flop")</f>
        <v>Hit</v>
      </c>
      <c r="S1194" s="9" t="str">
        <f>_xlfn.IFS(K1194&gt;=400,"Blockbuster",K1194&gt;=200,"Popular",K1194&lt;200,"Normal")</f>
        <v>Popular</v>
      </c>
      <c r="T1194" s="10" t="str">
        <f>IF(OR(I1194="PG",I1194="G"),"Yes","No")</f>
        <v>Yes</v>
      </c>
      <c r="U1194" s="11" t="str">
        <f>IF(P1194&gt;=100,"High","Low")</f>
        <v>High</v>
      </c>
      <c r="V1194" s="28">
        <f t="shared" si="36"/>
        <v>541.9</v>
      </c>
      <c r="W1194" s="29">
        <f t="shared" si="37"/>
        <v>567.15517241379314</v>
      </c>
    </row>
    <row r="1195" spans="1:23" x14ac:dyDescent="0.3">
      <c r="A1195" s="1" t="s">
        <v>3415</v>
      </c>
      <c r="B1195" s="1" t="s">
        <v>3416</v>
      </c>
      <c r="C1195" s="1" t="s">
        <v>46</v>
      </c>
      <c r="D1195" s="1" t="s">
        <v>63</v>
      </c>
      <c r="E1195" s="1">
        <v>2008</v>
      </c>
      <c r="F1195" s="1" t="s">
        <v>38</v>
      </c>
      <c r="G1195" s="1" t="s">
        <v>156</v>
      </c>
      <c r="H1195" s="1">
        <v>60</v>
      </c>
      <c r="I1195" s="1" t="s">
        <v>22</v>
      </c>
      <c r="J1195" s="1">
        <v>5.3</v>
      </c>
      <c r="K1195" s="1">
        <v>64.5</v>
      </c>
      <c r="L1195" s="1" t="s">
        <v>171</v>
      </c>
      <c r="M1195" s="1" t="s">
        <v>97</v>
      </c>
      <c r="N1195" s="1" t="s">
        <v>158</v>
      </c>
      <c r="O1195" s="1">
        <v>4</v>
      </c>
      <c r="P1195" s="1">
        <v>26</v>
      </c>
      <c r="Q1195" s="1">
        <v>41.1</v>
      </c>
      <c r="R1195" s="8" t="str">
        <f>_xlfn.IFS(J1195&gt;=8,"Hit",J1195&gt;=6,"Average",J1195&lt;6,"Flop")</f>
        <v>Flop</v>
      </c>
      <c r="S1195" s="9" t="str">
        <f>_xlfn.IFS(K1195&gt;=400,"Blockbuster",K1195&gt;=200,"Popular",K1195&lt;200,"Normal")</f>
        <v>Normal</v>
      </c>
      <c r="T1195" s="10" t="str">
        <f>IF(OR(I1195="PG",I1195="G"),"Yes","No")</f>
        <v>No</v>
      </c>
      <c r="U1195" s="11" t="str">
        <f>IF(P1195&gt;=100,"High","Low")</f>
        <v>Low</v>
      </c>
      <c r="V1195" s="28">
        <f t="shared" si="36"/>
        <v>15.100000000000001</v>
      </c>
      <c r="W1195" s="29">
        <f t="shared" si="37"/>
        <v>158.07692307692309</v>
      </c>
    </row>
    <row r="1196" spans="1:23" x14ac:dyDescent="0.3">
      <c r="A1196" s="1" t="s">
        <v>3417</v>
      </c>
      <c r="B1196" s="1" t="s">
        <v>3418</v>
      </c>
      <c r="C1196" s="1" t="s">
        <v>18</v>
      </c>
      <c r="D1196" s="1" t="s">
        <v>19</v>
      </c>
      <c r="E1196" s="1">
        <v>2022</v>
      </c>
      <c r="F1196" s="1" t="s">
        <v>48</v>
      </c>
      <c r="G1196" s="1" t="s">
        <v>3419</v>
      </c>
      <c r="H1196" s="1">
        <v>177</v>
      </c>
      <c r="I1196" s="1" t="s">
        <v>110</v>
      </c>
      <c r="J1196" s="1">
        <v>7.5</v>
      </c>
      <c r="K1196" s="1">
        <v>165.7</v>
      </c>
      <c r="L1196" s="1" t="s">
        <v>32</v>
      </c>
      <c r="M1196" s="1" t="s">
        <v>157</v>
      </c>
      <c r="N1196" s="1" t="s">
        <v>79</v>
      </c>
      <c r="O1196" s="1"/>
      <c r="P1196" s="1">
        <v>98</v>
      </c>
      <c r="Q1196" s="1">
        <v>386.8</v>
      </c>
      <c r="R1196" s="8" t="str">
        <f>_xlfn.IFS(J1196&gt;=8,"Hit",J1196&gt;=6,"Average",J1196&lt;6,"Flop")</f>
        <v>Average</v>
      </c>
      <c r="S1196" s="9" t="str">
        <f>_xlfn.IFS(K1196&gt;=400,"Blockbuster",K1196&gt;=200,"Popular",K1196&lt;200,"Normal")</f>
        <v>Normal</v>
      </c>
      <c r="T1196" s="10" t="str">
        <f>IF(OR(I1196="PG",I1196="G"),"Yes","No")</f>
        <v>No</v>
      </c>
      <c r="U1196" s="11" t="str">
        <f>IF(P1196&gt;=100,"High","Low")</f>
        <v>Low</v>
      </c>
      <c r="V1196" s="28">
        <f t="shared" si="36"/>
        <v>288.8</v>
      </c>
      <c r="W1196" s="29">
        <f t="shared" si="37"/>
        <v>394.69387755102042</v>
      </c>
    </row>
    <row r="1197" spans="1:23" x14ac:dyDescent="0.3">
      <c r="A1197" s="1" t="s">
        <v>3420</v>
      </c>
      <c r="B1197" s="1" t="s">
        <v>3421</v>
      </c>
      <c r="C1197" s="1" t="s">
        <v>46</v>
      </c>
      <c r="D1197" s="1" t="s">
        <v>94</v>
      </c>
      <c r="E1197" s="1">
        <v>2001</v>
      </c>
      <c r="F1197" s="1" t="s">
        <v>29</v>
      </c>
      <c r="G1197" s="1" t="s">
        <v>1197</v>
      </c>
      <c r="H1197" s="1">
        <v>34</v>
      </c>
      <c r="I1197" s="1" t="s">
        <v>22</v>
      </c>
      <c r="J1197" s="1">
        <v>6.5</v>
      </c>
      <c r="K1197" s="1">
        <v>346.7</v>
      </c>
      <c r="L1197" s="1" t="s">
        <v>65</v>
      </c>
      <c r="M1197" s="1" t="s">
        <v>33</v>
      </c>
      <c r="N1197" s="1" t="s">
        <v>60</v>
      </c>
      <c r="O1197" s="1">
        <v>1</v>
      </c>
      <c r="P1197" s="1">
        <v>44</v>
      </c>
      <c r="Q1197" s="1">
        <v>212.9</v>
      </c>
      <c r="R1197" s="8" t="str">
        <f>_xlfn.IFS(J1197&gt;=8,"Hit",J1197&gt;=6,"Average",J1197&lt;6,"Flop")</f>
        <v>Average</v>
      </c>
      <c r="S1197" s="9" t="str">
        <f>_xlfn.IFS(K1197&gt;=400,"Blockbuster",K1197&gt;=200,"Popular",K1197&lt;200,"Normal")</f>
        <v>Popular</v>
      </c>
      <c r="T1197" s="10" t="str">
        <f>IF(OR(I1197="PG",I1197="G"),"Yes","No")</f>
        <v>No</v>
      </c>
      <c r="U1197" s="11" t="str">
        <f>IF(P1197&gt;=100,"High","Low")</f>
        <v>Low</v>
      </c>
      <c r="V1197" s="28">
        <f t="shared" si="36"/>
        <v>168.9</v>
      </c>
      <c r="W1197" s="29">
        <f t="shared" si="37"/>
        <v>483.86363636363637</v>
      </c>
    </row>
    <row r="1198" spans="1:23" x14ac:dyDescent="0.3">
      <c r="A1198" s="1" t="s">
        <v>3422</v>
      </c>
      <c r="B1198" s="1" t="s">
        <v>3423</v>
      </c>
      <c r="C1198" s="1" t="s">
        <v>46</v>
      </c>
      <c r="D1198" s="1" t="s">
        <v>47</v>
      </c>
      <c r="E1198" s="1">
        <v>2017</v>
      </c>
      <c r="F1198" s="1" t="s">
        <v>29</v>
      </c>
      <c r="G1198" s="1" t="s">
        <v>3424</v>
      </c>
      <c r="H1198" s="1">
        <v>33</v>
      </c>
      <c r="I1198" s="1" t="s">
        <v>22</v>
      </c>
      <c r="J1198" s="1">
        <v>9.4</v>
      </c>
      <c r="K1198" s="1">
        <v>584.6</v>
      </c>
      <c r="L1198" s="1" t="s">
        <v>171</v>
      </c>
      <c r="M1198" s="1" t="s">
        <v>66</v>
      </c>
      <c r="N1198" s="1" t="s">
        <v>67</v>
      </c>
      <c r="O1198" s="1">
        <v>1</v>
      </c>
      <c r="P1198" s="1">
        <v>179</v>
      </c>
      <c r="Q1198" s="1">
        <v>772.1</v>
      </c>
      <c r="R1198" s="8" t="str">
        <f>_xlfn.IFS(J1198&gt;=8,"Hit",J1198&gt;=6,"Average",J1198&lt;6,"Flop")</f>
        <v>Hit</v>
      </c>
      <c r="S1198" s="9" t="str">
        <f>_xlfn.IFS(K1198&gt;=400,"Blockbuster",K1198&gt;=200,"Popular",K1198&lt;200,"Normal")</f>
        <v>Blockbuster</v>
      </c>
      <c r="T1198" s="10" t="str">
        <f>IF(OR(I1198="PG",I1198="G"),"Yes","No")</f>
        <v>No</v>
      </c>
      <c r="U1198" s="11" t="str">
        <f>IF(P1198&gt;=100,"High","Low")</f>
        <v>High</v>
      </c>
      <c r="V1198" s="28">
        <f t="shared" si="36"/>
        <v>593.1</v>
      </c>
      <c r="W1198" s="29">
        <f t="shared" si="37"/>
        <v>431.34078212290507</v>
      </c>
    </row>
    <row r="1199" spans="1:23" x14ac:dyDescent="0.3">
      <c r="A1199" s="1" t="s">
        <v>3425</v>
      </c>
      <c r="B1199" s="1" t="s">
        <v>3426</v>
      </c>
      <c r="C1199" s="1" t="s">
        <v>18</v>
      </c>
      <c r="D1199" s="1" t="s">
        <v>37</v>
      </c>
      <c r="E1199" s="1">
        <v>2014</v>
      </c>
      <c r="F1199" s="1" t="s">
        <v>100</v>
      </c>
      <c r="G1199" s="1" t="s">
        <v>3427</v>
      </c>
      <c r="H1199" s="1">
        <v>116</v>
      </c>
      <c r="I1199" s="1" t="s">
        <v>31</v>
      </c>
      <c r="J1199" s="1">
        <v>8.1</v>
      </c>
      <c r="K1199" s="1">
        <v>483.8</v>
      </c>
      <c r="L1199" s="1" t="s">
        <v>32</v>
      </c>
      <c r="M1199" s="1" t="s">
        <v>85</v>
      </c>
      <c r="N1199" s="1" t="s">
        <v>158</v>
      </c>
      <c r="O1199" s="1"/>
      <c r="P1199" s="1">
        <v>76</v>
      </c>
      <c r="Q1199" s="1">
        <v>151.6</v>
      </c>
      <c r="R1199" s="8" t="str">
        <f>_xlfn.IFS(J1199&gt;=8,"Hit",J1199&gt;=6,"Average",J1199&lt;6,"Flop")</f>
        <v>Hit</v>
      </c>
      <c r="S1199" s="9" t="str">
        <f>_xlfn.IFS(K1199&gt;=400,"Blockbuster",K1199&gt;=200,"Popular",K1199&lt;200,"Normal")</f>
        <v>Blockbuster</v>
      </c>
      <c r="T1199" s="10" t="str">
        <f>IF(OR(I1199="PG",I1199="G"),"Yes","No")</f>
        <v>No</v>
      </c>
      <c r="U1199" s="11" t="str">
        <f>IF(P1199&gt;=100,"High","Low")</f>
        <v>Low</v>
      </c>
      <c r="V1199" s="28">
        <f t="shared" si="36"/>
        <v>75.599999999999994</v>
      </c>
      <c r="W1199" s="29">
        <f t="shared" si="37"/>
        <v>199.4736842105263</v>
      </c>
    </row>
    <row r="1200" spans="1:23" x14ac:dyDescent="0.3">
      <c r="A1200" s="1" t="s">
        <v>3428</v>
      </c>
      <c r="B1200" s="1" t="s">
        <v>3429</v>
      </c>
      <c r="C1200" s="1" t="s">
        <v>46</v>
      </c>
      <c r="D1200" s="1" t="s">
        <v>82</v>
      </c>
      <c r="E1200" s="1">
        <v>2011</v>
      </c>
      <c r="F1200" s="1" t="s">
        <v>122</v>
      </c>
      <c r="G1200" s="1" t="s">
        <v>3430</v>
      </c>
      <c r="H1200" s="1">
        <v>46</v>
      </c>
      <c r="I1200" s="1" t="s">
        <v>22</v>
      </c>
      <c r="J1200" s="1">
        <v>6.9</v>
      </c>
      <c r="K1200" s="1">
        <v>170.1</v>
      </c>
      <c r="L1200" s="1" t="s">
        <v>23</v>
      </c>
      <c r="M1200" s="1" t="s">
        <v>85</v>
      </c>
      <c r="N1200" s="1" t="s">
        <v>79</v>
      </c>
      <c r="O1200" s="1">
        <v>3</v>
      </c>
      <c r="P1200" s="1">
        <v>17</v>
      </c>
      <c r="Q1200" s="1">
        <v>39.9</v>
      </c>
      <c r="R1200" s="8" t="str">
        <f>_xlfn.IFS(J1200&gt;=8,"Hit",J1200&gt;=6,"Average",J1200&lt;6,"Flop")</f>
        <v>Average</v>
      </c>
      <c r="S1200" s="9" t="str">
        <f>_xlfn.IFS(K1200&gt;=400,"Blockbuster",K1200&gt;=200,"Popular",K1200&lt;200,"Normal")</f>
        <v>Normal</v>
      </c>
      <c r="T1200" s="10" t="str">
        <f>IF(OR(I1200="PG",I1200="G"),"Yes","No")</f>
        <v>No</v>
      </c>
      <c r="U1200" s="11" t="str">
        <f>IF(P1200&gt;=100,"High","Low")</f>
        <v>Low</v>
      </c>
      <c r="V1200" s="28">
        <f t="shared" si="36"/>
        <v>22.9</v>
      </c>
      <c r="W1200" s="29">
        <f t="shared" si="37"/>
        <v>234.70588235294119</v>
      </c>
    </row>
    <row r="1201" spans="1:23" x14ac:dyDescent="0.3">
      <c r="A1201" s="1" t="s">
        <v>3431</v>
      </c>
      <c r="B1201" s="1" t="s">
        <v>3432</v>
      </c>
      <c r="C1201" s="1" t="s">
        <v>18</v>
      </c>
      <c r="D1201" s="1" t="s">
        <v>37</v>
      </c>
      <c r="E1201" s="1">
        <v>2023</v>
      </c>
      <c r="F1201" s="1" t="s">
        <v>83</v>
      </c>
      <c r="G1201" s="1" t="s">
        <v>3433</v>
      </c>
      <c r="H1201" s="1">
        <v>106</v>
      </c>
      <c r="I1201" s="1" t="s">
        <v>50</v>
      </c>
      <c r="J1201" s="1">
        <v>5.3</v>
      </c>
      <c r="K1201" s="1">
        <v>529.29999999999995</v>
      </c>
      <c r="L1201" s="1" t="s">
        <v>23</v>
      </c>
      <c r="M1201" s="1" t="s">
        <v>97</v>
      </c>
      <c r="N1201" s="1" t="s">
        <v>91</v>
      </c>
      <c r="O1201" s="1"/>
      <c r="P1201" s="1">
        <v>64</v>
      </c>
      <c r="Q1201" s="1">
        <v>345.8</v>
      </c>
      <c r="R1201" s="8" t="str">
        <f>_xlfn.IFS(J1201&gt;=8,"Hit",J1201&gt;=6,"Average",J1201&lt;6,"Flop")</f>
        <v>Flop</v>
      </c>
      <c r="S1201" s="9" t="str">
        <f>_xlfn.IFS(K1201&gt;=400,"Blockbuster",K1201&gt;=200,"Popular",K1201&lt;200,"Normal")</f>
        <v>Blockbuster</v>
      </c>
      <c r="T1201" s="10" t="str">
        <f>IF(OR(I1201="PG",I1201="G"),"Yes","No")</f>
        <v>Yes</v>
      </c>
      <c r="U1201" s="11" t="str">
        <f>IF(P1201&gt;=100,"High","Low")</f>
        <v>Low</v>
      </c>
      <c r="V1201" s="28">
        <f t="shared" si="36"/>
        <v>281.8</v>
      </c>
      <c r="W1201" s="29">
        <f t="shared" si="37"/>
        <v>540.3125</v>
      </c>
    </row>
    <row r="1202" spans="1:23" x14ac:dyDescent="0.3">
      <c r="A1202" s="1" t="s">
        <v>3434</v>
      </c>
      <c r="B1202" s="1" t="s">
        <v>3435</v>
      </c>
      <c r="C1202" s="1" t="s">
        <v>46</v>
      </c>
      <c r="D1202" s="1" t="s">
        <v>94</v>
      </c>
      <c r="E1202" s="1">
        <v>2013</v>
      </c>
      <c r="F1202" s="1" t="s">
        <v>181</v>
      </c>
      <c r="G1202" s="1" t="s">
        <v>3436</v>
      </c>
      <c r="H1202" s="1">
        <v>32</v>
      </c>
      <c r="I1202" s="1" t="s">
        <v>50</v>
      </c>
      <c r="J1202" s="1">
        <v>7.1</v>
      </c>
      <c r="K1202" s="1">
        <v>73.400000000000006</v>
      </c>
      <c r="L1202" s="1" t="s">
        <v>65</v>
      </c>
      <c r="M1202" s="1" t="s">
        <v>85</v>
      </c>
      <c r="N1202" s="1" t="s">
        <v>60</v>
      </c>
      <c r="O1202" s="1">
        <v>8</v>
      </c>
      <c r="P1202" s="1">
        <v>149</v>
      </c>
      <c r="Q1202" s="1">
        <v>189.8</v>
      </c>
      <c r="R1202" s="8" t="str">
        <f>_xlfn.IFS(J1202&gt;=8,"Hit",J1202&gt;=6,"Average",J1202&lt;6,"Flop")</f>
        <v>Average</v>
      </c>
      <c r="S1202" s="9" t="str">
        <f>_xlfn.IFS(K1202&gt;=400,"Blockbuster",K1202&gt;=200,"Popular",K1202&lt;200,"Normal")</f>
        <v>Normal</v>
      </c>
      <c r="T1202" s="10" t="str">
        <f>IF(OR(I1202="PG",I1202="G"),"Yes","No")</f>
        <v>Yes</v>
      </c>
      <c r="U1202" s="11" t="str">
        <f>IF(P1202&gt;=100,"High","Low")</f>
        <v>High</v>
      </c>
      <c r="V1202" s="28">
        <f t="shared" si="36"/>
        <v>40.800000000000011</v>
      </c>
      <c r="W1202" s="29">
        <f t="shared" si="37"/>
        <v>127.38255033557049</v>
      </c>
    </row>
    <row r="1203" spans="1:23" x14ac:dyDescent="0.3">
      <c r="A1203" s="1" t="s">
        <v>3437</v>
      </c>
      <c r="B1203" s="1" t="s">
        <v>3438</v>
      </c>
      <c r="C1203" s="1" t="s">
        <v>46</v>
      </c>
      <c r="D1203" s="1" t="s">
        <v>19</v>
      </c>
      <c r="E1203" s="1">
        <v>2024</v>
      </c>
      <c r="F1203" s="1" t="s">
        <v>48</v>
      </c>
      <c r="G1203" s="1" t="s">
        <v>3439</v>
      </c>
      <c r="H1203" s="1">
        <v>39</v>
      </c>
      <c r="I1203" s="1" t="s">
        <v>31</v>
      </c>
      <c r="J1203" s="1">
        <v>7.8</v>
      </c>
      <c r="K1203" s="1">
        <v>397.4</v>
      </c>
      <c r="L1203" s="1" t="s">
        <v>41</v>
      </c>
      <c r="M1203" s="1" t="s">
        <v>66</v>
      </c>
      <c r="N1203" s="1" t="s">
        <v>43</v>
      </c>
      <c r="O1203" s="1">
        <v>7</v>
      </c>
      <c r="P1203" s="1">
        <v>54</v>
      </c>
      <c r="Q1203" s="1">
        <v>181.2</v>
      </c>
      <c r="R1203" s="8" t="str">
        <f>_xlfn.IFS(J1203&gt;=8,"Hit",J1203&gt;=6,"Average",J1203&lt;6,"Flop")</f>
        <v>Average</v>
      </c>
      <c r="S1203" s="9" t="str">
        <f>_xlfn.IFS(K1203&gt;=400,"Blockbuster",K1203&gt;=200,"Popular",K1203&lt;200,"Normal")</f>
        <v>Popular</v>
      </c>
      <c r="T1203" s="10" t="str">
        <f>IF(OR(I1203="PG",I1203="G"),"Yes","No")</f>
        <v>No</v>
      </c>
      <c r="U1203" s="11" t="str">
        <f>IF(P1203&gt;=100,"High","Low")</f>
        <v>Low</v>
      </c>
      <c r="V1203" s="28">
        <f t="shared" si="36"/>
        <v>127.19999999999999</v>
      </c>
      <c r="W1203" s="29">
        <f t="shared" si="37"/>
        <v>335.55555555555554</v>
      </c>
    </row>
    <row r="1204" spans="1:23" x14ac:dyDescent="0.3">
      <c r="A1204" s="1" t="s">
        <v>3440</v>
      </c>
      <c r="B1204" s="1" t="s">
        <v>3441</v>
      </c>
      <c r="C1204" s="1" t="s">
        <v>46</v>
      </c>
      <c r="D1204" s="1" t="s">
        <v>47</v>
      </c>
      <c r="E1204" s="1">
        <v>2022</v>
      </c>
      <c r="F1204" s="1" t="s">
        <v>181</v>
      </c>
      <c r="G1204" s="1" t="s">
        <v>3442</v>
      </c>
      <c r="H1204" s="1">
        <v>48</v>
      </c>
      <c r="I1204" s="1" t="s">
        <v>22</v>
      </c>
      <c r="J1204" s="1">
        <v>4.5999999999999996</v>
      </c>
      <c r="K1204" s="1">
        <v>164.3</v>
      </c>
      <c r="L1204" s="1" t="s">
        <v>65</v>
      </c>
      <c r="M1204" s="1" t="s">
        <v>111</v>
      </c>
      <c r="N1204" s="1" t="s">
        <v>60</v>
      </c>
      <c r="O1204" s="1">
        <v>1</v>
      </c>
      <c r="P1204" s="1">
        <v>184</v>
      </c>
      <c r="Q1204" s="1">
        <v>1135.8</v>
      </c>
      <c r="R1204" s="8" t="str">
        <f>_xlfn.IFS(J1204&gt;=8,"Hit",J1204&gt;=6,"Average",J1204&lt;6,"Flop")</f>
        <v>Flop</v>
      </c>
      <c r="S1204" s="9" t="str">
        <f>_xlfn.IFS(K1204&gt;=400,"Blockbuster",K1204&gt;=200,"Popular",K1204&lt;200,"Normal")</f>
        <v>Normal</v>
      </c>
      <c r="T1204" s="10" t="str">
        <f>IF(OR(I1204="PG",I1204="G"),"Yes","No")</f>
        <v>No</v>
      </c>
      <c r="U1204" s="11" t="str">
        <f>IF(P1204&gt;=100,"High","Low")</f>
        <v>High</v>
      </c>
      <c r="V1204" s="28">
        <f t="shared" si="36"/>
        <v>951.8</v>
      </c>
      <c r="W1204" s="29">
        <f t="shared" si="37"/>
        <v>617.28260869565213</v>
      </c>
    </row>
    <row r="1205" spans="1:23" x14ac:dyDescent="0.3">
      <c r="A1205" s="1" t="s">
        <v>3443</v>
      </c>
      <c r="B1205" s="1" t="s">
        <v>3444</v>
      </c>
      <c r="C1205" s="1" t="s">
        <v>18</v>
      </c>
      <c r="D1205" s="1" t="s">
        <v>82</v>
      </c>
      <c r="E1205" s="1">
        <v>2012</v>
      </c>
      <c r="F1205" s="1" t="s">
        <v>29</v>
      </c>
      <c r="G1205" s="1" t="s">
        <v>3445</v>
      </c>
      <c r="H1205" s="1">
        <v>149</v>
      </c>
      <c r="I1205" s="1" t="s">
        <v>110</v>
      </c>
      <c r="J1205" s="1">
        <v>8.9</v>
      </c>
      <c r="K1205" s="1">
        <v>469.4</v>
      </c>
      <c r="L1205" s="1" t="s">
        <v>41</v>
      </c>
      <c r="M1205" s="1" t="s">
        <v>146</v>
      </c>
      <c r="N1205" s="1" t="s">
        <v>43</v>
      </c>
      <c r="O1205" s="1"/>
      <c r="P1205" s="1">
        <v>9</v>
      </c>
      <c r="Q1205" s="1">
        <v>50.9</v>
      </c>
      <c r="R1205" s="8" t="str">
        <f>_xlfn.IFS(J1205&gt;=8,"Hit",J1205&gt;=6,"Average",J1205&lt;6,"Flop")</f>
        <v>Hit</v>
      </c>
      <c r="S1205" s="9" t="str">
        <f>_xlfn.IFS(K1205&gt;=400,"Blockbuster",K1205&gt;=200,"Popular",K1205&lt;200,"Normal")</f>
        <v>Blockbuster</v>
      </c>
      <c r="T1205" s="10" t="str">
        <f>IF(OR(I1205="PG",I1205="G"),"Yes","No")</f>
        <v>No</v>
      </c>
      <c r="U1205" s="11" t="str">
        <f>IF(P1205&gt;=100,"High","Low")</f>
        <v>Low</v>
      </c>
      <c r="V1205" s="28">
        <f t="shared" si="36"/>
        <v>41.9</v>
      </c>
      <c r="W1205" s="29">
        <f t="shared" si="37"/>
        <v>565.55555555555554</v>
      </c>
    </row>
    <row r="1206" spans="1:23" x14ac:dyDescent="0.3">
      <c r="A1206" s="1" t="s">
        <v>3446</v>
      </c>
      <c r="B1206" s="1" t="s">
        <v>3447</v>
      </c>
      <c r="C1206" s="1" t="s">
        <v>18</v>
      </c>
      <c r="D1206" s="1" t="s">
        <v>94</v>
      </c>
      <c r="E1206" s="1">
        <v>2003</v>
      </c>
      <c r="F1206" s="1" t="s">
        <v>181</v>
      </c>
      <c r="G1206" s="1" t="s">
        <v>2473</v>
      </c>
      <c r="H1206" s="1">
        <v>88</v>
      </c>
      <c r="I1206" s="1" t="s">
        <v>22</v>
      </c>
      <c r="J1206" s="1">
        <v>6.5</v>
      </c>
      <c r="K1206" s="1">
        <v>455.4</v>
      </c>
      <c r="L1206" s="1" t="s">
        <v>23</v>
      </c>
      <c r="M1206" s="1" t="s">
        <v>24</v>
      </c>
      <c r="N1206" s="1" t="s">
        <v>25</v>
      </c>
      <c r="O1206" s="1"/>
      <c r="P1206" s="1">
        <v>46</v>
      </c>
      <c r="Q1206" s="1">
        <v>95</v>
      </c>
      <c r="R1206" s="8" t="str">
        <f>_xlfn.IFS(J1206&gt;=8,"Hit",J1206&gt;=6,"Average",J1206&lt;6,"Flop")</f>
        <v>Average</v>
      </c>
      <c r="S1206" s="9" t="str">
        <f>_xlfn.IFS(K1206&gt;=400,"Blockbuster",K1206&gt;=200,"Popular",K1206&lt;200,"Normal")</f>
        <v>Blockbuster</v>
      </c>
      <c r="T1206" s="10" t="str">
        <f>IF(OR(I1206="PG",I1206="G"),"Yes","No")</f>
        <v>No</v>
      </c>
      <c r="U1206" s="11" t="str">
        <f>IF(P1206&gt;=100,"High","Low")</f>
        <v>Low</v>
      </c>
      <c r="V1206" s="28">
        <f t="shared" si="36"/>
        <v>49</v>
      </c>
      <c r="W1206" s="29">
        <f t="shared" si="37"/>
        <v>206.52173913043475</v>
      </c>
    </row>
    <row r="1207" spans="1:23" x14ac:dyDescent="0.3">
      <c r="A1207" s="1" t="s">
        <v>3448</v>
      </c>
      <c r="B1207" s="1" t="s">
        <v>3449</v>
      </c>
      <c r="C1207" s="1" t="s">
        <v>18</v>
      </c>
      <c r="D1207" s="1" t="s">
        <v>58</v>
      </c>
      <c r="E1207" s="1">
        <v>2002</v>
      </c>
      <c r="F1207" s="1" t="s">
        <v>95</v>
      </c>
      <c r="G1207" s="1" t="s">
        <v>482</v>
      </c>
      <c r="H1207" s="1">
        <v>143</v>
      </c>
      <c r="I1207" s="1" t="s">
        <v>31</v>
      </c>
      <c r="J1207" s="1">
        <v>4.9000000000000004</v>
      </c>
      <c r="K1207" s="1">
        <v>119.4</v>
      </c>
      <c r="L1207" s="1" t="s">
        <v>32</v>
      </c>
      <c r="M1207" s="1" t="s">
        <v>146</v>
      </c>
      <c r="N1207" s="1" t="s">
        <v>128</v>
      </c>
      <c r="O1207" s="1"/>
      <c r="P1207" s="1">
        <v>136</v>
      </c>
      <c r="Q1207" s="1">
        <v>522.1</v>
      </c>
      <c r="R1207" s="8" t="str">
        <f>_xlfn.IFS(J1207&gt;=8,"Hit",J1207&gt;=6,"Average",J1207&lt;6,"Flop")</f>
        <v>Flop</v>
      </c>
      <c r="S1207" s="9" t="str">
        <f>_xlfn.IFS(K1207&gt;=400,"Blockbuster",K1207&gt;=200,"Popular",K1207&lt;200,"Normal")</f>
        <v>Normal</v>
      </c>
      <c r="T1207" s="10" t="str">
        <f>IF(OR(I1207="PG",I1207="G"),"Yes","No")</f>
        <v>No</v>
      </c>
      <c r="U1207" s="11" t="str">
        <f>IF(P1207&gt;=100,"High","Low")</f>
        <v>High</v>
      </c>
      <c r="V1207" s="28">
        <f t="shared" si="36"/>
        <v>386.1</v>
      </c>
      <c r="W1207" s="29">
        <f t="shared" si="37"/>
        <v>383.89705882352945</v>
      </c>
    </row>
    <row r="1208" spans="1:23" x14ac:dyDescent="0.3">
      <c r="A1208" s="1" t="s">
        <v>3450</v>
      </c>
      <c r="B1208" s="1" t="s">
        <v>3451</v>
      </c>
      <c r="C1208" s="1" t="s">
        <v>18</v>
      </c>
      <c r="D1208" s="1" t="s">
        <v>47</v>
      </c>
      <c r="E1208" s="1">
        <v>2000</v>
      </c>
      <c r="F1208" s="1" t="s">
        <v>20</v>
      </c>
      <c r="G1208" s="1" t="s">
        <v>3452</v>
      </c>
      <c r="H1208" s="1">
        <v>126</v>
      </c>
      <c r="I1208" s="1" t="s">
        <v>40</v>
      </c>
      <c r="J1208" s="1">
        <v>8.3000000000000007</v>
      </c>
      <c r="K1208" s="1">
        <v>380.8</v>
      </c>
      <c r="L1208" s="1" t="s">
        <v>90</v>
      </c>
      <c r="M1208" s="1" t="s">
        <v>146</v>
      </c>
      <c r="N1208" s="1" t="s">
        <v>60</v>
      </c>
      <c r="O1208" s="1"/>
      <c r="P1208" s="1">
        <v>161</v>
      </c>
      <c r="Q1208" s="1">
        <v>856.8</v>
      </c>
      <c r="R1208" s="8" t="str">
        <f>_xlfn.IFS(J1208&gt;=8,"Hit",J1208&gt;=6,"Average",J1208&lt;6,"Flop")</f>
        <v>Hit</v>
      </c>
      <c r="S1208" s="9" t="str">
        <f>_xlfn.IFS(K1208&gt;=400,"Blockbuster",K1208&gt;=200,"Popular",K1208&lt;200,"Normal")</f>
        <v>Popular</v>
      </c>
      <c r="T1208" s="10" t="str">
        <f>IF(OR(I1208="PG",I1208="G"),"Yes","No")</f>
        <v>Yes</v>
      </c>
      <c r="U1208" s="11" t="str">
        <f>IF(P1208&gt;=100,"High","Low")</f>
        <v>High</v>
      </c>
      <c r="V1208" s="28">
        <f t="shared" si="36"/>
        <v>695.8</v>
      </c>
      <c r="W1208" s="29">
        <f t="shared" si="37"/>
        <v>532.17391304347825</v>
      </c>
    </row>
    <row r="1209" spans="1:23" x14ac:dyDescent="0.3">
      <c r="A1209" s="1" t="s">
        <v>3453</v>
      </c>
      <c r="B1209" s="1" t="s">
        <v>3454</v>
      </c>
      <c r="C1209" s="1" t="s">
        <v>18</v>
      </c>
      <c r="D1209" s="1" t="s">
        <v>117</v>
      </c>
      <c r="E1209" s="1">
        <v>2023</v>
      </c>
      <c r="F1209" s="1" t="s">
        <v>83</v>
      </c>
      <c r="G1209" s="1" t="s">
        <v>3455</v>
      </c>
      <c r="H1209" s="1">
        <v>124</v>
      </c>
      <c r="I1209" s="1" t="s">
        <v>50</v>
      </c>
      <c r="J1209" s="1">
        <v>7.5</v>
      </c>
      <c r="K1209" s="1">
        <v>592.79999999999995</v>
      </c>
      <c r="L1209" s="1" t="s">
        <v>90</v>
      </c>
      <c r="M1209" s="1" t="s">
        <v>124</v>
      </c>
      <c r="N1209" s="1" t="s">
        <v>128</v>
      </c>
      <c r="O1209" s="1"/>
      <c r="P1209" s="1">
        <v>185</v>
      </c>
      <c r="Q1209" s="1">
        <v>715.4</v>
      </c>
      <c r="R1209" s="8" t="str">
        <f>_xlfn.IFS(J1209&gt;=8,"Hit",J1209&gt;=6,"Average",J1209&lt;6,"Flop")</f>
        <v>Average</v>
      </c>
      <c r="S1209" s="9" t="str">
        <f>_xlfn.IFS(K1209&gt;=400,"Blockbuster",K1209&gt;=200,"Popular",K1209&lt;200,"Normal")</f>
        <v>Blockbuster</v>
      </c>
      <c r="T1209" s="10" t="str">
        <f>IF(OR(I1209="PG",I1209="G"),"Yes","No")</f>
        <v>Yes</v>
      </c>
      <c r="U1209" s="11" t="str">
        <f>IF(P1209&gt;=100,"High","Low")</f>
        <v>High</v>
      </c>
      <c r="V1209" s="28">
        <f t="shared" si="36"/>
        <v>530.4</v>
      </c>
      <c r="W1209" s="29">
        <f t="shared" si="37"/>
        <v>386.70270270270271</v>
      </c>
    </row>
    <row r="1210" spans="1:23" x14ac:dyDescent="0.3">
      <c r="A1210" s="1" t="s">
        <v>3456</v>
      </c>
      <c r="B1210" s="1" t="s">
        <v>3457</v>
      </c>
      <c r="C1210" s="1" t="s">
        <v>46</v>
      </c>
      <c r="D1210" s="1" t="s">
        <v>28</v>
      </c>
      <c r="E1210" s="1">
        <v>2019</v>
      </c>
      <c r="F1210" s="1" t="s">
        <v>95</v>
      </c>
      <c r="G1210" s="1" t="s">
        <v>3458</v>
      </c>
      <c r="H1210" s="1">
        <v>31</v>
      </c>
      <c r="I1210" s="1" t="s">
        <v>22</v>
      </c>
      <c r="J1210" s="1">
        <v>4.8</v>
      </c>
      <c r="K1210" s="1">
        <v>323.39999999999998</v>
      </c>
      <c r="L1210" s="1" t="s">
        <v>71</v>
      </c>
      <c r="M1210" s="1" t="s">
        <v>24</v>
      </c>
      <c r="N1210" s="1" t="s">
        <v>153</v>
      </c>
      <c r="O1210" s="1">
        <v>2</v>
      </c>
      <c r="P1210" s="1">
        <v>61</v>
      </c>
      <c r="Q1210" s="1">
        <v>371.5</v>
      </c>
      <c r="R1210" s="8" t="str">
        <f>_xlfn.IFS(J1210&gt;=8,"Hit",J1210&gt;=6,"Average",J1210&lt;6,"Flop")</f>
        <v>Flop</v>
      </c>
      <c r="S1210" s="9" t="str">
        <f>_xlfn.IFS(K1210&gt;=400,"Blockbuster",K1210&gt;=200,"Popular",K1210&lt;200,"Normal")</f>
        <v>Popular</v>
      </c>
      <c r="T1210" s="10" t="str">
        <f>IF(OR(I1210="PG",I1210="G"),"Yes","No")</f>
        <v>No</v>
      </c>
      <c r="U1210" s="11" t="str">
        <f>IF(P1210&gt;=100,"High","Low")</f>
        <v>Low</v>
      </c>
      <c r="V1210" s="28">
        <f t="shared" si="36"/>
        <v>310.5</v>
      </c>
      <c r="W1210" s="29">
        <f t="shared" si="37"/>
        <v>609.01639344262298</v>
      </c>
    </row>
    <row r="1211" spans="1:23" x14ac:dyDescent="0.3">
      <c r="A1211" s="1" t="s">
        <v>3459</v>
      </c>
      <c r="B1211" s="1" t="s">
        <v>3460</v>
      </c>
      <c r="C1211" s="1" t="s">
        <v>46</v>
      </c>
      <c r="D1211" s="1" t="s">
        <v>117</v>
      </c>
      <c r="E1211" s="1">
        <v>2017</v>
      </c>
      <c r="F1211" s="1" t="s">
        <v>100</v>
      </c>
      <c r="G1211" s="1" t="s">
        <v>310</v>
      </c>
      <c r="H1211" s="1">
        <v>44</v>
      </c>
      <c r="I1211" s="1" t="s">
        <v>31</v>
      </c>
      <c r="J1211" s="1">
        <v>5.2</v>
      </c>
      <c r="K1211" s="1">
        <v>550.70000000000005</v>
      </c>
      <c r="L1211" s="1" t="s">
        <v>65</v>
      </c>
      <c r="M1211" s="1" t="s">
        <v>24</v>
      </c>
      <c r="N1211" s="1" t="s">
        <v>25</v>
      </c>
      <c r="O1211" s="1">
        <v>3</v>
      </c>
      <c r="P1211" s="1">
        <v>189</v>
      </c>
      <c r="Q1211" s="1">
        <v>582.5</v>
      </c>
      <c r="R1211" s="8" t="str">
        <f>_xlfn.IFS(J1211&gt;=8,"Hit",J1211&gt;=6,"Average",J1211&lt;6,"Flop")</f>
        <v>Flop</v>
      </c>
      <c r="S1211" s="9" t="str">
        <f>_xlfn.IFS(K1211&gt;=400,"Blockbuster",K1211&gt;=200,"Popular",K1211&lt;200,"Normal")</f>
        <v>Blockbuster</v>
      </c>
      <c r="T1211" s="10" t="str">
        <f>IF(OR(I1211="PG",I1211="G"),"Yes","No")</f>
        <v>No</v>
      </c>
      <c r="U1211" s="11" t="str">
        <f>IF(P1211&gt;=100,"High","Low")</f>
        <v>High</v>
      </c>
      <c r="V1211" s="28">
        <f t="shared" si="36"/>
        <v>393.5</v>
      </c>
      <c r="W1211" s="29">
        <f t="shared" si="37"/>
        <v>308.20105820105817</v>
      </c>
    </row>
    <row r="1212" spans="1:23" x14ac:dyDescent="0.3">
      <c r="A1212" s="1" t="s">
        <v>3461</v>
      </c>
      <c r="B1212" s="1" t="s">
        <v>3462</v>
      </c>
      <c r="C1212" s="1" t="s">
        <v>46</v>
      </c>
      <c r="D1212" s="1" t="s">
        <v>58</v>
      </c>
      <c r="E1212" s="1">
        <v>2022</v>
      </c>
      <c r="F1212" s="1" t="s">
        <v>122</v>
      </c>
      <c r="G1212" s="1" t="s">
        <v>3463</v>
      </c>
      <c r="H1212" s="1">
        <v>36</v>
      </c>
      <c r="I1212" s="1" t="s">
        <v>50</v>
      </c>
      <c r="J1212" s="1">
        <v>5.9</v>
      </c>
      <c r="K1212" s="1">
        <v>244.1</v>
      </c>
      <c r="L1212" s="1" t="s">
        <v>32</v>
      </c>
      <c r="M1212" s="1" t="s">
        <v>146</v>
      </c>
      <c r="N1212" s="1" t="s">
        <v>153</v>
      </c>
      <c r="O1212" s="1">
        <v>5</v>
      </c>
      <c r="P1212" s="1">
        <v>13</v>
      </c>
      <c r="Q1212" s="1">
        <v>48.5</v>
      </c>
      <c r="R1212" s="8" t="str">
        <f>_xlfn.IFS(J1212&gt;=8,"Hit",J1212&gt;=6,"Average",J1212&lt;6,"Flop")</f>
        <v>Flop</v>
      </c>
      <c r="S1212" s="9" t="str">
        <f>_xlfn.IFS(K1212&gt;=400,"Blockbuster",K1212&gt;=200,"Popular",K1212&lt;200,"Normal")</f>
        <v>Popular</v>
      </c>
      <c r="T1212" s="10" t="str">
        <f>IF(OR(I1212="PG",I1212="G"),"Yes","No")</f>
        <v>Yes</v>
      </c>
      <c r="U1212" s="11" t="str">
        <f>IF(P1212&gt;=100,"High","Low")</f>
        <v>Low</v>
      </c>
      <c r="V1212" s="28">
        <f t="shared" si="36"/>
        <v>35.5</v>
      </c>
      <c r="W1212" s="29">
        <f t="shared" si="37"/>
        <v>373.07692307692309</v>
      </c>
    </row>
    <row r="1213" spans="1:23" x14ac:dyDescent="0.3">
      <c r="A1213" s="1" t="s">
        <v>3464</v>
      </c>
      <c r="B1213" s="1" t="s">
        <v>3465</v>
      </c>
      <c r="C1213" s="1" t="s">
        <v>18</v>
      </c>
      <c r="D1213" s="1" t="s">
        <v>47</v>
      </c>
      <c r="E1213" s="1">
        <v>2009</v>
      </c>
      <c r="F1213" s="1" t="s">
        <v>20</v>
      </c>
      <c r="G1213" s="1" t="s">
        <v>3466</v>
      </c>
      <c r="H1213" s="1">
        <v>88</v>
      </c>
      <c r="I1213" s="1" t="s">
        <v>31</v>
      </c>
      <c r="J1213" s="1">
        <v>4.9000000000000004</v>
      </c>
      <c r="K1213" s="1">
        <v>423.8</v>
      </c>
      <c r="L1213" s="1" t="s">
        <v>71</v>
      </c>
      <c r="M1213" s="1" t="s">
        <v>157</v>
      </c>
      <c r="N1213" s="1" t="s">
        <v>55</v>
      </c>
      <c r="O1213" s="1"/>
      <c r="P1213" s="1">
        <v>111</v>
      </c>
      <c r="Q1213" s="1">
        <v>495.8</v>
      </c>
      <c r="R1213" s="8" t="str">
        <f>_xlfn.IFS(J1213&gt;=8,"Hit",J1213&gt;=6,"Average",J1213&lt;6,"Flop")</f>
        <v>Flop</v>
      </c>
      <c r="S1213" s="9" t="str">
        <f>_xlfn.IFS(K1213&gt;=400,"Blockbuster",K1213&gt;=200,"Popular",K1213&lt;200,"Normal")</f>
        <v>Blockbuster</v>
      </c>
      <c r="T1213" s="10" t="str">
        <f>IF(OR(I1213="PG",I1213="G"),"Yes","No")</f>
        <v>No</v>
      </c>
      <c r="U1213" s="11" t="str">
        <f>IF(P1213&gt;=100,"High","Low")</f>
        <v>High</v>
      </c>
      <c r="V1213" s="28">
        <f t="shared" si="36"/>
        <v>384.8</v>
      </c>
      <c r="W1213" s="29">
        <f t="shared" si="37"/>
        <v>446.66666666666669</v>
      </c>
    </row>
    <row r="1214" spans="1:23" x14ac:dyDescent="0.3">
      <c r="A1214" s="1" t="s">
        <v>3467</v>
      </c>
      <c r="B1214" s="1" t="s">
        <v>3468</v>
      </c>
      <c r="C1214" s="1" t="s">
        <v>18</v>
      </c>
      <c r="D1214" s="1" t="s">
        <v>94</v>
      </c>
      <c r="E1214" s="1">
        <v>2005</v>
      </c>
      <c r="F1214" s="1" t="s">
        <v>20</v>
      </c>
      <c r="G1214" s="1" t="s">
        <v>3469</v>
      </c>
      <c r="H1214" s="1">
        <v>89</v>
      </c>
      <c r="I1214" s="1" t="s">
        <v>50</v>
      </c>
      <c r="J1214" s="1">
        <v>6.9</v>
      </c>
      <c r="K1214" s="1">
        <v>273.60000000000002</v>
      </c>
      <c r="L1214" s="1" t="s">
        <v>32</v>
      </c>
      <c r="M1214" s="1" t="s">
        <v>42</v>
      </c>
      <c r="N1214" s="1" t="s">
        <v>91</v>
      </c>
      <c r="O1214" s="1"/>
      <c r="P1214" s="1">
        <v>59</v>
      </c>
      <c r="Q1214" s="1">
        <v>214.3</v>
      </c>
      <c r="R1214" s="8" t="str">
        <f>_xlfn.IFS(J1214&gt;=8,"Hit",J1214&gt;=6,"Average",J1214&lt;6,"Flop")</f>
        <v>Average</v>
      </c>
      <c r="S1214" s="9" t="str">
        <f>_xlfn.IFS(K1214&gt;=400,"Blockbuster",K1214&gt;=200,"Popular",K1214&lt;200,"Normal")</f>
        <v>Popular</v>
      </c>
      <c r="T1214" s="10" t="str">
        <f>IF(OR(I1214="PG",I1214="G"),"Yes","No")</f>
        <v>Yes</v>
      </c>
      <c r="U1214" s="11" t="str">
        <f>IF(P1214&gt;=100,"High","Low")</f>
        <v>Low</v>
      </c>
      <c r="V1214" s="28">
        <f t="shared" si="36"/>
        <v>155.30000000000001</v>
      </c>
      <c r="W1214" s="29">
        <f t="shared" si="37"/>
        <v>363.22033898305091</v>
      </c>
    </row>
    <row r="1215" spans="1:23" x14ac:dyDescent="0.3">
      <c r="A1215" s="1" t="s">
        <v>3470</v>
      </c>
      <c r="B1215" s="1" t="s">
        <v>3471</v>
      </c>
      <c r="C1215" s="1" t="s">
        <v>46</v>
      </c>
      <c r="D1215" s="1" t="s">
        <v>28</v>
      </c>
      <c r="E1215" s="1">
        <v>2019</v>
      </c>
      <c r="F1215" s="1" t="s">
        <v>100</v>
      </c>
      <c r="G1215" s="1" t="s">
        <v>3472</v>
      </c>
      <c r="H1215" s="1">
        <v>58</v>
      </c>
      <c r="I1215" s="1" t="s">
        <v>110</v>
      </c>
      <c r="J1215" s="1">
        <v>4.9000000000000004</v>
      </c>
      <c r="K1215" s="1">
        <v>431.4</v>
      </c>
      <c r="L1215" s="1" t="s">
        <v>71</v>
      </c>
      <c r="M1215" s="1" t="s">
        <v>85</v>
      </c>
      <c r="N1215" s="1" t="s">
        <v>128</v>
      </c>
      <c r="O1215" s="1">
        <v>8</v>
      </c>
      <c r="P1215" s="1">
        <v>46</v>
      </c>
      <c r="Q1215" s="1">
        <v>182.2</v>
      </c>
      <c r="R1215" s="8" t="str">
        <f>_xlfn.IFS(J1215&gt;=8,"Hit",J1215&gt;=6,"Average",J1215&lt;6,"Flop")</f>
        <v>Flop</v>
      </c>
      <c r="S1215" s="9" t="str">
        <f>_xlfn.IFS(K1215&gt;=400,"Blockbuster",K1215&gt;=200,"Popular",K1215&lt;200,"Normal")</f>
        <v>Blockbuster</v>
      </c>
      <c r="T1215" s="10" t="str">
        <f>IF(OR(I1215="PG",I1215="G"),"Yes","No")</f>
        <v>No</v>
      </c>
      <c r="U1215" s="11" t="str">
        <f>IF(P1215&gt;=100,"High","Low")</f>
        <v>Low</v>
      </c>
      <c r="V1215" s="28">
        <f t="shared" si="36"/>
        <v>136.19999999999999</v>
      </c>
      <c r="W1215" s="29">
        <f t="shared" si="37"/>
        <v>396.08695652173907</v>
      </c>
    </row>
    <row r="1216" spans="1:23" x14ac:dyDescent="0.3">
      <c r="A1216" s="1" t="s">
        <v>3473</v>
      </c>
      <c r="B1216" s="1" t="s">
        <v>3474</v>
      </c>
      <c r="C1216" s="1" t="s">
        <v>18</v>
      </c>
      <c r="D1216" s="1" t="s">
        <v>82</v>
      </c>
      <c r="E1216" s="1">
        <v>2013</v>
      </c>
      <c r="F1216" s="1" t="s">
        <v>29</v>
      </c>
      <c r="G1216" s="1" t="s">
        <v>3475</v>
      </c>
      <c r="H1216" s="1">
        <v>130</v>
      </c>
      <c r="I1216" s="1" t="s">
        <v>110</v>
      </c>
      <c r="J1216" s="1">
        <v>6.7</v>
      </c>
      <c r="K1216" s="1">
        <v>423</v>
      </c>
      <c r="L1216" s="1" t="s">
        <v>171</v>
      </c>
      <c r="M1216" s="1" t="s">
        <v>78</v>
      </c>
      <c r="N1216" s="1" t="s">
        <v>43</v>
      </c>
      <c r="O1216" s="1"/>
      <c r="P1216" s="1">
        <v>198</v>
      </c>
      <c r="Q1216" s="1">
        <v>461.3</v>
      </c>
      <c r="R1216" s="8" t="str">
        <f>_xlfn.IFS(J1216&gt;=8,"Hit",J1216&gt;=6,"Average",J1216&lt;6,"Flop")</f>
        <v>Average</v>
      </c>
      <c r="S1216" s="9" t="str">
        <f>_xlfn.IFS(K1216&gt;=400,"Blockbuster",K1216&gt;=200,"Popular",K1216&lt;200,"Normal")</f>
        <v>Blockbuster</v>
      </c>
      <c r="T1216" s="10" t="str">
        <f>IF(OR(I1216="PG",I1216="G"),"Yes","No")</f>
        <v>No</v>
      </c>
      <c r="U1216" s="11" t="str">
        <f>IF(P1216&gt;=100,"High","Low")</f>
        <v>High</v>
      </c>
      <c r="V1216" s="28">
        <f t="shared" si="36"/>
        <v>263.3</v>
      </c>
      <c r="W1216" s="29">
        <f t="shared" si="37"/>
        <v>232.97979797979798</v>
      </c>
    </row>
    <row r="1217" spans="1:23" x14ac:dyDescent="0.3">
      <c r="A1217" s="1" t="s">
        <v>3476</v>
      </c>
      <c r="B1217" s="1" t="s">
        <v>3477</v>
      </c>
      <c r="C1217" s="1" t="s">
        <v>46</v>
      </c>
      <c r="D1217" s="1" t="s">
        <v>28</v>
      </c>
      <c r="E1217" s="1">
        <v>2016</v>
      </c>
      <c r="F1217" s="1" t="s">
        <v>95</v>
      </c>
      <c r="G1217" s="1" t="s">
        <v>3478</v>
      </c>
      <c r="H1217" s="1">
        <v>51</v>
      </c>
      <c r="I1217" s="1" t="s">
        <v>50</v>
      </c>
      <c r="J1217" s="1">
        <v>5.2</v>
      </c>
      <c r="K1217" s="1">
        <v>584.20000000000005</v>
      </c>
      <c r="L1217" s="1" t="s">
        <v>90</v>
      </c>
      <c r="M1217" s="1" t="s">
        <v>106</v>
      </c>
      <c r="N1217" s="1" t="s">
        <v>158</v>
      </c>
      <c r="O1217" s="1">
        <v>4</v>
      </c>
      <c r="P1217" s="1">
        <v>44</v>
      </c>
      <c r="Q1217" s="1">
        <v>183</v>
      </c>
      <c r="R1217" s="8" t="str">
        <f>_xlfn.IFS(J1217&gt;=8,"Hit",J1217&gt;=6,"Average",J1217&lt;6,"Flop")</f>
        <v>Flop</v>
      </c>
      <c r="S1217" s="9" t="str">
        <f>_xlfn.IFS(K1217&gt;=400,"Blockbuster",K1217&gt;=200,"Popular",K1217&lt;200,"Normal")</f>
        <v>Blockbuster</v>
      </c>
      <c r="T1217" s="10" t="str">
        <f>IF(OR(I1217="PG",I1217="G"),"Yes","No")</f>
        <v>Yes</v>
      </c>
      <c r="U1217" s="11" t="str">
        <f>IF(P1217&gt;=100,"High","Low")</f>
        <v>Low</v>
      </c>
      <c r="V1217" s="28">
        <f t="shared" si="36"/>
        <v>139</v>
      </c>
      <c r="W1217" s="29">
        <f t="shared" si="37"/>
        <v>415.90909090909093</v>
      </c>
    </row>
    <row r="1218" spans="1:23" x14ac:dyDescent="0.3">
      <c r="A1218" s="1" t="s">
        <v>3479</v>
      </c>
      <c r="B1218" s="1" t="s">
        <v>3480</v>
      </c>
      <c r="C1218" s="1" t="s">
        <v>46</v>
      </c>
      <c r="D1218" s="1" t="s">
        <v>58</v>
      </c>
      <c r="E1218" s="1">
        <v>2019</v>
      </c>
      <c r="F1218" s="1" t="s">
        <v>29</v>
      </c>
      <c r="G1218" s="1" t="s">
        <v>2392</v>
      </c>
      <c r="H1218" s="1">
        <v>53</v>
      </c>
      <c r="I1218" s="1" t="s">
        <v>22</v>
      </c>
      <c r="J1218" s="1">
        <v>8.1</v>
      </c>
      <c r="K1218" s="1">
        <v>285.2</v>
      </c>
      <c r="L1218" s="1" t="s">
        <v>65</v>
      </c>
      <c r="M1218" s="1" t="s">
        <v>72</v>
      </c>
      <c r="N1218" s="1" t="s">
        <v>119</v>
      </c>
      <c r="O1218" s="1">
        <v>3</v>
      </c>
      <c r="P1218" s="1">
        <v>22</v>
      </c>
      <c r="Q1218" s="1">
        <v>100.3</v>
      </c>
      <c r="R1218" s="8" t="str">
        <f>_xlfn.IFS(J1218&gt;=8,"Hit",J1218&gt;=6,"Average",J1218&lt;6,"Flop")</f>
        <v>Hit</v>
      </c>
      <c r="S1218" s="9" t="str">
        <f>_xlfn.IFS(K1218&gt;=400,"Blockbuster",K1218&gt;=200,"Popular",K1218&lt;200,"Normal")</f>
        <v>Popular</v>
      </c>
      <c r="T1218" s="10" t="str">
        <f>IF(OR(I1218="PG",I1218="G"),"Yes","No")</f>
        <v>No</v>
      </c>
      <c r="U1218" s="11" t="str">
        <f>IF(P1218&gt;=100,"High","Low")</f>
        <v>Low</v>
      </c>
      <c r="V1218" s="28">
        <f t="shared" si="36"/>
        <v>78.3</v>
      </c>
      <c r="W1218" s="29">
        <f t="shared" si="37"/>
        <v>455.90909090909088</v>
      </c>
    </row>
    <row r="1219" spans="1:23" x14ac:dyDescent="0.3">
      <c r="A1219" s="1" t="s">
        <v>3481</v>
      </c>
      <c r="B1219" s="1" t="s">
        <v>3482</v>
      </c>
      <c r="C1219" s="1" t="s">
        <v>18</v>
      </c>
      <c r="D1219" s="1" t="s">
        <v>19</v>
      </c>
      <c r="E1219" s="1">
        <v>2017</v>
      </c>
      <c r="F1219" s="1" t="s">
        <v>122</v>
      </c>
      <c r="G1219" s="1" t="s">
        <v>3483</v>
      </c>
      <c r="H1219" s="1">
        <v>162</v>
      </c>
      <c r="I1219" s="1" t="s">
        <v>50</v>
      </c>
      <c r="J1219" s="1">
        <v>8.5</v>
      </c>
      <c r="K1219" s="1">
        <v>375.8</v>
      </c>
      <c r="L1219" s="1" t="s">
        <v>171</v>
      </c>
      <c r="M1219" s="1" t="s">
        <v>72</v>
      </c>
      <c r="N1219" s="1" t="s">
        <v>91</v>
      </c>
      <c r="O1219" s="1"/>
      <c r="P1219" s="1">
        <v>79</v>
      </c>
      <c r="Q1219" s="1">
        <v>405</v>
      </c>
      <c r="R1219" s="8" t="str">
        <f>_xlfn.IFS(J1219&gt;=8,"Hit",J1219&gt;=6,"Average",J1219&lt;6,"Flop")</f>
        <v>Hit</v>
      </c>
      <c r="S1219" s="9" t="str">
        <f>_xlfn.IFS(K1219&gt;=400,"Blockbuster",K1219&gt;=200,"Popular",K1219&lt;200,"Normal")</f>
        <v>Popular</v>
      </c>
      <c r="T1219" s="10" t="str">
        <f>IF(OR(I1219="PG",I1219="G"),"Yes","No")</f>
        <v>Yes</v>
      </c>
      <c r="U1219" s="11" t="str">
        <f>IF(P1219&gt;=100,"High","Low")</f>
        <v>Low</v>
      </c>
      <c r="V1219" s="28">
        <f t="shared" ref="V1219:V1282" si="38">Q1219-P1219</f>
        <v>326</v>
      </c>
      <c r="W1219" s="29">
        <f t="shared" ref="W1219:W1282" si="39">(Q1219/P1219)*100</f>
        <v>512.65822784810121</v>
      </c>
    </row>
    <row r="1220" spans="1:23" x14ac:dyDescent="0.3">
      <c r="A1220" s="1" t="s">
        <v>3484</v>
      </c>
      <c r="B1220" s="1" t="s">
        <v>3485</v>
      </c>
      <c r="C1220" s="1" t="s">
        <v>46</v>
      </c>
      <c r="D1220" s="1" t="s">
        <v>63</v>
      </c>
      <c r="E1220" s="1">
        <v>2006</v>
      </c>
      <c r="F1220" s="1" t="s">
        <v>100</v>
      </c>
      <c r="G1220" s="1" t="s">
        <v>3486</v>
      </c>
      <c r="H1220" s="1">
        <v>43</v>
      </c>
      <c r="I1220" s="1" t="s">
        <v>50</v>
      </c>
      <c r="J1220" s="1">
        <v>4.9000000000000004</v>
      </c>
      <c r="K1220" s="1">
        <v>199.2</v>
      </c>
      <c r="L1220" s="1" t="s">
        <v>65</v>
      </c>
      <c r="M1220" s="1" t="s">
        <v>66</v>
      </c>
      <c r="N1220" s="1" t="s">
        <v>60</v>
      </c>
      <c r="O1220" s="1">
        <v>6</v>
      </c>
      <c r="P1220" s="1">
        <v>9</v>
      </c>
      <c r="Q1220" s="1">
        <v>20.399999999999999</v>
      </c>
      <c r="R1220" s="8" t="str">
        <f>_xlfn.IFS(J1220&gt;=8,"Hit",J1220&gt;=6,"Average",J1220&lt;6,"Flop")</f>
        <v>Flop</v>
      </c>
      <c r="S1220" s="9" t="str">
        <f>_xlfn.IFS(K1220&gt;=400,"Blockbuster",K1220&gt;=200,"Popular",K1220&lt;200,"Normal")</f>
        <v>Normal</v>
      </c>
      <c r="T1220" s="10" t="str">
        <f>IF(OR(I1220="PG",I1220="G"),"Yes","No")</f>
        <v>Yes</v>
      </c>
      <c r="U1220" s="11" t="str">
        <f>IF(P1220&gt;=100,"High","Low")</f>
        <v>Low</v>
      </c>
      <c r="V1220" s="28">
        <f t="shared" si="38"/>
        <v>11.399999999999999</v>
      </c>
      <c r="W1220" s="29">
        <f t="shared" si="39"/>
        <v>226.66666666666666</v>
      </c>
    </row>
    <row r="1221" spans="1:23" x14ac:dyDescent="0.3">
      <c r="A1221" s="1" t="s">
        <v>3487</v>
      </c>
      <c r="B1221" s="1" t="s">
        <v>3488</v>
      </c>
      <c r="C1221" s="1" t="s">
        <v>46</v>
      </c>
      <c r="D1221" s="1" t="s">
        <v>82</v>
      </c>
      <c r="E1221" s="1">
        <v>2003</v>
      </c>
      <c r="F1221" s="1" t="s">
        <v>100</v>
      </c>
      <c r="G1221" s="1" t="s">
        <v>2134</v>
      </c>
      <c r="H1221" s="1">
        <v>44</v>
      </c>
      <c r="I1221" s="1" t="s">
        <v>110</v>
      </c>
      <c r="J1221" s="1">
        <v>5.2</v>
      </c>
      <c r="K1221" s="1">
        <v>107.8</v>
      </c>
      <c r="L1221" s="1" t="s">
        <v>171</v>
      </c>
      <c r="M1221" s="1" t="s">
        <v>24</v>
      </c>
      <c r="N1221" s="1" t="s">
        <v>79</v>
      </c>
      <c r="O1221" s="1">
        <v>3</v>
      </c>
      <c r="P1221" s="1">
        <v>197</v>
      </c>
      <c r="Q1221" s="1">
        <v>832.1</v>
      </c>
      <c r="R1221" s="8" t="str">
        <f>_xlfn.IFS(J1221&gt;=8,"Hit",J1221&gt;=6,"Average",J1221&lt;6,"Flop")</f>
        <v>Flop</v>
      </c>
      <c r="S1221" s="9" t="str">
        <f>_xlfn.IFS(K1221&gt;=400,"Blockbuster",K1221&gt;=200,"Popular",K1221&lt;200,"Normal")</f>
        <v>Normal</v>
      </c>
      <c r="T1221" s="10" t="str">
        <f>IF(OR(I1221="PG",I1221="G"),"Yes","No")</f>
        <v>No</v>
      </c>
      <c r="U1221" s="11" t="str">
        <f>IF(P1221&gt;=100,"High","Low")</f>
        <v>High</v>
      </c>
      <c r="V1221" s="28">
        <f t="shared" si="38"/>
        <v>635.1</v>
      </c>
      <c r="W1221" s="29">
        <f t="shared" si="39"/>
        <v>422.38578680203045</v>
      </c>
    </row>
    <row r="1222" spans="1:23" x14ac:dyDescent="0.3">
      <c r="A1222" s="1" t="s">
        <v>3489</v>
      </c>
      <c r="B1222" s="1" t="s">
        <v>3490</v>
      </c>
      <c r="C1222" s="1" t="s">
        <v>18</v>
      </c>
      <c r="D1222" s="1" t="s">
        <v>28</v>
      </c>
      <c r="E1222" s="1">
        <v>2014</v>
      </c>
      <c r="F1222" s="1" t="s">
        <v>20</v>
      </c>
      <c r="G1222" s="1" t="s">
        <v>3491</v>
      </c>
      <c r="H1222" s="1">
        <v>166</v>
      </c>
      <c r="I1222" s="1" t="s">
        <v>110</v>
      </c>
      <c r="J1222" s="1">
        <v>6.8</v>
      </c>
      <c r="K1222" s="1">
        <v>9.5</v>
      </c>
      <c r="L1222" s="1" t="s">
        <v>23</v>
      </c>
      <c r="M1222" s="1" t="s">
        <v>78</v>
      </c>
      <c r="N1222" s="1" t="s">
        <v>128</v>
      </c>
      <c r="O1222" s="1"/>
      <c r="P1222" s="1">
        <v>157</v>
      </c>
      <c r="Q1222" s="1">
        <v>276.8</v>
      </c>
      <c r="R1222" s="8" t="str">
        <f>_xlfn.IFS(J1222&gt;=8,"Hit",J1222&gt;=6,"Average",J1222&lt;6,"Flop")</f>
        <v>Average</v>
      </c>
      <c r="S1222" s="9" t="str">
        <f>_xlfn.IFS(K1222&gt;=400,"Blockbuster",K1222&gt;=200,"Popular",K1222&lt;200,"Normal")</f>
        <v>Normal</v>
      </c>
      <c r="T1222" s="10" t="str">
        <f>IF(OR(I1222="PG",I1222="G"),"Yes","No")</f>
        <v>No</v>
      </c>
      <c r="U1222" s="11" t="str">
        <f>IF(P1222&gt;=100,"High","Low")</f>
        <v>High</v>
      </c>
      <c r="V1222" s="28">
        <f t="shared" si="38"/>
        <v>119.80000000000001</v>
      </c>
      <c r="W1222" s="29">
        <f t="shared" si="39"/>
        <v>176.30573248407643</v>
      </c>
    </row>
    <row r="1223" spans="1:23" x14ac:dyDescent="0.3">
      <c r="A1223" s="1" t="s">
        <v>3492</v>
      </c>
      <c r="B1223" s="1" t="s">
        <v>3493</v>
      </c>
      <c r="C1223" s="1" t="s">
        <v>46</v>
      </c>
      <c r="D1223" s="1" t="s">
        <v>58</v>
      </c>
      <c r="E1223" s="1">
        <v>2005</v>
      </c>
      <c r="F1223" s="1" t="s">
        <v>181</v>
      </c>
      <c r="G1223" s="1" t="s">
        <v>3494</v>
      </c>
      <c r="H1223" s="1">
        <v>30</v>
      </c>
      <c r="I1223" s="1" t="s">
        <v>31</v>
      </c>
      <c r="J1223" s="1">
        <v>5</v>
      </c>
      <c r="K1223" s="1">
        <v>577.1</v>
      </c>
      <c r="L1223" s="1" t="s">
        <v>71</v>
      </c>
      <c r="M1223" s="1" t="s">
        <v>111</v>
      </c>
      <c r="N1223" s="1" t="s">
        <v>128</v>
      </c>
      <c r="O1223" s="1">
        <v>4</v>
      </c>
      <c r="P1223" s="1">
        <v>70</v>
      </c>
      <c r="Q1223" s="1">
        <v>420</v>
      </c>
      <c r="R1223" s="8" t="str">
        <f>_xlfn.IFS(J1223&gt;=8,"Hit",J1223&gt;=6,"Average",J1223&lt;6,"Flop")</f>
        <v>Flop</v>
      </c>
      <c r="S1223" s="9" t="str">
        <f>_xlfn.IFS(K1223&gt;=400,"Blockbuster",K1223&gt;=200,"Popular",K1223&lt;200,"Normal")</f>
        <v>Blockbuster</v>
      </c>
      <c r="T1223" s="10" t="str">
        <f>IF(OR(I1223="PG",I1223="G"),"Yes","No")</f>
        <v>No</v>
      </c>
      <c r="U1223" s="11" t="str">
        <f>IF(P1223&gt;=100,"High","Low")</f>
        <v>Low</v>
      </c>
      <c r="V1223" s="28">
        <f t="shared" si="38"/>
        <v>350</v>
      </c>
      <c r="W1223" s="29">
        <f t="shared" si="39"/>
        <v>600</v>
      </c>
    </row>
    <row r="1224" spans="1:23" x14ac:dyDescent="0.3">
      <c r="A1224" s="1" t="s">
        <v>3495</v>
      </c>
      <c r="B1224" s="1" t="s">
        <v>3496</v>
      </c>
      <c r="C1224" s="1" t="s">
        <v>18</v>
      </c>
      <c r="D1224" s="1" t="s">
        <v>117</v>
      </c>
      <c r="E1224" s="1">
        <v>2012</v>
      </c>
      <c r="F1224" s="1" t="s">
        <v>181</v>
      </c>
      <c r="G1224" s="1" t="s">
        <v>3497</v>
      </c>
      <c r="H1224" s="1">
        <v>145</v>
      </c>
      <c r="I1224" s="1" t="s">
        <v>110</v>
      </c>
      <c r="J1224" s="1">
        <v>5.6</v>
      </c>
      <c r="K1224" s="1">
        <v>468.4</v>
      </c>
      <c r="L1224" s="1" t="s">
        <v>41</v>
      </c>
      <c r="M1224" s="1" t="s">
        <v>24</v>
      </c>
      <c r="N1224" s="1" t="s">
        <v>119</v>
      </c>
      <c r="O1224" s="1"/>
      <c r="P1224" s="1">
        <v>66</v>
      </c>
      <c r="Q1224" s="1">
        <v>118.2</v>
      </c>
      <c r="R1224" s="8" t="str">
        <f>_xlfn.IFS(J1224&gt;=8,"Hit",J1224&gt;=6,"Average",J1224&lt;6,"Flop")</f>
        <v>Flop</v>
      </c>
      <c r="S1224" s="9" t="str">
        <f>_xlfn.IFS(K1224&gt;=400,"Blockbuster",K1224&gt;=200,"Popular",K1224&lt;200,"Normal")</f>
        <v>Blockbuster</v>
      </c>
      <c r="T1224" s="10" t="str">
        <f>IF(OR(I1224="PG",I1224="G"),"Yes","No")</f>
        <v>No</v>
      </c>
      <c r="U1224" s="11" t="str">
        <f>IF(P1224&gt;=100,"High","Low")</f>
        <v>Low</v>
      </c>
      <c r="V1224" s="28">
        <f t="shared" si="38"/>
        <v>52.2</v>
      </c>
      <c r="W1224" s="29">
        <f t="shared" si="39"/>
        <v>179.09090909090909</v>
      </c>
    </row>
    <row r="1225" spans="1:23" x14ac:dyDescent="0.3">
      <c r="A1225" s="1" t="s">
        <v>3498</v>
      </c>
      <c r="B1225" s="1" t="s">
        <v>3499</v>
      </c>
      <c r="C1225" s="1" t="s">
        <v>46</v>
      </c>
      <c r="D1225" s="1" t="s">
        <v>63</v>
      </c>
      <c r="E1225" s="1">
        <v>2008</v>
      </c>
      <c r="F1225" s="1" t="s">
        <v>48</v>
      </c>
      <c r="G1225" s="1" t="s">
        <v>757</v>
      </c>
      <c r="H1225" s="1">
        <v>54</v>
      </c>
      <c r="I1225" s="1" t="s">
        <v>22</v>
      </c>
      <c r="J1225" s="1">
        <v>5.0999999999999996</v>
      </c>
      <c r="K1225" s="1">
        <v>431.6</v>
      </c>
      <c r="L1225" s="1" t="s">
        <v>65</v>
      </c>
      <c r="M1225" s="1" t="s">
        <v>33</v>
      </c>
      <c r="N1225" s="1" t="s">
        <v>102</v>
      </c>
      <c r="O1225" s="1">
        <v>1</v>
      </c>
      <c r="P1225" s="1">
        <v>66</v>
      </c>
      <c r="Q1225" s="1">
        <v>159.6</v>
      </c>
      <c r="R1225" s="8" t="str">
        <f>_xlfn.IFS(J1225&gt;=8,"Hit",J1225&gt;=6,"Average",J1225&lt;6,"Flop")</f>
        <v>Flop</v>
      </c>
      <c r="S1225" s="9" t="str">
        <f>_xlfn.IFS(K1225&gt;=400,"Blockbuster",K1225&gt;=200,"Popular",K1225&lt;200,"Normal")</f>
        <v>Blockbuster</v>
      </c>
      <c r="T1225" s="10" t="str">
        <f>IF(OR(I1225="PG",I1225="G"),"Yes","No")</f>
        <v>No</v>
      </c>
      <c r="U1225" s="11" t="str">
        <f>IF(P1225&gt;=100,"High","Low")</f>
        <v>Low</v>
      </c>
      <c r="V1225" s="28">
        <f t="shared" si="38"/>
        <v>93.6</v>
      </c>
      <c r="W1225" s="29">
        <f t="shared" si="39"/>
        <v>241.81818181818181</v>
      </c>
    </row>
    <row r="1226" spans="1:23" x14ac:dyDescent="0.3">
      <c r="A1226" s="1" t="s">
        <v>3500</v>
      </c>
      <c r="B1226" s="1" t="s">
        <v>3501</v>
      </c>
      <c r="C1226" s="1" t="s">
        <v>46</v>
      </c>
      <c r="D1226" s="1" t="s">
        <v>58</v>
      </c>
      <c r="E1226" s="1">
        <v>2007</v>
      </c>
      <c r="F1226" s="1" t="s">
        <v>38</v>
      </c>
      <c r="G1226" s="1" t="s">
        <v>647</v>
      </c>
      <c r="H1226" s="1">
        <v>56</v>
      </c>
      <c r="I1226" s="1" t="s">
        <v>50</v>
      </c>
      <c r="J1226" s="1">
        <v>8</v>
      </c>
      <c r="K1226" s="1">
        <v>367.8</v>
      </c>
      <c r="L1226" s="1" t="s">
        <v>90</v>
      </c>
      <c r="M1226" s="1" t="s">
        <v>85</v>
      </c>
      <c r="N1226" s="1" t="s">
        <v>128</v>
      </c>
      <c r="O1226" s="1">
        <v>8</v>
      </c>
      <c r="P1226" s="1">
        <v>28</v>
      </c>
      <c r="Q1226" s="1">
        <v>38.1</v>
      </c>
      <c r="R1226" s="8" t="str">
        <f>_xlfn.IFS(J1226&gt;=8,"Hit",J1226&gt;=6,"Average",J1226&lt;6,"Flop")</f>
        <v>Hit</v>
      </c>
      <c r="S1226" s="9" t="str">
        <f>_xlfn.IFS(K1226&gt;=400,"Blockbuster",K1226&gt;=200,"Popular",K1226&lt;200,"Normal")</f>
        <v>Popular</v>
      </c>
      <c r="T1226" s="10" t="str">
        <f>IF(OR(I1226="PG",I1226="G"),"Yes","No")</f>
        <v>Yes</v>
      </c>
      <c r="U1226" s="11" t="str">
        <f>IF(P1226&gt;=100,"High","Low")</f>
        <v>Low</v>
      </c>
      <c r="V1226" s="28">
        <f t="shared" si="38"/>
        <v>10.100000000000001</v>
      </c>
      <c r="W1226" s="29">
        <f t="shared" si="39"/>
        <v>136.07142857142858</v>
      </c>
    </row>
    <row r="1227" spans="1:23" x14ac:dyDescent="0.3">
      <c r="A1227" s="1" t="s">
        <v>3502</v>
      </c>
      <c r="B1227" s="1" t="s">
        <v>3503</v>
      </c>
      <c r="C1227" s="1" t="s">
        <v>18</v>
      </c>
      <c r="D1227" s="1" t="s">
        <v>58</v>
      </c>
      <c r="E1227" s="1">
        <v>2009</v>
      </c>
      <c r="F1227" s="1" t="s">
        <v>20</v>
      </c>
      <c r="G1227" s="1" t="s">
        <v>2240</v>
      </c>
      <c r="H1227" s="1">
        <v>136</v>
      </c>
      <c r="I1227" s="1" t="s">
        <v>110</v>
      </c>
      <c r="J1227" s="1">
        <v>5.0999999999999996</v>
      </c>
      <c r="K1227" s="1">
        <v>288.5</v>
      </c>
      <c r="L1227" s="1" t="s">
        <v>41</v>
      </c>
      <c r="M1227" s="1" t="s">
        <v>42</v>
      </c>
      <c r="N1227" s="1" t="s">
        <v>153</v>
      </c>
      <c r="O1227" s="1"/>
      <c r="P1227" s="1">
        <v>22</v>
      </c>
      <c r="Q1227" s="1">
        <v>74.8</v>
      </c>
      <c r="R1227" s="8" t="str">
        <f>_xlfn.IFS(J1227&gt;=8,"Hit",J1227&gt;=6,"Average",J1227&lt;6,"Flop")</f>
        <v>Flop</v>
      </c>
      <c r="S1227" s="9" t="str">
        <f>_xlfn.IFS(K1227&gt;=400,"Blockbuster",K1227&gt;=200,"Popular",K1227&lt;200,"Normal")</f>
        <v>Popular</v>
      </c>
      <c r="T1227" s="10" t="str">
        <f>IF(OR(I1227="PG",I1227="G"),"Yes","No")</f>
        <v>No</v>
      </c>
      <c r="U1227" s="11" t="str">
        <f>IF(P1227&gt;=100,"High","Low")</f>
        <v>Low</v>
      </c>
      <c r="V1227" s="28">
        <f t="shared" si="38"/>
        <v>52.8</v>
      </c>
      <c r="W1227" s="29">
        <f t="shared" si="39"/>
        <v>340</v>
      </c>
    </row>
    <row r="1228" spans="1:23" x14ac:dyDescent="0.3">
      <c r="A1228" s="1" t="s">
        <v>3504</v>
      </c>
      <c r="B1228" s="1" t="s">
        <v>3505</v>
      </c>
      <c r="C1228" s="1" t="s">
        <v>18</v>
      </c>
      <c r="D1228" s="1" t="s">
        <v>94</v>
      </c>
      <c r="E1228" s="1">
        <v>2001</v>
      </c>
      <c r="F1228" s="1" t="s">
        <v>83</v>
      </c>
      <c r="G1228" s="1" t="s">
        <v>2213</v>
      </c>
      <c r="H1228" s="1">
        <v>96</v>
      </c>
      <c r="I1228" s="1" t="s">
        <v>31</v>
      </c>
      <c r="J1228" s="1">
        <v>8.1999999999999993</v>
      </c>
      <c r="K1228" s="1">
        <v>390.3</v>
      </c>
      <c r="L1228" s="1" t="s">
        <v>171</v>
      </c>
      <c r="M1228" s="1" t="s">
        <v>106</v>
      </c>
      <c r="N1228" s="1" t="s">
        <v>86</v>
      </c>
      <c r="O1228" s="1"/>
      <c r="P1228" s="1">
        <v>81</v>
      </c>
      <c r="Q1228" s="1">
        <v>360.7</v>
      </c>
      <c r="R1228" s="8" t="str">
        <f>_xlfn.IFS(J1228&gt;=8,"Hit",J1228&gt;=6,"Average",J1228&lt;6,"Flop")</f>
        <v>Hit</v>
      </c>
      <c r="S1228" s="9" t="str">
        <f>_xlfn.IFS(K1228&gt;=400,"Blockbuster",K1228&gt;=200,"Popular",K1228&lt;200,"Normal")</f>
        <v>Popular</v>
      </c>
      <c r="T1228" s="10" t="str">
        <f>IF(OR(I1228="PG",I1228="G"),"Yes","No")</f>
        <v>No</v>
      </c>
      <c r="U1228" s="11" t="str">
        <f>IF(P1228&gt;=100,"High","Low")</f>
        <v>Low</v>
      </c>
      <c r="V1228" s="28">
        <f t="shared" si="38"/>
        <v>279.7</v>
      </c>
      <c r="W1228" s="29">
        <f t="shared" si="39"/>
        <v>445.30864197530866</v>
      </c>
    </row>
    <row r="1229" spans="1:23" x14ac:dyDescent="0.3">
      <c r="A1229" s="1" t="s">
        <v>3506</v>
      </c>
      <c r="B1229" s="1" t="s">
        <v>3507</v>
      </c>
      <c r="C1229" s="1" t="s">
        <v>46</v>
      </c>
      <c r="D1229" s="1" t="s">
        <v>58</v>
      </c>
      <c r="E1229" s="1">
        <v>2009</v>
      </c>
      <c r="F1229" s="1" t="s">
        <v>48</v>
      </c>
      <c r="G1229" s="1" t="s">
        <v>1183</v>
      </c>
      <c r="H1229" s="1">
        <v>42</v>
      </c>
      <c r="I1229" s="1" t="s">
        <v>22</v>
      </c>
      <c r="J1229" s="1">
        <v>9.1</v>
      </c>
      <c r="K1229" s="1">
        <v>105.9</v>
      </c>
      <c r="L1229" s="1" t="s">
        <v>65</v>
      </c>
      <c r="M1229" s="1" t="s">
        <v>72</v>
      </c>
      <c r="N1229" s="1" t="s">
        <v>128</v>
      </c>
      <c r="O1229" s="1">
        <v>4</v>
      </c>
      <c r="P1229" s="1">
        <v>158</v>
      </c>
      <c r="Q1229" s="1">
        <v>552.4</v>
      </c>
      <c r="R1229" s="8" t="str">
        <f>_xlfn.IFS(J1229&gt;=8,"Hit",J1229&gt;=6,"Average",J1229&lt;6,"Flop")</f>
        <v>Hit</v>
      </c>
      <c r="S1229" s="9" t="str">
        <f>_xlfn.IFS(K1229&gt;=400,"Blockbuster",K1229&gt;=200,"Popular",K1229&lt;200,"Normal")</f>
        <v>Normal</v>
      </c>
      <c r="T1229" s="10" t="str">
        <f>IF(OR(I1229="PG",I1229="G"),"Yes","No")</f>
        <v>No</v>
      </c>
      <c r="U1229" s="11" t="str">
        <f>IF(P1229&gt;=100,"High","Low")</f>
        <v>High</v>
      </c>
      <c r="V1229" s="28">
        <f t="shared" si="38"/>
        <v>394.4</v>
      </c>
      <c r="W1229" s="29">
        <f t="shared" si="39"/>
        <v>349.62025316455697</v>
      </c>
    </row>
    <row r="1230" spans="1:23" x14ac:dyDescent="0.3">
      <c r="A1230" s="1" t="s">
        <v>3508</v>
      </c>
      <c r="B1230" s="1" t="s">
        <v>3509</v>
      </c>
      <c r="C1230" s="1" t="s">
        <v>18</v>
      </c>
      <c r="D1230" s="1" t="s">
        <v>47</v>
      </c>
      <c r="E1230" s="1">
        <v>2024</v>
      </c>
      <c r="F1230" s="1" t="s">
        <v>122</v>
      </c>
      <c r="G1230" s="1" t="s">
        <v>3510</v>
      </c>
      <c r="H1230" s="1">
        <v>151</v>
      </c>
      <c r="I1230" s="1" t="s">
        <v>40</v>
      </c>
      <c r="J1230" s="1">
        <v>5.6</v>
      </c>
      <c r="K1230" s="1">
        <v>392.9</v>
      </c>
      <c r="L1230" s="1" t="s">
        <v>171</v>
      </c>
      <c r="M1230" s="1" t="s">
        <v>146</v>
      </c>
      <c r="N1230" s="1" t="s">
        <v>158</v>
      </c>
      <c r="O1230" s="1"/>
      <c r="P1230" s="1">
        <v>64</v>
      </c>
      <c r="Q1230" s="1">
        <v>330.6</v>
      </c>
      <c r="R1230" s="8" t="str">
        <f>_xlfn.IFS(J1230&gt;=8,"Hit",J1230&gt;=6,"Average",J1230&lt;6,"Flop")</f>
        <v>Flop</v>
      </c>
      <c r="S1230" s="9" t="str">
        <f>_xlfn.IFS(K1230&gt;=400,"Blockbuster",K1230&gt;=200,"Popular",K1230&lt;200,"Normal")</f>
        <v>Popular</v>
      </c>
      <c r="T1230" s="10" t="str">
        <f>IF(OR(I1230="PG",I1230="G"),"Yes","No")</f>
        <v>Yes</v>
      </c>
      <c r="U1230" s="11" t="str">
        <f>IF(P1230&gt;=100,"High","Low")</f>
        <v>Low</v>
      </c>
      <c r="V1230" s="28">
        <f t="shared" si="38"/>
        <v>266.60000000000002</v>
      </c>
      <c r="W1230" s="29">
        <f t="shared" si="39"/>
        <v>516.5625</v>
      </c>
    </row>
    <row r="1231" spans="1:23" x14ac:dyDescent="0.3">
      <c r="A1231" s="1" t="s">
        <v>3511</v>
      </c>
      <c r="B1231" s="1" t="s">
        <v>3512</v>
      </c>
      <c r="C1231" s="1" t="s">
        <v>18</v>
      </c>
      <c r="D1231" s="1" t="s">
        <v>37</v>
      </c>
      <c r="E1231" s="1">
        <v>2004</v>
      </c>
      <c r="F1231" s="1" t="s">
        <v>38</v>
      </c>
      <c r="G1231" s="1" t="s">
        <v>3513</v>
      </c>
      <c r="H1231" s="1">
        <v>168</v>
      </c>
      <c r="I1231" s="1" t="s">
        <v>22</v>
      </c>
      <c r="J1231" s="1">
        <v>8.9</v>
      </c>
      <c r="K1231" s="1">
        <v>257.3</v>
      </c>
      <c r="L1231" s="1" t="s">
        <v>90</v>
      </c>
      <c r="M1231" s="1" t="s">
        <v>132</v>
      </c>
      <c r="N1231" s="1" t="s">
        <v>43</v>
      </c>
      <c r="O1231" s="1"/>
      <c r="P1231" s="1">
        <v>179</v>
      </c>
      <c r="Q1231" s="1">
        <v>1064.3</v>
      </c>
      <c r="R1231" s="8" t="str">
        <f>_xlfn.IFS(J1231&gt;=8,"Hit",J1231&gt;=6,"Average",J1231&lt;6,"Flop")</f>
        <v>Hit</v>
      </c>
      <c r="S1231" s="9" t="str">
        <f>_xlfn.IFS(K1231&gt;=400,"Blockbuster",K1231&gt;=200,"Popular",K1231&lt;200,"Normal")</f>
        <v>Popular</v>
      </c>
      <c r="T1231" s="10" t="str">
        <f>IF(OR(I1231="PG",I1231="G"),"Yes","No")</f>
        <v>No</v>
      </c>
      <c r="U1231" s="11" t="str">
        <f>IF(P1231&gt;=100,"High","Low")</f>
        <v>High</v>
      </c>
      <c r="V1231" s="28">
        <f t="shared" si="38"/>
        <v>885.3</v>
      </c>
      <c r="W1231" s="29">
        <f t="shared" si="39"/>
        <v>594.58100558659214</v>
      </c>
    </row>
    <row r="1232" spans="1:23" x14ac:dyDescent="0.3">
      <c r="A1232" s="1" t="s">
        <v>3514</v>
      </c>
      <c r="B1232" s="1" t="s">
        <v>3515</v>
      </c>
      <c r="C1232" s="1" t="s">
        <v>18</v>
      </c>
      <c r="D1232" s="1" t="s">
        <v>47</v>
      </c>
      <c r="E1232" s="1">
        <v>2005</v>
      </c>
      <c r="F1232" s="1" t="s">
        <v>83</v>
      </c>
      <c r="G1232" s="1" t="s">
        <v>3516</v>
      </c>
      <c r="H1232" s="1">
        <v>169</v>
      </c>
      <c r="I1232" s="1" t="s">
        <v>40</v>
      </c>
      <c r="J1232" s="1">
        <v>4.5999999999999996</v>
      </c>
      <c r="K1232" s="1">
        <v>441.7</v>
      </c>
      <c r="L1232" s="1" t="s">
        <v>23</v>
      </c>
      <c r="M1232" s="1" t="s">
        <v>97</v>
      </c>
      <c r="N1232" s="1" t="s">
        <v>79</v>
      </c>
      <c r="O1232" s="1"/>
      <c r="P1232" s="1">
        <v>181</v>
      </c>
      <c r="Q1232" s="1">
        <v>285.89999999999998</v>
      </c>
      <c r="R1232" s="8" t="str">
        <f>_xlfn.IFS(J1232&gt;=8,"Hit",J1232&gt;=6,"Average",J1232&lt;6,"Flop")</f>
        <v>Flop</v>
      </c>
      <c r="S1232" s="9" t="str">
        <f>_xlfn.IFS(K1232&gt;=400,"Blockbuster",K1232&gt;=200,"Popular",K1232&lt;200,"Normal")</f>
        <v>Blockbuster</v>
      </c>
      <c r="T1232" s="10" t="str">
        <f>IF(OR(I1232="PG",I1232="G"),"Yes","No")</f>
        <v>Yes</v>
      </c>
      <c r="U1232" s="11" t="str">
        <f>IF(P1232&gt;=100,"High","Low")</f>
        <v>High</v>
      </c>
      <c r="V1232" s="28">
        <f t="shared" si="38"/>
        <v>104.89999999999998</v>
      </c>
      <c r="W1232" s="29">
        <f t="shared" si="39"/>
        <v>157.95580110497235</v>
      </c>
    </row>
    <row r="1233" spans="1:23" x14ac:dyDescent="0.3">
      <c r="A1233" s="1" t="s">
        <v>3517</v>
      </c>
      <c r="B1233" s="1" t="s">
        <v>3518</v>
      </c>
      <c r="C1233" s="1" t="s">
        <v>18</v>
      </c>
      <c r="D1233" s="1" t="s">
        <v>37</v>
      </c>
      <c r="E1233" s="1">
        <v>2002</v>
      </c>
      <c r="F1233" s="1" t="s">
        <v>38</v>
      </c>
      <c r="G1233" s="1" t="s">
        <v>3519</v>
      </c>
      <c r="H1233" s="1">
        <v>87</v>
      </c>
      <c r="I1233" s="1" t="s">
        <v>110</v>
      </c>
      <c r="J1233" s="1">
        <v>5.4</v>
      </c>
      <c r="K1233" s="1">
        <v>122.3</v>
      </c>
      <c r="L1233" s="1" t="s">
        <v>71</v>
      </c>
      <c r="M1233" s="1" t="s">
        <v>24</v>
      </c>
      <c r="N1233" s="1" t="s">
        <v>91</v>
      </c>
      <c r="O1233" s="1"/>
      <c r="P1233" s="1">
        <v>186</v>
      </c>
      <c r="Q1233" s="1">
        <v>906.3</v>
      </c>
      <c r="R1233" s="8" t="str">
        <f>_xlfn.IFS(J1233&gt;=8,"Hit",J1233&gt;=6,"Average",J1233&lt;6,"Flop")</f>
        <v>Flop</v>
      </c>
      <c r="S1233" s="9" t="str">
        <f>_xlfn.IFS(K1233&gt;=400,"Blockbuster",K1233&gt;=200,"Popular",K1233&lt;200,"Normal")</f>
        <v>Normal</v>
      </c>
      <c r="T1233" s="10" t="str">
        <f>IF(OR(I1233="PG",I1233="G"),"Yes","No")</f>
        <v>No</v>
      </c>
      <c r="U1233" s="11" t="str">
        <f>IF(P1233&gt;=100,"High","Low")</f>
        <v>High</v>
      </c>
      <c r="V1233" s="28">
        <f t="shared" si="38"/>
        <v>720.3</v>
      </c>
      <c r="W1233" s="29">
        <f t="shared" si="39"/>
        <v>487.25806451612897</v>
      </c>
    </row>
    <row r="1234" spans="1:23" x14ac:dyDescent="0.3">
      <c r="A1234" s="1" t="s">
        <v>3520</v>
      </c>
      <c r="B1234" s="1" t="s">
        <v>3521</v>
      </c>
      <c r="C1234" s="1" t="s">
        <v>46</v>
      </c>
      <c r="D1234" s="1" t="s">
        <v>141</v>
      </c>
      <c r="E1234" s="1">
        <v>2013</v>
      </c>
      <c r="F1234" s="1" t="s">
        <v>29</v>
      </c>
      <c r="G1234" s="1" t="s">
        <v>3522</v>
      </c>
      <c r="H1234" s="1">
        <v>54</v>
      </c>
      <c r="I1234" s="1" t="s">
        <v>40</v>
      </c>
      <c r="J1234" s="1">
        <v>6.6</v>
      </c>
      <c r="K1234" s="1">
        <v>466.6</v>
      </c>
      <c r="L1234" s="1" t="s">
        <v>41</v>
      </c>
      <c r="M1234" s="1" t="s">
        <v>42</v>
      </c>
      <c r="N1234" s="1" t="s">
        <v>55</v>
      </c>
      <c r="O1234" s="1">
        <v>7</v>
      </c>
      <c r="P1234" s="1">
        <v>101</v>
      </c>
      <c r="Q1234" s="1">
        <v>359.7</v>
      </c>
      <c r="R1234" s="8" t="str">
        <f>_xlfn.IFS(J1234&gt;=8,"Hit",J1234&gt;=6,"Average",J1234&lt;6,"Flop")</f>
        <v>Average</v>
      </c>
      <c r="S1234" s="9" t="str">
        <f>_xlfn.IFS(K1234&gt;=400,"Blockbuster",K1234&gt;=200,"Popular",K1234&lt;200,"Normal")</f>
        <v>Blockbuster</v>
      </c>
      <c r="T1234" s="10" t="str">
        <f>IF(OR(I1234="PG",I1234="G"),"Yes","No")</f>
        <v>Yes</v>
      </c>
      <c r="U1234" s="11" t="str">
        <f>IF(P1234&gt;=100,"High","Low")</f>
        <v>High</v>
      </c>
      <c r="V1234" s="28">
        <f t="shared" si="38"/>
        <v>258.7</v>
      </c>
      <c r="W1234" s="29">
        <f t="shared" si="39"/>
        <v>356.13861386138615</v>
      </c>
    </row>
    <row r="1235" spans="1:23" x14ac:dyDescent="0.3">
      <c r="A1235" s="1" t="s">
        <v>3523</v>
      </c>
      <c r="B1235" s="1" t="s">
        <v>3524</v>
      </c>
      <c r="C1235" s="1" t="s">
        <v>46</v>
      </c>
      <c r="D1235" s="1" t="s">
        <v>58</v>
      </c>
      <c r="E1235" s="1">
        <v>2003</v>
      </c>
      <c r="F1235" s="1" t="s">
        <v>20</v>
      </c>
      <c r="G1235" s="1" t="s">
        <v>3525</v>
      </c>
      <c r="H1235" s="1">
        <v>56</v>
      </c>
      <c r="I1235" s="1" t="s">
        <v>22</v>
      </c>
      <c r="J1235" s="1">
        <v>5.0999999999999996</v>
      </c>
      <c r="K1235" s="1">
        <v>95.2</v>
      </c>
      <c r="L1235" s="1" t="s">
        <v>90</v>
      </c>
      <c r="M1235" s="1" t="s">
        <v>157</v>
      </c>
      <c r="N1235" s="1" t="s">
        <v>91</v>
      </c>
      <c r="O1235" s="1">
        <v>8</v>
      </c>
      <c r="P1235" s="1">
        <v>144</v>
      </c>
      <c r="Q1235" s="1">
        <v>667.8</v>
      </c>
      <c r="R1235" s="8" t="str">
        <f>_xlfn.IFS(J1235&gt;=8,"Hit",J1235&gt;=6,"Average",J1235&lt;6,"Flop")</f>
        <v>Flop</v>
      </c>
      <c r="S1235" s="9" t="str">
        <f>_xlfn.IFS(K1235&gt;=400,"Blockbuster",K1235&gt;=200,"Popular",K1235&lt;200,"Normal")</f>
        <v>Normal</v>
      </c>
      <c r="T1235" s="10" t="str">
        <f>IF(OR(I1235="PG",I1235="G"),"Yes","No")</f>
        <v>No</v>
      </c>
      <c r="U1235" s="11" t="str">
        <f>IF(P1235&gt;=100,"High","Low")</f>
        <v>High</v>
      </c>
      <c r="V1235" s="28">
        <f t="shared" si="38"/>
        <v>523.79999999999995</v>
      </c>
      <c r="W1235" s="29">
        <f t="shared" si="39"/>
        <v>463.74999999999994</v>
      </c>
    </row>
    <row r="1236" spans="1:23" x14ac:dyDescent="0.3">
      <c r="A1236" s="1" t="s">
        <v>3526</v>
      </c>
      <c r="B1236" s="1" t="s">
        <v>3527</v>
      </c>
      <c r="C1236" s="1" t="s">
        <v>46</v>
      </c>
      <c r="D1236" s="1" t="s">
        <v>75</v>
      </c>
      <c r="E1236" s="1">
        <v>2012</v>
      </c>
      <c r="F1236" s="1" t="s">
        <v>122</v>
      </c>
      <c r="G1236" s="1" t="s">
        <v>3528</v>
      </c>
      <c r="H1236" s="1">
        <v>44</v>
      </c>
      <c r="I1236" s="1" t="s">
        <v>50</v>
      </c>
      <c r="J1236" s="1">
        <v>7</v>
      </c>
      <c r="K1236" s="1">
        <v>492</v>
      </c>
      <c r="L1236" s="1" t="s">
        <v>171</v>
      </c>
      <c r="M1236" s="1" t="s">
        <v>111</v>
      </c>
      <c r="N1236" s="1" t="s">
        <v>60</v>
      </c>
      <c r="O1236" s="1">
        <v>7</v>
      </c>
      <c r="P1236" s="1">
        <v>179</v>
      </c>
      <c r="Q1236" s="1">
        <v>1051.5999999999999</v>
      </c>
      <c r="R1236" s="8" t="str">
        <f>_xlfn.IFS(J1236&gt;=8,"Hit",J1236&gt;=6,"Average",J1236&lt;6,"Flop")</f>
        <v>Average</v>
      </c>
      <c r="S1236" s="9" t="str">
        <f>_xlfn.IFS(K1236&gt;=400,"Blockbuster",K1236&gt;=200,"Popular",K1236&lt;200,"Normal")</f>
        <v>Blockbuster</v>
      </c>
      <c r="T1236" s="10" t="str">
        <f>IF(OR(I1236="PG",I1236="G"),"Yes","No")</f>
        <v>Yes</v>
      </c>
      <c r="U1236" s="11" t="str">
        <f>IF(P1236&gt;=100,"High","Low")</f>
        <v>High</v>
      </c>
      <c r="V1236" s="28">
        <f t="shared" si="38"/>
        <v>872.59999999999991</v>
      </c>
      <c r="W1236" s="29">
        <f t="shared" si="39"/>
        <v>587.48603351955296</v>
      </c>
    </row>
    <row r="1237" spans="1:23" x14ac:dyDescent="0.3">
      <c r="A1237" s="1" t="s">
        <v>3529</v>
      </c>
      <c r="B1237" s="1" t="s">
        <v>3530</v>
      </c>
      <c r="C1237" s="1" t="s">
        <v>18</v>
      </c>
      <c r="D1237" s="1" t="s">
        <v>58</v>
      </c>
      <c r="E1237" s="1">
        <v>2010</v>
      </c>
      <c r="F1237" s="1" t="s">
        <v>29</v>
      </c>
      <c r="G1237" s="1" t="s">
        <v>3531</v>
      </c>
      <c r="H1237" s="1">
        <v>141</v>
      </c>
      <c r="I1237" s="1" t="s">
        <v>50</v>
      </c>
      <c r="J1237" s="1">
        <v>4.9000000000000004</v>
      </c>
      <c r="K1237" s="1">
        <v>43.6</v>
      </c>
      <c r="L1237" s="1" t="s">
        <v>71</v>
      </c>
      <c r="M1237" s="1" t="s">
        <v>78</v>
      </c>
      <c r="N1237" s="1" t="s">
        <v>55</v>
      </c>
      <c r="O1237" s="1"/>
      <c r="P1237" s="1">
        <v>143</v>
      </c>
      <c r="Q1237" s="1">
        <v>463.6</v>
      </c>
      <c r="R1237" s="8" t="str">
        <f>_xlfn.IFS(J1237&gt;=8,"Hit",J1237&gt;=6,"Average",J1237&lt;6,"Flop")</f>
        <v>Flop</v>
      </c>
      <c r="S1237" s="9" t="str">
        <f>_xlfn.IFS(K1237&gt;=400,"Blockbuster",K1237&gt;=200,"Popular",K1237&lt;200,"Normal")</f>
        <v>Normal</v>
      </c>
      <c r="T1237" s="10" t="str">
        <f>IF(OR(I1237="PG",I1237="G"),"Yes","No")</f>
        <v>Yes</v>
      </c>
      <c r="U1237" s="11" t="str">
        <f>IF(P1237&gt;=100,"High","Low")</f>
        <v>High</v>
      </c>
      <c r="V1237" s="28">
        <f t="shared" si="38"/>
        <v>320.60000000000002</v>
      </c>
      <c r="W1237" s="29">
        <f t="shared" si="39"/>
        <v>324.19580419580421</v>
      </c>
    </row>
    <row r="1238" spans="1:23" x14ac:dyDescent="0.3">
      <c r="A1238" s="1" t="s">
        <v>3532</v>
      </c>
      <c r="B1238" s="1" t="s">
        <v>3533</v>
      </c>
      <c r="C1238" s="1" t="s">
        <v>18</v>
      </c>
      <c r="D1238" s="1" t="s">
        <v>141</v>
      </c>
      <c r="E1238" s="1">
        <v>2021</v>
      </c>
      <c r="F1238" s="1" t="s">
        <v>95</v>
      </c>
      <c r="G1238" s="1" t="s">
        <v>1364</v>
      </c>
      <c r="H1238" s="1">
        <v>158</v>
      </c>
      <c r="I1238" s="1" t="s">
        <v>110</v>
      </c>
      <c r="J1238" s="1">
        <v>5.3</v>
      </c>
      <c r="K1238" s="1">
        <v>212.3</v>
      </c>
      <c r="L1238" s="1" t="s">
        <v>65</v>
      </c>
      <c r="M1238" s="1" t="s">
        <v>111</v>
      </c>
      <c r="N1238" s="1" t="s">
        <v>178</v>
      </c>
      <c r="O1238" s="1"/>
      <c r="P1238" s="1">
        <v>45</v>
      </c>
      <c r="Q1238" s="1">
        <v>104.9</v>
      </c>
      <c r="R1238" s="8" t="str">
        <f>_xlfn.IFS(J1238&gt;=8,"Hit",J1238&gt;=6,"Average",J1238&lt;6,"Flop")</f>
        <v>Flop</v>
      </c>
      <c r="S1238" s="9" t="str">
        <f>_xlfn.IFS(K1238&gt;=400,"Blockbuster",K1238&gt;=200,"Popular",K1238&lt;200,"Normal")</f>
        <v>Popular</v>
      </c>
      <c r="T1238" s="10" t="str">
        <f>IF(OR(I1238="PG",I1238="G"),"Yes","No")</f>
        <v>No</v>
      </c>
      <c r="U1238" s="11" t="str">
        <f>IF(P1238&gt;=100,"High","Low")</f>
        <v>Low</v>
      </c>
      <c r="V1238" s="28">
        <f t="shared" si="38"/>
        <v>59.900000000000006</v>
      </c>
      <c r="W1238" s="29">
        <f t="shared" si="39"/>
        <v>233.11111111111114</v>
      </c>
    </row>
    <row r="1239" spans="1:23" x14ac:dyDescent="0.3">
      <c r="A1239" s="1" t="s">
        <v>3534</v>
      </c>
      <c r="B1239" s="1" t="s">
        <v>3535</v>
      </c>
      <c r="C1239" s="1" t="s">
        <v>46</v>
      </c>
      <c r="D1239" s="1" t="s">
        <v>47</v>
      </c>
      <c r="E1239" s="1">
        <v>2022</v>
      </c>
      <c r="F1239" s="1" t="s">
        <v>48</v>
      </c>
      <c r="G1239" s="1" t="s">
        <v>3536</v>
      </c>
      <c r="H1239" s="1">
        <v>59</v>
      </c>
      <c r="I1239" s="1" t="s">
        <v>22</v>
      </c>
      <c r="J1239" s="1">
        <v>9.4</v>
      </c>
      <c r="K1239" s="1">
        <v>76.7</v>
      </c>
      <c r="L1239" s="1" t="s">
        <v>41</v>
      </c>
      <c r="M1239" s="1" t="s">
        <v>146</v>
      </c>
      <c r="N1239" s="1" t="s">
        <v>79</v>
      </c>
      <c r="O1239" s="1">
        <v>5</v>
      </c>
      <c r="P1239" s="1">
        <v>54</v>
      </c>
      <c r="Q1239" s="1">
        <v>300.39999999999998</v>
      </c>
      <c r="R1239" s="8" t="str">
        <f>_xlfn.IFS(J1239&gt;=8,"Hit",J1239&gt;=6,"Average",J1239&lt;6,"Flop")</f>
        <v>Hit</v>
      </c>
      <c r="S1239" s="9" t="str">
        <f>_xlfn.IFS(K1239&gt;=400,"Blockbuster",K1239&gt;=200,"Popular",K1239&lt;200,"Normal")</f>
        <v>Normal</v>
      </c>
      <c r="T1239" s="10" t="str">
        <f>IF(OR(I1239="PG",I1239="G"),"Yes","No")</f>
        <v>No</v>
      </c>
      <c r="U1239" s="11" t="str">
        <f>IF(P1239&gt;=100,"High","Low")</f>
        <v>Low</v>
      </c>
      <c r="V1239" s="28">
        <f t="shared" si="38"/>
        <v>246.39999999999998</v>
      </c>
      <c r="W1239" s="29">
        <f t="shared" si="39"/>
        <v>556.29629629629619</v>
      </c>
    </row>
    <row r="1240" spans="1:23" x14ac:dyDescent="0.3">
      <c r="A1240" s="1" t="s">
        <v>3537</v>
      </c>
      <c r="B1240" s="1" t="s">
        <v>3538</v>
      </c>
      <c r="C1240" s="1" t="s">
        <v>18</v>
      </c>
      <c r="D1240" s="1" t="s">
        <v>28</v>
      </c>
      <c r="E1240" s="1">
        <v>2020</v>
      </c>
      <c r="F1240" s="1" t="s">
        <v>29</v>
      </c>
      <c r="G1240" s="1" t="s">
        <v>3539</v>
      </c>
      <c r="H1240" s="1">
        <v>139</v>
      </c>
      <c r="I1240" s="1" t="s">
        <v>31</v>
      </c>
      <c r="J1240" s="1">
        <v>9.3000000000000007</v>
      </c>
      <c r="K1240" s="1">
        <v>190.4</v>
      </c>
      <c r="L1240" s="1" t="s">
        <v>65</v>
      </c>
      <c r="M1240" s="1" t="s">
        <v>146</v>
      </c>
      <c r="N1240" s="1" t="s">
        <v>67</v>
      </c>
      <c r="O1240" s="1"/>
      <c r="P1240" s="1">
        <v>97</v>
      </c>
      <c r="Q1240" s="1">
        <v>159.4</v>
      </c>
      <c r="R1240" s="8" t="str">
        <f>_xlfn.IFS(J1240&gt;=8,"Hit",J1240&gt;=6,"Average",J1240&lt;6,"Flop")</f>
        <v>Hit</v>
      </c>
      <c r="S1240" s="9" t="str">
        <f>_xlfn.IFS(K1240&gt;=400,"Blockbuster",K1240&gt;=200,"Popular",K1240&lt;200,"Normal")</f>
        <v>Normal</v>
      </c>
      <c r="T1240" s="10" t="str">
        <f>IF(OR(I1240="PG",I1240="G"),"Yes","No")</f>
        <v>No</v>
      </c>
      <c r="U1240" s="11" t="str">
        <f>IF(P1240&gt;=100,"High","Low")</f>
        <v>Low</v>
      </c>
      <c r="V1240" s="28">
        <f t="shared" si="38"/>
        <v>62.400000000000006</v>
      </c>
      <c r="W1240" s="29">
        <f t="shared" si="39"/>
        <v>164.32989690721652</v>
      </c>
    </row>
    <row r="1241" spans="1:23" x14ac:dyDescent="0.3">
      <c r="A1241" s="1" t="s">
        <v>3540</v>
      </c>
      <c r="B1241" s="1" t="s">
        <v>3541</v>
      </c>
      <c r="C1241" s="1" t="s">
        <v>18</v>
      </c>
      <c r="D1241" s="1" t="s">
        <v>94</v>
      </c>
      <c r="E1241" s="1">
        <v>2016</v>
      </c>
      <c r="F1241" s="1" t="s">
        <v>48</v>
      </c>
      <c r="G1241" s="1" t="s">
        <v>3542</v>
      </c>
      <c r="H1241" s="1">
        <v>140</v>
      </c>
      <c r="I1241" s="1" t="s">
        <v>40</v>
      </c>
      <c r="J1241" s="1">
        <v>5.5</v>
      </c>
      <c r="K1241" s="1">
        <v>362.2</v>
      </c>
      <c r="L1241" s="1" t="s">
        <v>41</v>
      </c>
      <c r="M1241" s="1" t="s">
        <v>78</v>
      </c>
      <c r="N1241" s="1" t="s">
        <v>128</v>
      </c>
      <c r="O1241" s="1"/>
      <c r="P1241" s="1">
        <v>115</v>
      </c>
      <c r="Q1241" s="1">
        <v>586.9</v>
      </c>
      <c r="R1241" s="8" t="str">
        <f>_xlfn.IFS(J1241&gt;=8,"Hit",J1241&gt;=6,"Average",J1241&lt;6,"Flop")</f>
        <v>Flop</v>
      </c>
      <c r="S1241" s="9" t="str">
        <f>_xlfn.IFS(K1241&gt;=400,"Blockbuster",K1241&gt;=200,"Popular",K1241&lt;200,"Normal")</f>
        <v>Popular</v>
      </c>
      <c r="T1241" s="10" t="str">
        <f>IF(OR(I1241="PG",I1241="G"),"Yes","No")</f>
        <v>Yes</v>
      </c>
      <c r="U1241" s="11" t="str">
        <f>IF(P1241&gt;=100,"High","Low")</f>
        <v>High</v>
      </c>
      <c r="V1241" s="28">
        <f t="shared" si="38"/>
        <v>471.9</v>
      </c>
      <c r="W1241" s="29">
        <f t="shared" si="39"/>
        <v>510.3478260869565</v>
      </c>
    </row>
    <row r="1242" spans="1:23" x14ac:dyDescent="0.3">
      <c r="A1242" s="1" t="s">
        <v>3543</v>
      </c>
      <c r="B1242" s="1" t="s">
        <v>3544</v>
      </c>
      <c r="C1242" s="1" t="s">
        <v>18</v>
      </c>
      <c r="D1242" s="1" t="s">
        <v>75</v>
      </c>
      <c r="E1242" s="1">
        <v>2010</v>
      </c>
      <c r="F1242" s="1" t="s">
        <v>95</v>
      </c>
      <c r="G1242" s="1" t="s">
        <v>3148</v>
      </c>
      <c r="H1242" s="1">
        <v>145</v>
      </c>
      <c r="I1242" s="1" t="s">
        <v>50</v>
      </c>
      <c r="J1242" s="1">
        <v>5.0999999999999996</v>
      </c>
      <c r="K1242" s="1">
        <v>125.5</v>
      </c>
      <c r="L1242" s="1" t="s">
        <v>32</v>
      </c>
      <c r="M1242" s="1" t="s">
        <v>157</v>
      </c>
      <c r="N1242" s="1" t="s">
        <v>119</v>
      </c>
      <c r="O1242" s="1"/>
      <c r="P1242" s="1">
        <v>103</v>
      </c>
      <c r="Q1242" s="1">
        <v>667.9</v>
      </c>
      <c r="R1242" s="8" t="str">
        <f>_xlfn.IFS(J1242&gt;=8,"Hit",J1242&gt;=6,"Average",J1242&lt;6,"Flop")</f>
        <v>Flop</v>
      </c>
      <c r="S1242" s="9" t="str">
        <f>_xlfn.IFS(K1242&gt;=400,"Blockbuster",K1242&gt;=200,"Popular",K1242&lt;200,"Normal")</f>
        <v>Normal</v>
      </c>
      <c r="T1242" s="10" t="str">
        <f>IF(OR(I1242="PG",I1242="G"),"Yes","No")</f>
        <v>Yes</v>
      </c>
      <c r="U1242" s="11" t="str">
        <f>IF(P1242&gt;=100,"High","Low")</f>
        <v>High</v>
      </c>
      <c r="V1242" s="28">
        <f t="shared" si="38"/>
        <v>564.9</v>
      </c>
      <c r="W1242" s="29">
        <f t="shared" si="39"/>
        <v>648.44660194174764</v>
      </c>
    </row>
    <row r="1243" spans="1:23" x14ac:dyDescent="0.3">
      <c r="A1243" s="1" t="s">
        <v>3545</v>
      </c>
      <c r="B1243" s="1" t="s">
        <v>3546</v>
      </c>
      <c r="C1243" s="1" t="s">
        <v>46</v>
      </c>
      <c r="D1243" s="1" t="s">
        <v>19</v>
      </c>
      <c r="E1243" s="1">
        <v>2005</v>
      </c>
      <c r="F1243" s="1" t="s">
        <v>20</v>
      </c>
      <c r="G1243" s="1" t="s">
        <v>3547</v>
      </c>
      <c r="H1243" s="1">
        <v>47</v>
      </c>
      <c r="I1243" s="1" t="s">
        <v>22</v>
      </c>
      <c r="J1243" s="1">
        <v>6.8</v>
      </c>
      <c r="K1243" s="1">
        <v>433.2</v>
      </c>
      <c r="L1243" s="1" t="s">
        <v>171</v>
      </c>
      <c r="M1243" s="1" t="s">
        <v>146</v>
      </c>
      <c r="N1243" s="1" t="s">
        <v>60</v>
      </c>
      <c r="O1243" s="1">
        <v>7</v>
      </c>
      <c r="P1243" s="1">
        <v>116</v>
      </c>
      <c r="Q1243" s="1">
        <v>674.8</v>
      </c>
      <c r="R1243" s="8" t="str">
        <f>_xlfn.IFS(J1243&gt;=8,"Hit",J1243&gt;=6,"Average",J1243&lt;6,"Flop")</f>
        <v>Average</v>
      </c>
      <c r="S1243" s="9" t="str">
        <f>_xlfn.IFS(K1243&gt;=400,"Blockbuster",K1243&gt;=200,"Popular",K1243&lt;200,"Normal")</f>
        <v>Blockbuster</v>
      </c>
      <c r="T1243" s="10" t="str">
        <f>IF(OR(I1243="PG",I1243="G"),"Yes","No")</f>
        <v>No</v>
      </c>
      <c r="U1243" s="11" t="str">
        <f>IF(P1243&gt;=100,"High","Low")</f>
        <v>High</v>
      </c>
      <c r="V1243" s="28">
        <f t="shared" si="38"/>
        <v>558.79999999999995</v>
      </c>
      <c r="W1243" s="29">
        <f t="shared" si="39"/>
        <v>581.72413793103442</v>
      </c>
    </row>
    <row r="1244" spans="1:23" x14ac:dyDescent="0.3">
      <c r="A1244" s="1" t="s">
        <v>3548</v>
      </c>
      <c r="B1244" s="1" t="s">
        <v>3549</v>
      </c>
      <c r="C1244" s="1" t="s">
        <v>46</v>
      </c>
      <c r="D1244" s="1" t="s">
        <v>63</v>
      </c>
      <c r="E1244" s="1">
        <v>2019</v>
      </c>
      <c r="F1244" s="1" t="s">
        <v>95</v>
      </c>
      <c r="G1244" s="1" t="s">
        <v>1923</v>
      </c>
      <c r="H1244" s="1">
        <v>43</v>
      </c>
      <c r="I1244" s="1" t="s">
        <v>50</v>
      </c>
      <c r="J1244" s="1">
        <v>7.4</v>
      </c>
      <c r="K1244" s="1">
        <v>220.5</v>
      </c>
      <c r="L1244" s="1" t="s">
        <v>23</v>
      </c>
      <c r="M1244" s="1" t="s">
        <v>78</v>
      </c>
      <c r="N1244" s="1" t="s">
        <v>102</v>
      </c>
      <c r="O1244" s="1">
        <v>7</v>
      </c>
      <c r="P1244" s="1">
        <v>98</v>
      </c>
      <c r="Q1244" s="1">
        <v>600.4</v>
      </c>
      <c r="R1244" s="8" t="str">
        <f>_xlfn.IFS(J1244&gt;=8,"Hit",J1244&gt;=6,"Average",J1244&lt;6,"Flop")</f>
        <v>Average</v>
      </c>
      <c r="S1244" s="9" t="str">
        <f>_xlfn.IFS(K1244&gt;=400,"Blockbuster",K1244&gt;=200,"Popular",K1244&lt;200,"Normal")</f>
        <v>Popular</v>
      </c>
      <c r="T1244" s="10" t="str">
        <f>IF(OR(I1244="PG",I1244="G"),"Yes","No")</f>
        <v>Yes</v>
      </c>
      <c r="U1244" s="11" t="str">
        <f>IF(P1244&gt;=100,"High","Low")</f>
        <v>Low</v>
      </c>
      <c r="V1244" s="28">
        <f t="shared" si="38"/>
        <v>502.4</v>
      </c>
      <c r="W1244" s="29">
        <f t="shared" si="39"/>
        <v>612.65306122448976</v>
      </c>
    </row>
    <row r="1245" spans="1:23" x14ac:dyDescent="0.3">
      <c r="A1245" s="1" t="s">
        <v>3550</v>
      </c>
      <c r="B1245" s="1" t="s">
        <v>3551</v>
      </c>
      <c r="C1245" s="1" t="s">
        <v>18</v>
      </c>
      <c r="D1245" s="1" t="s">
        <v>141</v>
      </c>
      <c r="E1245" s="1">
        <v>2025</v>
      </c>
      <c r="F1245" s="1" t="s">
        <v>29</v>
      </c>
      <c r="G1245" s="1" t="s">
        <v>3552</v>
      </c>
      <c r="H1245" s="1">
        <v>161</v>
      </c>
      <c r="I1245" s="1" t="s">
        <v>22</v>
      </c>
      <c r="J1245" s="1">
        <v>7.5</v>
      </c>
      <c r="K1245" s="1">
        <v>198.2</v>
      </c>
      <c r="L1245" s="1" t="s">
        <v>171</v>
      </c>
      <c r="M1245" s="1" t="s">
        <v>66</v>
      </c>
      <c r="N1245" s="1" t="s">
        <v>60</v>
      </c>
      <c r="O1245" s="1"/>
      <c r="P1245" s="1">
        <v>196</v>
      </c>
      <c r="Q1245" s="1">
        <v>1238.5</v>
      </c>
      <c r="R1245" s="8" t="str">
        <f>_xlfn.IFS(J1245&gt;=8,"Hit",J1245&gt;=6,"Average",J1245&lt;6,"Flop")</f>
        <v>Average</v>
      </c>
      <c r="S1245" s="9" t="str">
        <f>_xlfn.IFS(K1245&gt;=400,"Blockbuster",K1245&gt;=200,"Popular",K1245&lt;200,"Normal")</f>
        <v>Normal</v>
      </c>
      <c r="T1245" s="10" t="str">
        <f>IF(OR(I1245="PG",I1245="G"),"Yes","No")</f>
        <v>No</v>
      </c>
      <c r="U1245" s="11" t="str">
        <f>IF(P1245&gt;=100,"High","Low")</f>
        <v>High</v>
      </c>
      <c r="V1245" s="28">
        <f t="shared" si="38"/>
        <v>1042.5</v>
      </c>
      <c r="W1245" s="29">
        <f t="shared" si="39"/>
        <v>631.88775510204084</v>
      </c>
    </row>
    <row r="1246" spans="1:23" x14ac:dyDescent="0.3">
      <c r="A1246" s="1" t="s">
        <v>3553</v>
      </c>
      <c r="B1246" s="1" t="s">
        <v>3554</v>
      </c>
      <c r="C1246" s="1" t="s">
        <v>46</v>
      </c>
      <c r="D1246" s="1" t="s">
        <v>94</v>
      </c>
      <c r="E1246" s="1">
        <v>2012</v>
      </c>
      <c r="F1246" s="1" t="s">
        <v>181</v>
      </c>
      <c r="G1246" s="1" t="s">
        <v>3555</v>
      </c>
      <c r="H1246" s="1">
        <v>51</v>
      </c>
      <c r="I1246" s="1" t="s">
        <v>22</v>
      </c>
      <c r="J1246" s="1">
        <v>4.5999999999999996</v>
      </c>
      <c r="K1246" s="1">
        <v>136.5</v>
      </c>
      <c r="L1246" s="1" t="s">
        <v>41</v>
      </c>
      <c r="M1246" s="1" t="s">
        <v>54</v>
      </c>
      <c r="N1246" s="1" t="s">
        <v>60</v>
      </c>
      <c r="O1246" s="1">
        <v>6</v>
      </c>
      <c r="P1246" s="1">
        <v>47</v>
      </c>
      <c r="Q1246" s="1">
        <v>99.9</v>
      </c>
      <c r="R1246" s="8" t="str">
        <f>_xlfn.IFS(J1246&gt;=8,"Hit",J1246&gt;=6,"Average",J1246&lt;6,"Flop")</f>
        <v>Flop</v>
      </c>
      <c r="S1246" s="9" t="str">
        <f>_xlfn.IFS(K1246&gt;=400,"Blockbuster",K1246&gt;=200,"Popular",K1246&lt;200,"Normal")</f>
        <v>Normal</v>
      </c>
      <c r="T1246" s="10" t="str">
        <f>IF(OR(I1246="PG",I1246="G"),"Yes","No")</f>
        <v>No</v>
      </c>
      <c r="U1246" s="11" t="str">
        <f>IF(P1246&gt;=100,"High","Low")</f>
        <v>Low</v>
      </c>
      <c r="V1246" s="28">
        <f t="shared" si="38"/>
        <v>52.900000000000006</v>
      </c>
      <c r="W1246" s="29">
        <f t="shared" si="39"/>
        <v>212.55319148936169</v>
      </c>
    </row>
    <row r="1247" spans="1:23" x14ac:dyDescent="0.3">
      <c r="A1247" s="1" t="s">
        <v>3556</v>
      </c>
      <c r="B1247" s="1" t="s">
        <v>3557</v>
      </c>
      <c r="C1247" s="1" t="s">
        <v>46</v>
      </c>
      <c r="D1247" s="1" t="s">
        <v>82</v>
      </c>
      <c r="E1247" s="1">
        <v>2019</v>
      </c>
      <c r="F1247" s="1" t="s">
        <v>48</v>
      </c>
      <c r="G1247" s="1" t="s">
        <v>3558</v>
      </c>
      <c r="H1247" s="1">
        <v>37</v>
      </c>
      <c r="I1247" s="1" t="s">
        <v>50</v>
      </c>
      <c r="J1247" s="1">
        <v>5.3</v>
      </c>
      <c r="K1247" s="1">
        <v>294.5</v>
      </c>
      <c r="L1247" s="1" t="s">
        <v>41</v>
      </c>
      <c r="M1247" s="1" t="s">
        <v>124</v>
      </c>
      <c r="N1247" s="1" t="s">
        <v>60</v>
      </c>
      <c r="O1247" s="1">
        <v>6</v>
      </c>
      <c r="P1247" s="1">
        <v>55</v>
      </c>
      <c r="Q1247" s="1">
        <v>322.3</v>
      </c>
      <c r="R1247" s="8" t="str">
        <f>_xlfn.IFS(J1247&gt;=8,"Hit",J1247&gt;=6,"Average",J1247&lt;6,"Flop")</f>
        <v>Flop</v>
      </c>
      <c r="S1247" s="9" t="str">
        <f>_xlfn.IFS(K1247&gt;=400,"Blockbuster",K1247&gt;=200,"Popular",K1247&lt;200,"Normal")</f>
        <v>Popular</v>
      </c>
      <c r="T1247" s="10" t="str">
        <f>IF(OR(I1247="PG",I1247="G"),"Yes","No")</f>
        <v>Yes</v>
      </c>
      <c r="U1247" s="11" t="str">
        <f>IF(P1247&gt;=100,"High","Low")</f>
        <v>Low</v>
      </c>
      <c r="V1247" s="28">
        <f t="shared" si="38"/>
        <v>267.3</v>
      </c>
      <c r="W1247" s="29">
        <f t="shared" si="39"/>
        <v>586</v>
      </c>
    </row>
    <row r="1248" spans="1:23" x14ac:dyDescent="0.3">
      <c r="A1248" s="1" t="s">
        <v>3559</v>
      </c>
      <c r="B1248" s="1" t="s">
        <v>3560</v>
      </c>
      <c r="C1248" s="1" t="s">
        <v>46</v>
      </c>
      <c r="D1248" s="1" t="s">
        <v>37</v>
      </c>
      <c r="E1248" s="1">
        <v>2004</v>
      </c>
      <c r="F1248" s="1" t="s">
        <v>20</v>
      </c>
      <c r="G1248" s="1" t="s">
        <v>2644</v>
      </c>
      <c r="H1248" s="1">
        <v>46</v>
      </c>
      <c r="I1248" s="1" t="s">
        <v>40</v>
      </c>
      <c r="J1248" s="1">
        <v>5.7</v>
      </c>
      <c r="K1248" s="1">
        <v>286.5</v>
      </c>
      <c r="L1248" s="1" t="s">
        <v>23</v>
      </c>
      <c r="M1248" s="1" t="s">
        <v>24</v>
      </c>
      <c r="N1248" s="1" t="s">
        <v>79</v>
      </c>
      <c r="O1248" s="1">
        <v>4</v>
      </c>
      <c r="P1248" s="1">
        <v>13</v>
      </c>
      <c r="Q1248" s="1">
        <v>27.5</v>
      </c>
      <c r="R1248" s="8" t="str">
        <f>_xlfn.IFS(J1248&gt;=8,"Hit",J1248&gt;=6,"Average",J1248&lt;6,"Flop")</f>
        <v>Flop</v>
      </c>
      <c r="S1248" s="9" t="str">
        <f>_xlfn.IFS(K1248&gt;=400,"Blockbuster",K1248&gt;=200,"Popular",K1248&lt;200,"Normal")</f>
        <v>Popular</v>
      </c>
      <c r="T1248" s="10" t="str">
        <f>IF(OR(I1248="PG",I1248="G"),"Yes","No")</f>
        <v>Yes</v>
      </c>
      <c r="U1248" s="11" t="str">
        <f>IF(P1248&gt;=100,"High","Low")</f>
        <v>Low</v>
      </c>
      <c r="V1248" s="28">
        <f t="shared" si="38"/>
        <v>14.5</v>
      </c>
      <c r="W1248" s="29">
        <f t="shared" si="39"/>
        <v>211.53846153846155</v>
      </c>
    </row>
    <row r="1249" spans="1:23" x14ac:dyDescent="0.3">
      <c r="A1249" s="1" t="s">
        <v>3561</v>
      </c>
      <c r="B1249" s="1" t="s">
        <v>3562</v>
      </c>
      <c r="C1249" s="1" t="s">
        <v>46</v>
      </c>
      <c r="D1249" s="1" t="s">
        <v>28</v>
      </c>
      <c r="E1249" s="1">
        <v>2003</v>
      </c>
      <c r="F1249" s="1" t="s">
        <v>100</v>
      </c>
      <c r="G1249" s="1" t="s">
        <v>3563</v>
      </c>
      <c r="H1249" s="1">
        <v>48</v>
      </c>
      <c r="I1249" s="1" t="s">
        <v>110</v>
      </c>
      <c r="J1249" s="1">
        <v>5.6</v>
      </c>
      <c r="K1249" s="1">
        <v>598.70000000000005</v>
      </c>
      <c r="L1249" s="1" t="s">
        <v>65</v>
      </c>
      <c r="M1249" s="1" t="s">
        <v>111</v>
      </c>
      <c r="N1249" s="1" t="s">
        <v>67</v>
      </c>
      <c r="O1249" s="1">
        <v>1</v>
      </c>
      <c r="P1249" s="1">
        <v>75</v>
      </c>
      <c r="Q1249" s="1">
        <v>449</v>
      </c>
      <c r="R1249" s="8" t="str">
        <f>_xlfn.IFS(J1249&gt;=8,"Hit",J1249&gt;=6,"Average",J1249&lt;6,"Flop")</f>
        <v>Flop</v>
      </c>
      <c r="S1249" s="9" t="str">
        <f>_xlfn.IFS(K1249&gt;=400,"Blockbuster",K1249&gt;=200,"Popular",K1249&lt;200,"Normal")</f>
        <v>Blockbuster</v>
      </c>
      <c r="T1249" s="10" t="str">
        <f>IF(OR(I1249="PG",I1249="G"),"Yes","No")</f>
        <v>No</v>
      </c>
      <c r="U1249" s="11" t="str">
        <f>IF(P1249&gt;=100,"High","Low")</f>
        <v>Low</v>
      </c>
      <c r="V1249" s="28">
        <f t="shared" si="38"/>
        <v>374</v>
      </c>
      <c r="W1249" s="29">
        <f t="shared" si="39"/>
        <v>598.66666666666663</v>
      </c>
    </row>
    <row r="1250" spans="1:23" x14ac:dyDescent="0.3">
      <c r="A1250" s="1" t="s">
        <v>3564</v>
      </c>
      <c r="B1250" s="1" t="s">
        <v>3565</v>
      </c>
      <c r="C1250" s="1" t="s">
        <v>46</v>
      </c>
      <c r="D1250" s="1" t="s">
        <v>117</v>
      </c>
      <c r="E1250" s="1">
        <v>2012</v>
      </c>
      <c r="F1250" s="1" t="s">
        <v>29</v>
      </c>
      <c r="G1250" s="1" t="s">
        <v>1404</v>
      </c>
      <c r="H1250" s="1">
        <v>56</v>
      </c>
      <c r="I1250" s="1" t="s">
        <v>40</v>
      </c>
      <c r="J1250" s="1">
        <v>8.1999999999999993</v>
      </c>
      <c r="K1250" s="1">
        <v>511.3</v>
      </c>
      <c r="L1250" s="1" t="s">
        <v>171</v>
      </c>
      <c r="M1250" s="1" t="s">
        <v>85</v>
      </c>
      <c r="N1250" s="1" t="s">
        <v>43</v>
      </c>
      <c r="O1250" s="1">
        <v>2</v>
      </c>
      <c r="P1250" s="1">
        <v>200</v>
      </c>
      <c r="Q1250" s="1">
        <v>423.9</v>
      </c>
      <c r="R1250" s="8" t="str">
        <f>_xlfn.IFS(J1250&gt;=8,"Hit",J1250&gt;=6,"Average",J1250&lt;6,"Flop")</f>
        <v>Hit</v>
      </c>
      <c r="S1250" s="9" t="str">
        <f>_xlfn.IFS(K1250&gt;=400,"Blockbuster",K1250&gt;=200,"Popular",K1250&lt;200,"Normal")</f>
        <v>Blockbuster</v>
      </c>
      <c r="T1250" s="10" t="str">
        <f>IF(OR(I1250="PG",I1250="G"),"Yes","No")</f>
        <v>Yes</v>
      </c>
      <c r="U1250" s="11" t="str">
        <f>IF(P1250&gt;=100,"High","Low")</f>
        <v>High</v>
      </c>
      <c r="V1250" s="28">
        <f t="shared" si="38"/>
        <v>223.89999999999998</v>
      </c>
      <c r="W1250" s="29">
        <f t="shared" si="39"/>
        <v>211.95</v>
      </c>
    </row>
    <row r="1251" spans="1:23" x14ac:dyDescent="0.3">
      <c r="A1251" s="1" t="s">
        <v>3566</v>
      </c>
      <c r="B1251" s="1" t="s">
        <v>3567</v>
      </c>
      <c r="C1251" s="1" t="s">
        <v>46</v>
      </c>
      <c r="D1251" s="1" t="s">
        <v>58</v>
      </c>
      <c r="E1251" s="1">
        <v>2011</v>
      </c>
      <c r="F1251" s="1" t="s">
        <v>100</v>
      </c>
      <c r="G1251" s="1" t="s">
        <v>3156</v>
      </c>
      <c r="H1251" s="1">
        <v>58</v>
      </c>
      <c r="I1251" s="1" t="s">
        <v>22</v>
      </c>
      <c r="J1251" s="1">
        <v>8.8000000000000007</v>
      </c>
      <c r="K1251" s="1">
        <v>121.8</v>
      </c>
      <c r="L1251" s="1" t="s">
        <v>90</v>
      </c>
      <c r="M1251" s="1" t="s">
        <v>97</v>
      </c>
      <c r="N1251" s="1" t="s">
        <v>60</v>
      </c>
      <c r="O1251" s="1">
        <v>4</v>
      </c>
      <c r="P1251" s="1">
        <v>6</v>
      </c>
      <c r="Q1251" s="1">
        <v>32</v>
      </c>
      <c r="R1251" s="8" t="str">
        <f>_xlfn.IFS(J1251&gt;=8,"Hit",J1251&gt;=6,"Average",J1251&lt;6,"Flop")</f>
        <v>Hit</v>
      </c>
      <c r="S1251" s="9" t="str">
        <f>_xlfn.IFS(K1251&gt;=400,"Blockbuster",K1251&gt;=200,"Popular",K1251&lt;200,"Normal")</f>
        <v>Normal</v>
      </c>
      <c r="T1251" s="10" t="str">
        <f>IF(OR(I1251="PG",I1251="G"),"Yes","No")</f>
        <v>No</v>
      </c>
      <c r="U1251" s="11" t="str">
        <f>IF(P1251&gt;=100,"High","Low")</f>
        <v>Low</v>
      </c>
      <c r="V1251" s="28">
        <f t="shared" si="38"/>
        <v>26</v>
      </c>
      <c r="W1251" s="29">
        <f t="shared" si="39"/>
        <v>533.33333333333326</v>
      </c>
    </row>
    <row r="1252" spans="1:23" x14ac:dyDescent="0.3">
      <c r="A1252" s="1" t="s">
        <v>3568</v>
      </c>
      <c r="B1252" s="1" t="s">
        <v>3569</v>
      </c>
      <c r="C1252" s="1" t="s">
        <v>46</v>
      </c>
      <c r="D1252" s="1" t="s">
        <v>47</v>
      </c>
      <c r="E1252" s="1">
        <v>2008</v>
      </c>
      <c r="F1252" s="1" t="s">
        <v>181</v>
      </c>
      <c r="G1252" s="1" t="s">
        <v>3570</v>
      </c>
      <c r="H1252" s="1">
        <v>32</v>
      </c>
      <c r="I1252" s="1" t="s">
        <v>40</v>
      </c>
      <c r="J1252" s="1">
        <v>8.4</v>
      </c>
      <c r="K1252" s="1">
        <v>15.3</v>
      </c>
      <c r="L1252" s="1" t="s">
        <v>32</v>
      </c>
      <c r="M1252" s="1" t="s">
        <v>24</v>
      </c>
      <c r="N1252" s="1" t="s">
        <v>43</v>
      </c>
      <c r="O1252" s="1">
        <v>5</v>
      </c>
      <c r="P1252" s="1">
        <v>7</v>
      </c>
      <c r="Q1252" s="1">
        <v>26.2</v>
      </c>
      <c r="R1252" s="8" t="str">
        <f>_xlfn.IFS(J1252&gt;=8,"Hit",J1252&gt;=6,"Average",J1252&lt;6,"Flop")</f>
        <v>Hit</v>
      </c>
      <c r="S1252" s="9" t="str">
        <f>_xlfn.IFS(K1252&gt;=400,"Blockbuster",K1252&gt;=200,"Popular",K1252&lt;200,"Normal")</f>
        <v>Normal</v>
      </c>
      <c r="T1252" s="10" t="str">
        <f>IF(OR(I1252="PG",I1252="G"),"Yes","No")</f>
        <v>Yes</v>
      </c>
      <c r="U1252" s="11" t="str">
        <f>IF(P1252&gt;=100,"High","Low")</f>
        <v>Low</v>
      </c>
      <c r="V1252" s="28">
        <f t="shared" si="38"/>
        <v>19.2</v>
      </c>
      <c r="W1252" s="29">
        <f t="shared" si="39"/>
        <v>374.28571428571428</v>
      </c>
    </row>
    <row r="1253" spans="1:23" x14ac:dyDescent="0.3">
      <c r="A1253" s="1" t="s">
        <v>3571</v>
      </c>
      <c r="B1253" s="1" t="s">
        <v>3572</v>
      </c>
      <c r="C1253" s="1" t="s">
        <v>46</v>
      </c>
      <c r="D1253" s="1" t="s">
        <v>37</v>
      </c>
      <c r="E1253" s="1">
        <v>2007</v>
      </c>
      <c r="F1253" s="1" t="s">
        <v>181</v>
      </c>
      <c r="G1253" s="1" t="s">
        <v>3573</v>
      </c>
      <c r="H1253" s="1">
        <v>36</v>
      </c>
      <c r="I1253" s="1" t="s">
        <v>31</v>
      </c>
      <c r="J1253" s="1">
        <v>5.9</v>
      </c>
      <c r="K1253" s="1">
        <v>419.1</v>
      </c>
      <c r="L1253" s="1" t="s">
        <v>32</v>
      </c>
      <c r="M1253" s="1" t="s">
        <v>106</v>
      </c>
      <c r="N1253" s="1" t="s">
        <v>55</v>
      </c>
      <c r="O1253" s="1">
        <v>8</v>
      </c>
      <c r="P1253" s="1">
        <v>152</v>
      </c>
      <c r="Q1253" s="1">
        <v>446.1</v>
      </c>
      <c r="R1253" s="8" t="str">
        <f>_xlfn.IFS(J1253&gt;=8,"Hit",J1253&gt;=6,"Average",J1253&lt;6,"Flop")</f>
        <v>Flop</v>
      </c>
      <c r="S1253" s="9" t="str">
        <f>_xlfn.IFS(K1253&gt;=400,"Blockbuster",K1253&gt;=200,"Popular",K1253&lt;200,"Normal")</f>
        <v>Blockbuster</v>
      </c>
      <c r="T1253" s="10" t="str">
        <f>IF(OR(I1253="PG",I1253="G"),"Yes","No")</f>
        <v>No</v>
      </c>
      <c r="U1253" s="11" t="str">
        <f>IF(P1253&gt;=100,"High","Low")</f>
        <v>High</v>
      </c>
      <c r="V1253" s="28">
        <f t="shared" si="38"/>
        <v>294.10000000000002</v>
      </c>
      <c r="W1253" s="29">
        <f t="shared" si="39"/>
        <v>293.48684210526318</v>
      </c>
    </row>
    <row r="1254" spans="1:23" x14ac:dyDescent="0.3">
      <c r="A1254" s="1" t="s">
        <v>3574</v>
      </c>
      <c r="B1254" s="1" t="s">
        <v>3575</v>
      </c>
      <c r="C1254" s="1" t="s">
        <v>46</v>
      </c>
      <c r="D1254" s="1" t="s">
        <v>19</v>
      </c>
      <c r="E1254" s="1">
        <v>2014</v>
      </c>
      <c r="F1254" s="1" t="s">
        <v>95</v>
      </c>
      <c r="G1254" s="1" t="s">
        <v>3576</v>
      </c>
      <c r="H1254" s="1">
        <v>36</v>
      </c>
      <c r="I1254" s="1" t="s">
        <v>40</v>
      </c>
      <c r="J1254" s="1">
        <v>7.3</v>
      </c>
      <c r="K1254" s="1">
        <v>143.1</v>
      </c>
      <c r="L1254" s="1" t="s">
        <v>71</v>
      </c>
      <c r="M1254" s="1" t="s">
        <v>24</v>
      </c>
      <c r="N1254" s="1" t="s">
        <v>67</v>
      </c>
      <c r="O1254" s="1">
        <v>3</v>
      </c>
      <c r="P1254" s="1">
        <v>191</v>
      </c>
      <c r="Q1254" s="1">
        <v>718.1</v>
      </c>
      <c r="R1254" s="8" t="str">
        <f>_xlfn.IFS(J1254&gt;=8,"Hit",J1254&gt;=6,"Average",J1254&lt;6,"Flop")</f>
        <v>Average</v>
      </c>
      <c r="S1254" s="9" t="str">
        <f>_xlfn.IFS(K1254&gt;=400,"Blockbuster",K1254&gt;=200,"Popular",K1254&lt;200,"Normal")</f>
        <v>Normal</v>
      </c>
      <c r="T1254" s="10" t="str">
        <f>IF(OR(I1254="PG",I1254="G"),"Yes","No")</f>
        <v>Yes</v>
      </c>
      <c r="U1254" s="11" t="str">
        <f>IF(P1254&gt;=100,"High","Low")</f>
        <v>High</v>
      </c>
      <c r="V1254" s="28">
        <f t="shared" si="38"/>
        <v>527.1</v>
      </c>
      <c r="W1254" s="29">
        <f t="shared" si="39"/>
        <v>375.96858638743458</v>
      </c>
    </row>
    <row r="1255" spans="1:23" x14ac:dyDescent="0.3">
      <c r="A1255" s="1" t="s">
        <v>3577</v>
      </c>
      <c r="B1255" s="1" t="s">
        <v>3578</v>
      </c>
      <c r="C1255" s="1" t="s">
        <v>18</v>
      </c>
      <c r="D1255" s="1" t="s">
        <v>58</v>
      </c>
      <c r="E1255" s="1">
        <v>2024</v>
      </c>
      <c r="F1255" s="1" t="s">
        <v>29</v>
      </c>
      <c r="G1255" s="1" t="s">
        <v>3579</v>
      </c>
      <c r="H1255" s="1">
        <v>123</v>
      </c>
      <c r="I1255" s="1" t="s">
        <v>110</v>
      </c>
      <c r="J1255" s="1">
        <v>5</v>
      </c>
      <c r="K1255" s="1">
        <v>323.60000000000002</v>
      </c>
      <c r="L1255" s="1" t="s">
        <v>32</v>
      </c>
      <c r="M1255" s="1" t="s">
        <v>24</v>
      </c>
      <c r="N1255" s="1" t="s">
        <v>91</v>
      </c>
      <c r="O1255" s="1"/>
      <c r="P1255" s="1">
        <v>91</v>
      </c>
      <c r="Q1255" s="1">
        <v>228.5</v>
      </c>
      <c r="R1255" s="8" t="str">
        <f>_xlfn.IFS(J1255&gt;=8,"Hit",J1255&gt;=6,"Average",J1255&lt;6,"Flop")</f>
        <v>Flop</v>
      </c>
      <c r="S1255" s="9" t="str">
        <f>_xlfn.IFS(K1255&gt;=400,"Blockbuster",K1255&gt;=200,"Popular",K1255&lt;200,"Normal")</f>
        <v>Popular</v>
      </c>
      <c r="T1255" s="10" t="str">
        <f>IF(OR(I1255="PG",I1255="G"),"Yes","No")</f>
        <v>No</v>
      </c>
      <c r="U1255" s="11" t="str">
        <f>IF(P1255&gt;=100,"High","Low")</f>
        <v>Low</v>
      </c>
      <c r="V1255" s="28">
        <f t="shared" si="38"/>
        <v>137.5</v>
      </c>
      <c r="W1255" s="29">
        <f t="shared" si="39"/>
        <v>251.09890109890108</v>
      </c>
    </row>
    <row r="1256" spans="1:23" x14ac:dyDescent="0.3">
      <c r="A1256" s="1" t="s">
        <v>3580</v>
      </c>
      <c r="B1256" s="1" t="s">
        <v>3581</v>
      </c>
      <c r="C1256" s="1" t="s">
        <v>18</v>
      </c>
      <c r="D1256" s="1" t="s">
        <v>37</v>
      </c>
      <c r="E1256" s="1">
        <v>2017</v>
      </c>
      <c r="F1256" s="1" t="s">
        <v>122</v>
      </c>
      <c r="G1256" s="1" t="s">
        <v>3582</v>
      </c>
      <c r="H1256" s="1">
        <v>141</v>
      </c>
      <c r="I1256" s="1" t="s">
        <v>110</v>
      </c>
      <c r="J1256" s="1">
        <v>8.9</v>
      </c>
      <c r="K1256" s="1">
        <v>119.7</v>
      </c>
      <c r="L1256" s="1" t="s">
        <v>65</v>
      </c>
      <c r="M1256" s="1" t="s">
        <v>66</v>
      </c>
      <c r="N1256" s="1" t="s">
        <v>60</v>
      </c>
      <c r="O1256" s="1"/>
      <c r="P1256" s="1">
        <v>75</v>
      </c>
      <c r="Q1256" s="1">
        <v>130.6</v>
      </c>
      <c r="R1256" s="8" t="str">
        <f>_xlfn.IFS(J1256&gt;=8,"Hit",J1256&gt;=6,"Average",J1256&lt;6,"Flop")</f>
        <v>Hit</v>
      </c>
      <c r="S1256" s="9" t="str">
        <f>_xlfn.IFS(K1256&gt;=400,"Blockbuster",K1256&gt;=200,"Popular",K1256&lt;200,"Normal")</f>
        <v>Normal</v>
      </c>
      <c r="T1256" s="10" t="str">
        <f>IF(OR(I1256="PG",I1256="G"),"Yes","No")</f>
        <v>No</v>
      </c>
      <c r="U1256" s="11" t="str">
        <f>IF(P1256&gt;=100,"High","Low")</f>
        <v>Low</v>
      </c>
      <c r="V1256" s="28">
        <f t="shared" si="38"/>
        <v>55.599999999999994</v>
      </c>
      <c r="W1256" s="29">
        <f t="shared" si="39"/>
        <v>174.13333333333333</v>
      </c>
    </row>
    <row r="1257" spans="1:23" x14ac:dyDescent="0.3">
      <c r="A1257" s="1" t="s">
        <v>3583</v>
      </c>
      <c r="B1257" s="1" t="s">
        <v>3584</v>
      </c>
      <c r="C1257" s="1" t="s">
        <v>18</v>
      </c>
      <c r="D1257" s="1" t="s">
        <v>37</v>
      </c>
      <c r="E1257" s="1">
        <v>2009</v>
      </c>
      <c r="F1257" s="1" t="s">
        <v>29</v>
      </c>
      <c r="G1257" s="1" t="s">
        <v>3585</v>
      </c>
      <c r="H1257" s="1">
        <v>104</v>
      </c>
      <c r="I1257" s="1" t="s">
        <v>110</v>
      </c>
      <c r="J1257" s="1">
        <v>8.1</v>
      </c>
      <c r="K1257" s="1">
        <v>514</v>
      </c>
      <c r="L1257" s="1" t="s">
        <v>41</v>
      </c>
      <c r="M1257" s="1" t="s">
        <v>42</v>
      </c>
      <c r="N1257" s="1" t="s">
        <v>55</v>
      </c>
      <c r="O1257" s="1"/>
      <c r="P1257" s="1">
        <v>115</v>
      </c>
      <c r="Q1257" s="1">
        <v>653.9</v>
      </c>
      <c r="R1257" s="8" t="str">
        <f>_xlfn.IFS(J1257&gt;=8,"Hit",J1257&gt;=6,"Average",J1257&lt;6,"Flop")</f>
        <v>Hit</v>
      </c>
      <c r="S1257" s="9" t="str">
        <f>_xlfn.IFS(K1257&gt;=400,"Blockbuster",K1257&gt;=200,"Popular",K1257&lt;200,"Normal")</f>
        <v>Blockbuster</v>
      </c>
      <c r="T1257" s="10" t="str">
        <f>IF(OR(I1257="PG",I1257="G"),"Yes","No")</f>
        <v>No</v>
      </c>
      <c r="U1257" s="11" t="str">
        <f>IF(P1257&gt;=100,"High","Low")</f>
        <v>High</v>
      </c>
      <c r="V1257" s="28">
        <f t="shared" si="38"/>
        <v>538.9</v>
      </c>
      <c r="W1257" s="29">
        <f t="shared" si="39"/>
        <v>568.60869565217388</v>
      </c>
    </row>
    <row r="1258" spans="1:23" x14ac:dyDescent="0.3">
      <c r="A1258" s="1" t="s">
        <v>3586</v>
      </c>
      <c r="B1258" s="1" t="s">
        <v>3587</v>
      </c>
      <c r="C1258" s="1" t="s">
        <v>18</v>
      </c>
      <c r="D1258" s="1" t="s">
        <v>63</v>
      </c>
      <c r="E1258" s="1">
        <v>2017</v>
      </c>
      <c r="F1258" s="1" t="s">
        <v>83</v>
      </c>
      <c r="G1258" s="1" t="s">
        <v>3588</v>
      </c>
      <c r="H1258" s="1">
        <v>154</v>
      </c>
      <c r="I1258" s="1" t="s">
        <v>50</v>
      </c>
      <c r="J1258" s="1">
        <v>8.5</v>
      </c>
      <c r="K1258" s="1">
        <v>281.2</v>
      </c>
      <c r="L1258" s="1" t="s">
        <v>41</v>
      </c>
      <c r="M1258" s="1" t="s">
        <v>66</v>
      </c>
      <c r="N1258" s="1" t="s">
        <v>128</v>
      </c>
      <c r="O1258" s="1"/>
      <c r="P1258" s="1">
        <v>73</v>
      </c>
      <c r="Q1258" s="1">
        <v>428.4</v>
      </c>
      <c r="R1258" s="8" t="str">
        <f>_xlfn.IFS(J1258&gt;=8,"Hit",J1258&gt;=6,"Average",J1258&lt;6,"Flop")</f>
        <v>Hit</v>
      </c>
      <c r="S1258" s="9" t="str">
        <f>_xlfn.IFS(K1258&gt;=400,"Blockbuster",K1258&gt;=200,"Popular",K1258&lt;200,"Normal")</f>
        <v>Popular</v>
      </c>
      <c r="T1258" s="10" t="str">
        <f>IF(OR(I1258="PG",I1258="G"),"Yes","No")</f>
        <v>Yes</v>
      </c>
      <c r="U1258" s="11" t="str">
        <f>IF(P1258&gt;=100,"High","Low")</f>
        <v>Low</v>
      </c>
      <c r="V1258" s="28">
        <f t="shared" si="38"/>
        <v>355.4</v>
      </c>
      <c r="W1258" s="29">
        <f t="shared" si="39"/>
        <v>586.84931506849307</v>
      </c>
    </row>
    <row r="1259" spans="1:23" x14ac:dyDescent="0.3">
      <c r="A1259" s="1" t="s">
        <v>3589</v>
      </c>
      <c r="B1259" s="1" t="s">
        <v>3590</v>
      </c>
      <c r="C1259" s="1" t="s">
        <v>18</v>
      </c>
      <c r="D1259" s="1" t="s">
        <v>141</v>
      </c>
      <c r="E1259" s="1">
        <v>2024</v>
      </c>
      <c r="F1259" s="1" t="s">
        <v>48</v>
      </c>
      <c r="G1259" s="1" t="s">
        <v>3591</v>
      </c>
      <c r="H1259" s="1">
        <v>92</v>
      </c>
      <c r="I1259" s="1" t="s">
        <v>110</v>
      </c>
      <c r="J1259" s="1">
        <v>6.7</v>
      </c>
      <c r="K1259" s="1">
        <v>291.7</v>
      </c>
      <c r="L1259" s="1" t="s">
        <v>41</v>
      </c>
      <c r="M1259" s="1" t="s">
        <v>157</v>
      </c>
      <c r="N1259" s="1" t="s">
        <v>60</v>
      </c>
      <c r="O1259" s="1"/>
      <c r="P1259" s="1">
        <v>148</v>
      </c>
      <c r="Q1259" s="1">
        <v>689.8</v>
      </c>
      <c r="R1259" s="8" t="str">
        <f>_xlfn.IFS(J1259&gt;=8,"Hit",J1259&gt;=6,"Average",J1259&lt;6,"Flop")</f>
        <v>Average</v>
      </c>
      <c r="S1259" s="9" t="str">
        <f>_xlfn.IFS(K1259&gt;=400,"Blockbuster",K1259&gt;=200,"Popular",K1259&lt;200,"Normal")</f>
        <v>Popular</v>
      </c>
      <c r="T1259" s="10" t="str">
        <f>IF(OR(I1259="PG",I1259="G"),"Yes","No")</f>
        <v>No</v>
      </c>
      <c r="U1259" s="11" t="str">
        <f>IF(P1259&gt;=100,"High","Low")</f>
        <v>High</v>
      </c>
      <c r="V1259" s="28">
        <f t="shared" si="38"/>
        <v>541.79999999999995</v>
      </c>
      <c r="W1259" s="29">
        <f t="shared" si="39"/>
        <v>466.08108108108104</v>
      </c>
    </row>
    <row r="1260" spans="1:23" x14ac:dyDescent="0.3">
      <c r="A1260" s="1" t="s">
        <v>3592</v>
      </c>
      <c r="B1260" s="1" t="s">
        <v>3593</v>
      </c>
      <c r="C1260" s="1" t="s">
        <v>18</v>
      </c>
      <c r="D1260" s="1" t="s">
        <v>47</v>
      </c>
      <c r="E1260" s="1">
        <v>2015</v>
      </c>
      <c r="F1260" s="1" t="s">
        <v>29</v>
      </c>
      <c r="G1260" s="1" t="s">
        <v>3594</v>
      </c>
      <c r="H1260" s="1">
        <v>119</v>
      </c>
      <c r="I1260" s="1" t="s">
        <v>22</v>
      </c>
      <c r="J1260" s="1">
        <v>8.8000000000000007</v>
      </c>
      <c r="K1260" s="1">
        <v>517</v>
      </c>
      <c r="L1260" s="1" t="s">
        <v>65</v>
      </c>
      <c r="M1260" s="1" t="s">
        <v>106</v>
      </c>
      <c r="N1260" s="1" t="s">
        <v>128</v>
      </c>
      <c r="O1260" s="1"/>
      <c r="P1260" s="1">
        <v>71</v>
      </c>
      <c r="Q1260" s="1">
        <v>212</v>
      </c>
      <c r="R1260" s="8" t="str">
        <f>_xlfn.IFS(J1260&gt;=8,"Hit",J1260&gt;=6,"Average",J1260&lt;6,"Flop")</f>
        <v>Hit</v>
      </c>
      <c r="S1260" s="9" t="str">
        <f>_xlfn.IFS(K1260&gt;=400,"Blockbuster",K1260&gt;=200,"Popular",K1260&lt;200,"Normal")</f>
        <v>Blockbuster</v>
      </c>
      <c r="T1260" s="10" t="str">
        <f>IF(OR(I1260="PG",I1260="G"),"Yes","No")</f>
        <v>No</v>
      </c>
      <c r="U1260" s="11" t="str">
        <f>IF(P1260&gt;=100,"High","Low")</f>
        <v>Low</v>
      </c>
      <c r="V1260" s="28">
        <f t="shared" si="38"/>
        <v>141</v>
      </c>
      <c r="W1260" s="29">
        <f t="shared" si="39"/>
        <v>298.59154929577466</v>
      </c>
    </row>
    <row r="1261" spans="1:23" x14ac:dyDescent="0.3">
      <c r="A1261" s="1" t="s">
        <v>3595</v>
      </c>
      <c r="B1261" s="1" t="s">
        <v>3596</v>
      </c>
      <c r="C1261" s="1" t="s">
        <v>18</v>
      </c>
      <c r="D1261" s="1" t="s">
        <v>94</v>
      </c>
      <c r="E1261" s="1">
        <v>2012</v>
      </c>
      <c r="F1261" s="1" t="s">
        <v>122</v>
      </c>
      <c r="G1261" s="1" t="s">
        <v>2502</v>
      </c>
      <c r="H1261" s="1">
        <v>146</v>
      </c>
      <c r="I1261" s="1" t="s">
        <v>110</v>
      </c>
      <c r="J1261" s="1">
        <v>6.2</v>
      </c>
      <c r="K1261" s="1">
        <v>98</v>
      </c>
      <c r="L1261" s="1" t="s">
        <v>71</v>
      </c>
      <c r="M1261" s="1" t="s">
        <v>72</v>
      </c>
      <c r="N1261" s="1" t="s">
        <v>178</v>
      </c>
      <c r="O1261" s="1"/>
      <c r="P1261" s="1">
        <v>20</v>
      </c>
      <c r="Q1261" s="1">
        <v>96.1</v>
      </c>
      <c r="R1261" s="8" t="str">
        <f>_xlfn.IFS(J1261&gt;=8,"Hit",J1261&gt;=6,"Average",J1261&lt;6,"Flop")</f>
        <v>Average</v>
      </c>
      <c r="S1261" s="9" t="str">
        <f>_xlfn.IFS(K1261&gt;=400,"Blockbuster",K1261&gt;=200,"Popular",K1261&lt;200,"Normal")</f>
        <v>Normal</v>
      </c>
      <c r="T1261" s="10" t="str">
        <f>IF(OR(I1261="PG",I1261="G"),"Yes","No")</f>
        <v>No</v>
      </c>
      <c r="U1261" s="11" t="str">
        <f>IF(P1261&gt;=100,"High","Low")</f>
        <v>Low</v>
      </c>
      <c r="V1261" s="28">
        <f t="shared" si="38"/>
        <v>76.099999999999994</v>
      </c>
      <c r="W1261" s="29">
        <f t="shared" si="39"/>
        <v>480.5</v>
      </c>
    </row>
    <row r="1262" spans="1:23" x14ac:dyDescent="0.3">
      <c r="A1262" s="1" t="s">
        <v>3597</v>
      </c>
      <c r="B1262" s="1" t="s">
        <v>3598</v>
      </c>
      <c r="C1262" s="1" t="s">
        <v>18</v>
      </c>
      <c r="D1262" s="1" t="s">
        <v>37</v>
      </c>
      <c r="E1262" s="1">
        <v>2009</v>
      </c>
      <c r="F1262" s="1" t="s">
        <v>100</v>
      </c>
      <c r="G1262" s="1" t="s">
        <v>1104</v>
      </c>
      <c r="H1262" s="1">
        <v>157</v>
      </c>
      <c r="I1262" s="1" t="s">
        <v>40</v>
      </c>
      <c r="J1262" s="1">
        <v>4.5999999999999996</v>
      </c>
      <c r="K1262" s="1">
        <v>274</v>
      </c>
      <c r="L1262" s="1" t="s">
        <v>23</v>
      </c>
      <c r="M1262" s="1" t="s">
        <v>24</v>
      </c>
      <c r="N1262" s="1" t="s">
        <v>43</v>
      </c>
      <c r="O1262" s="1"/>
      <c r="P1262" s="1">
        <v>174</v>
      </c>
      <c r="Q1262" s="1">
        <v>611.6</v>
      </c>
      <c r="R1262" s="8" t="str">
        <f>_xlfn.IFS(J1262&gt;=8,"Hit",J1262&gt;=6,"Average",J1262&lt;6,"Flop")</f>
        <v>Flop</v>
      </c>
      <c r="S1262" s="9" t="str">
        <f>_xlfn.IFS(K1262&gt;=400,"Blockbuster",K1262&gt;=200,"Popular",K1262&lt;200,"Normal")</f>
        <v>Popular</v>
      </c>
      <c r="T1262" s="10" t="str">
        <f>IF(OR(I1262="PG",I1262="G"),"Yes","No")</f>
        <v>Yes</v>
      </c>
      <c r="U1262" s="11" t="str">
        <f>IF(P1262&gt;=100,"High","Low")</f>
        <v>High</v>
      </c>
      <c r="V1262" s="28">
        <f t="shared" si="38"/>
        <v>437.6</v>
      </c>
      <c r="W1262" s="29">
        <f t="shared" si="39"/>
        <v>351.4942528735632</v>
      </c>
    </row>
    <row r="1263" spans="1:23" x14ac:dyDescent="0.3">
      <c r="A1263" s="1" t="s">
        <v>3599</v>
      </c>
      <c r="B1263" s="1" t="s">
        <v>3600</v>
      </c>
      <c r="C1263" s="1" t="s">
        <v>46</v>
      </c>
      <c r="D1263" s="1" t="s">
        <v>37</v>
      </c>
      <c r="E1263" s="1">
        <v>2016</v>
      </c>
      <c r="F1263" s="1" t="s">
        <v>20</v>
      </c>
      <c r="G1263" s="1" t="s">
        <v>1378</v>
      </c>
      <c r="H1263" s="1">
        <v>57</v>
      </c>
      <c r="I1263" s="1" t="s">
        <v>22</v>
      </c>
      <c r="J1263" s="1">
        <v>7.9</v>
      </c>
      <c r="K1263" s="1">
        <v>149.69999999999999</v>
      </c>
      <c r="L1263" s="1" t="s">
        <v>23</v>
      </c>
      <c r="M1263" s="1" t="s">
        <v>72</v>
      </c>
      <c r="N1263" s="1" t="s">
        <v>60</v>
      </c>
      <c r="O1263" s="1">
        <v>7</v>
      </c>
      <c r="P1263" s="1">
        <v>51</v>
      </c>
      <c r="Q1263" s="1">
        <v>210.9</v>
      </c>
      <c r="R1263" s="8" t="str">
        <f>_xlfn.IFS(J1263&gt;=8,"Hit",J1263&gt;=6,"Average",J1263&lt;6,"Flop")</f>
        <v>Average</v>
      </c>
      <c r="S1263" s="9" t="str">
        <f>_xlfn.IFS(K1263&gt;=400,"Blockbuster",K1263&gt;=200,"Popular",K1263&lt;200,"Normal")</f>
        <v>Normal</v>
      </c>
      <c r="T1263" s="10" t="str">
        <f>IF(OR(I1263="PG",I1263="G"),"Yes","No")</f>
        <v>No</v>
      </c>
      <c r="U1263" s="11" t="str">
        <f>IF(P1263&gt;=100,"High","Low")</f>
        <v>Low</v>
      </c>
      <c r="V1263" s="28">
        <f t="shared" si="38"/>
        <v>159.9</v>
      </c>
      <c r="W1263" s="29">
        <f t="shared" si="39"/>
        <v>413.52941176470591</v>
      </c>
    </row>
    <row r="1264" spans="1:23" x14ac:dyDescent="0.3">
      <c r="A1264" s="1" t="s">
        <v>3601</v>
      </c>
      <c r="B1264" s="1" t="s">
        <v>3602</v>
      </c>
      <c r="C1264" s="1" t="s">
        <v>46</v>
      </c>
      <c r="D1264" s="1" t="s">
        <v>82</v>
      </c>
      <c r="E1264" s="1">
        <v>2024</v>
      </c>
      <c r="F1264" s="1" t="s">
        <v>100</v>
      </c>
      <c r="G1264" s="1" t="s">
        <v>3603</v>
      </c>
      <c r="H1264" s="1">
        <v>33</v>
      </c>
      <c r="I1264" s="1" t="s">
        <v>22</v>
      </c>
      <c r="J1264" s="1">
        <v>9.1</v>
      </c>
      <c r="K1264" s="1">
        <v>537.6</v>
      </c>
      <c r="L1264" s="1" t="s">
        <v>32</v>
      </c>
      <c r="M1264" s="1" t="s">
        <v>132</v>
      </c>
      <c r="N1264" s="1" t="s">
        <v>43</v>
      </c>
      <c r="O1264" s="1">
        <v>3</v>
      </c>
      <c r="P1264" s="1">
        <v>107</v>
      </c>
      <c r="Q1264" s="1">
        <v>209.8</v>
      </c>
      <c r="R1264" s="8" t="str">
        <f>_xlfn.IFS(J1264&gt;=8,"Hit",J1264&gt;=6,"Average",J1264&lt;6,"Flop")</f>
        <v>Hit</v>
      </c>
      <c r="S1264" s="9" t="str">
        <f>_xlfn.IFS(K1264&gt;=400,"Blockbuster",K1264&gt;=200,"Popular",K1264&lt;200,"Normal")</f>
        <v>Blockbuster</v>
      </c>
      <c r="T1264" s="10" t="str">
        <f>IF(OR(I1264="PG",I1264="G"),"Yes","No")</f>
        <v>No</v>
      </c>
      <c r="U1264" s="11" t="str">
        <f>IF(P1264&gt;=100,"High","Low")</f>
        <v>High</v>
      </c>
      <c r="V1264" s="28">
        <f t="shared" si="38"/>
        <v>102.80000000000001</v>
      </c>
      <c r="W1264" s="29">
        <f t="shared" si="39"/>
        <v>196.07476635514021</v>
      </c>
    </row>
    <row r="1265" spans="1:23" x14ac:dyDescent="0.3">
      <c r="A1265" s="1" t="s">
        <v>3604</v>
      </c>
      <c r="B1265" s="1" t="s">
        <v>3605</v>
      </c>
      <c r="C1265" s="1" t="s">
        <v>18</v>
      </c>
      <c r="D1265" s="1" t="s">
        <v>117</v>
      </c>
      <c r="E1265" s="1">
        <v>2006</v>
      </c>
      <c r="F1265" s="1" t="s">
        <v>83</v>
      </c>
      <c r="G1265" s="1" t="s">
        <v>2027</v>
      </c>
      <c r="H1265" s="1">
        <v>155</v>
      </c>
      <c r="I1265" s="1" t="s">
        <v>22</v>
      </c>
      <c r="J1265" s="1">
        <v>9</v>
      </c>
      <c r="K1265" s="1">
        <v>407.3</v>
      </c>
      <c r="L1265" s="1" t="s">
        <v>90</v>
      </c>
      <c r="M1265" s="1" t="s">
        <v>33</v>
      </c>
      <c r="N1265" s="1" t="s">
        <v>86</v>
      </c>
      <c r="O1265" s="1"/>
      <c r="P1265" s="1">
        <v>86</v>
      </c>
      <c r="Q1265" s="1">
        <v>151.9</v>
      </c>
      <c r="R1265" s="8" t="str">
        <f>_xlfn.IFS(J1265&gt;=8,"Hit",J1265&gt;=6,"Average",J1265&lt;6,"Flop")</f>
        <v>Hit</v>
      </c>
      <c r="S1265" s="9" t="str">
        <f>_xlfn.IFS(K1265&gt;=400,"Blockbuster",K1265&gt;=200,"Popular",K1265&lt;200,"Normal")</f>
        <v>Blockbuster</v>
      </c>
      <c r="T1265" s="10" t="str">
        <f>IF(OR(I1265="PG",I1265="G"),"Yes","No")</f>
        <v>No</v>
      </c>
      <c r="U1265" s="11" t="str">
        <f>IF(P1265&gt;=100,"High","Low")</f>
        <v>Low</v>
      </c>
      <c r="V1265" s="28">
        <f t="shared" si="38"/>
        <v>65.900000000000006</v>
      </c>
      <c r="W1265" s="29">
        <f t="shared" si="39"/>
        <v>176.62790697674419</v>
      </c>
    </row>
    <row r="1266" spans="1:23" x14ac:dyDescent="0.3">
      <c r="A1266" s="1" t="s">
        <v>3606</v>
      </c>
      <c r="B1266" s="1" t="s">
        <v>3607</v>
      </c>
      <c r="C1266" s="1" t="s">
        <v>46</v>
      </c>
      <c r="D1266" s="1" t="s">
        <v>117</v>
      </c>
      <c r="E1266" s="1">
        <v>2000</v>
      </c>
      <c r="F1266" s="1" t="s">
        <v>76</v>
      </c>
      <c r="G1266" s="1" t="s">
        <v>1192</v>
      </c>
      <c r="H1266" s="1">
        <v>42</v>
      </c>
      <c r="I1266" s="1" t="s">
        <v>110</v>
      </c>
      <c r="J1266" s="1">
        <v>6</v>
      </c>
      <c r="K1266" s="1">
        <v>397.6</v>
      </c>
      <c r="L1266" s="1" t="s">
        <v>71</v>
      </c>
      <c r="M1266" s="1" t="s">
        <v>85</v>
      </c>
      <c r="N1266" s="1" t="s">
        <v>158</v>
      </c>
      <c r="O1266" s="1">
        <v>6</v>
      </c>
      <c r="P1266" s="1">
        <v>22</v>
      </c>
      <c r="Q1266" s="1">
        <v>127.6</v>
      </c>
      <c r="R1266" s="8" t="str">
        <f>_xlfn.IFS(J1266&gt;=8,"Hit",J1266&gt;=6,"Average",J1266&lt;6,"Flop")</f>
        <v>Average</v>
      </c>
      <c r="S1266" s="9" t="str">
        <f>_xlfn.IFS(K1266&gt;=400,"Blockbuster",K1266&gt;=200,"Popular",K1266&lt;200,"Normal")</f>
        <v>Popular</v>
      </c>
      <c r="T1266" s="10" t="str">
        <f>IF(OR(I1266="PG",I1266="G"),"Yes","No")</f>
        <v>No</v>
      </c>
      <c r="U1266" s="11" t="str">
        <f>IF(P1266&gt;=100,"High","Low")</f>
        <v>Low</v>
      </c>
      <c r="V1266" s="28">
        <f t="shared" si="38"/>
        <v>105.6</v>
      </c>
      <c r="W1266" s="29">
        <f t="shared" si="39"/>
        <v>580</v>
      </c>
    </row>
    <row r="1267" spans="1:23" x14ac:dyDescent="0.3">
      <c r="A1267" s="1" t="s">
        <v>3608</v>
      </c>
      <c r="B1267" s="1" t="s">
        <v>3609</v>
      </c>
      <c r="C1267" s="1" t="s">
        <v>46</v>
      </c>
      <c r="D1267" s="1" t="s">
        <v>47</v>
      </c>
      <c r="E1267" s="1">
        <v>2000</v>
      </c>
      <c r="F1267" s="1" t="s">
        <v>38</v>
      </c>
      <c r="G1267" s="1" t="s">
        <v>1047</v>
      </c>
      <c r="H1267" s="1">
        <v>60</v>
      </c>
      <c r="I1267" s="1" t="s">
        <v>22</v>
      </c>
      <c r="J1267" s="1">
        <v>5.2</v>
      </c>
      <c r="K1267" s="1">
        <v>405.2</v>
      </c>
      <c r="L1267" s="1" t="s">
        <v>32</v>
      </c>
      <c r="M1267" s="1" t="s">
        <v>66</v>
      </c>
      <c r="N1267" s="1" t="s">
        <v>86</v>
      </c>
      <c r="O1267" s="1">
        <v>5</v>
      </c>
      <c r="P1267" s="1">
        <v>25</v>
      </c>
      <c r="Q1267" s="1">
        <v>46</v>
      </c>
      <c r="R1267" s="8" t="str">
        <f>_xlfn.IFS(J1267&gt;=8,"Hit",J1267&gt;=6,"Average",J1267&lt;6,"Flop")</f>
        <v>Flop</v>
      </c>
      <c r="S1267" s="9" t="str">
        <f>_xlfn.IFS(K1267&gt;=400,"Blockbuster",K1267&gt;=200,"Popular",K1267&lt;200,"Normal")</f>
        <v>Blockbuster</v>
      </c>
      <c r="T1267" s="10" t="str">
        <f>IF(OR(I1267="PG",I1267="G"),"Yes","No")</f>
        <v>No</v>
      </c>
      <c r="U1267" s="11" t="str">
        <f>IF(P1267&gt;=100,"High","Low")</f>
        <v>Low</v>
      </c>
      <c r="V1267" s="28">
        <f t="shared" si="38"/>
        <v>21</v>
      </c>
      <c r="W1267" s="29">
        <f t="shared" si="39"/>
        <v>184</v>
      </c>
    </row>
    <row r="1268" spans="1:23" x14ac:dyDescent="0.3">
      <c r="A1268" s="1" t="s">
        <v>3610</v>
      </c>
      <c r="B1268" s="1" t="s">
        <v>3611</v>
      </c>
      <c r="C1268" s="1" t="s">
        <v>46</v>
      </c>
      <c r="D1268" s="1" t="s">
        <v>117</v>
      </c>
      <c r="E1268" s="1">
        <v>2000</v>
      </c>
      <c r="F1268" s="1" t="s">
        <v>100</v>
      </c>
      <c r="G1268" s="1" t="s">
        <v>3582</v>
      </c>
      <c r="H1268" s="1">
        <v>32</v>
      </c>
      <c r="I1268" s="1" t="s">
        <v>22</v>
      </c>
      <c r="J1268" s="1">
        <v>7</v>
      </c>
      <c r="K1268" s="1">
        <v>598.4</v>
      </c>
      <c r="L1268" s="1" t="s">
        <v>32</v>
      </c>
      <c r="M1268" s="1" t="s">
        <v>111</v>
      </c>
      <c r="N1268" s="1" t="s">
        <v>128</v>
      </c>
      <c r="O1268" s="1">
        <v>7</v>
      </c>
      <c r="P1268" s="1">
        <v>135</v>
      </c>
      <c r="Q1268" s="1">
        <v>170.9</v>
      </c>
      <c r="R1268" s="8" t="str">
        <f>_xlfn.IFS(J1268&gt;=8,"Hit",J1268&gt;=6,"Average",J1268&lt;6,"Flop")</f>
        <v>Average</v>
      </c>
      <c r="S1268" s="9" t="str">
        <f>_xlfn.IFS(K1268&gt;=400,"Blockbuster",K1268&gt;=200,"Popular",K1268&lt;200,"Normal")</f>
        <v>Blockbuster</v>
      </c>
      <c r="T1268" s="10" t="str">
        <f>IF(OR(I1268="PG",I1268="G"),"Yes","No")</f>
        <v>No</v>
      </c>
      <c r="U1268" s="11" t="str">
        <f>IF(P1268&gt;=100,"High","Low")</f>
        <v>High</v>
      </c>
      <c r="V1268" s="28">
        <f t="shared" si="38"/>
        <v>35.900000000000006</v>
      </c>
      <c r="W1268" s="29">
        <f t="shared" si="39"/>
        <v>126.5925925925926</v>
      </c>
    </row>
    <row r="1269" spans="1:23" x14ac:dyDescent="0.3">
      <c r="A1269" s="1" t="s">
        <v>3612</v>
      </c>
      <c r="B1269" s="1" t="s">
        <v>3613</v>
      </c>
      <c r="C1269" s="1" t="s">
        <v>18</v>
      </c>
      <c r="D1269" s="1" t="s">
        <v>82</v>
      </c>
      <c r="E1269" s="1">
        <v>2021</v>
      </c>
      <c r="F1269" s="1" t="s">
        <v>29</v>
      </c>
      <c r="G1269" s="1" t="s">
        <v>3614</v>
      </c>
      <c r="H1269" s="1">
        <v>136</v>
      </c>
      <c r="I1269" s="1" t="s">
        <v>31</v>
      </c>
      <c r="J1269" s="1">
        <v>5.3</v>
      </c>
      <c r="K1269" s="1">
        <v>570.4</v>
      </c>
      <c r="L1269" s="1" t="s">
        <v>65</v>
      </c>
      <c r="M1269" s="1" t="s">
        <v>146</v>
      </c>
      <c r="N1269" s="1" t="s">
        <v>60</v>
      </c>
      <c r="O1269" s="1"/>
      <c r="P1269" s="1">
        <v>34</v>
      </c>
      <c r="Q1269" s="1">
        <v>186.8</v>
      </c>
      <c r="R1269" s="8" t="str">
        <f>_xlfn.IFS(J1269&gt;=8,"Hit",J1269&gt;=6,"Average",J1269&lt;6,"Flop")</f>
        <v>Flop</v>
      </c>
      <c r="S1269" s="9" t="str">
        <f>_xlfn.IFS(K1269&gt;=400,"Blockbuster",K1269&gt;=200,"Popular",K1269&lt;200,"Normal")</f>
        <v>Blockbuster</v>
      </c>
      <c r="T1269" s="10" t="str">
        <f>IF(OR(I1269="PG",I1269="G"),"Yes","No")</f>
        <v>No</v>
      </c>
      <c r="U1269" s="11" t="str">
        <f>IF(P1269&gt;=100,"High","Low")</f>
        <v>Low</v>
      </c>
      <c r="V1269" s="28">
        <f t="shared" si="38"/>
        <v>152.80000000000001</v>
      </c>
      <c r="W1269" s="29">
        <f t="shared" si="39"/>
        <v>549.41176470588232</v>
      </c>
    </row>
    <row r="1270" spans="1:23" x14ac:dyDescent="0.3">
      <c r="A1270" s="1" t="s">
        <v>3615</v>
      </c>
      <c r="B1270" s="1" t="s">
        <v>3616</v>
      </c>
      <c r="C1270" s="1" t="s">
        <v>18</v>
      </c>
      <c r="D1270" s="1" t="s">
        <v>58</v>
      </c>
      <c r="E1270" s="1">
        <v>2022</v>
      </c>
      <c r="F1270" s="1" t="s">
        <v>38</v>
      </c>
      <c r="G1270" s="1" t="s">
        <v>1805</v>
      </c>
      <c r="H1270" s="1">
        <v>154</v>
      </c>
      <c r="I1270" s="1" t="s">
        <v>22</v>
      </c>
      <c r="J1270" s="1">
        <v>9</v>
      </c>
      <c r="K1270" s="1">
        <v>28.6</v>
      </c>
      <c r="L1270" s="1" t="s">
        <v>171</v>
      </c>
      <c r="M1270" s="1" t="s">
        <v>97</v>
      </c>
      <c r="N1270" s="1" t="s">
        <v>60</v>
      </c>
      <c r="O1270" s="1"/>
      <c r="P1270" s="1">
        <v>142</v>
      </c>
      <c r="Q1270" s="1">
        <v>430.1</v>
      </c>
      <c r="R1270" s="8" t="str">
        <f>_xlfn.IFS(J1270&gt;=8,"Hit",J1270&gt;=6,"Average",J1270&lt;6,"Flop")</f>
        <v>Hit</v>
      </c>
      <c r="S1270" s="9" t="str">
        <f>_xlfn.IFS(K1270&gt;=400,"Blockbuster",K1270&gt;=200,"Popular",K1270&lt;200,"Normal")</f>
        <v>Normal</v>
      </c>
      <c r="T1270" s="10" t="str">
        <f>IF(OR(I1270="PG",I1270="G"),"Yes","No")</f>
        <v>No</v>
      </c>
      <c r="U1270" s="11" t="str">
        <f>IF(P1270&gt;=100,"High","Low")</f>
        <v>High</v>
      </c>
      <c r="V1270" s="28">
        <f t="shared" si="38"/>
        <v>288.10000000000002</v>
      </c>
      <c r="W1270" s="29">
        <f t="shared" si="39"/>
        <v>302.88732394366195</v>
      </c>
    </row>
    <row r="1271" spans="1:23" x14ac:dyDescent="0.3">
      <c r="A1271" s="1" t="s">
        <v>3617</v>
      </c>
      <c r="B1271" s="1" t="s">
        <v>3618</v>
      </c>
      <c r="C1271" s="1" t="s">
        <v>46</v>
      </c>
      <c r="D1271" s="1" t="s">
        <v>117</v>
      </c>
      <c r="E1271" s="1">
        <v>2016</v>
      </c>
      <c r="F1271" s="1" t="s">
        <v>20</v>
      </c>
      <c r="G1271" s="1" t="s">
        <v>3619</v>
      </c>
      <c r="H1271" s="1">
        <v>35</v>
      </c>
      <c r="I1271" s="1" t="s">
        <v>40</v>
      </c>
      <c r="J1271" s="1">
        <v>7.5</v>
      </c>
      <c r="K1271" s="1">
        <v>590.6</v>
      </c>
      <c r="L1271" s="1" t="s">
        <v>65</v>
      </c>
      <c r="M1271" s="1" t="s">
        <v>124</v>
      </c>
      <c r="N1271" s="1" t="s">
        <v>60</v>
      </c>
      <c r="O1271" s="1">
        <v>1</v>
      </c>
      <c r="P1271" s="1">
        <v>120</v>
      </c>
      <c r="Q1271" s="1">
        <v>417.4</v>
      </c>
      <c r="R1271" s="8" t="str">
        <f>_xlfn.IFS(J1271&gt;=8,"Hit",J1271&gt;=6,"Average",J1271&lt;6,"Flop")</f>
        <v>Average</v>
      </c>
      <c r="S1271" s="9" t="str">
        <f>_xlfn.IFS(K1271&gt;=400,"Blockbuster",K1271&gt;=200,"Popular",K1271&lt;200,"Normal")</f>
        <v>Blockbuster</v>
      </c>
      <c r="T1271" s="10" t="str">
        <f>IF(OR(I1271="PG",I1271="G"),"Yes","No")</f>
        <v>Yes</v>
      </c>
      <c r="U1271" s="11" t="str">
        <f>IF(P1271&gt;=100,"High","Low")</f>
        <v>High</v>
      </c>
      <c r="V1271" s="28">
        <f t="shared" si="38"/>
        <v>297.39999999999998</v>
      </c>
      <c r="W1271" s="29">
        <f t="shared" si="39"/>
        <v>347.83333333333331</v>
      </c>
    </row>
    <row r="1272" spans="1:23" x14ac:dyDescent="0.3">
      <c r="A1272" s="1" t="s">
        <v>3620</v>
      </c>
      <c r="B1272" s="1" t="s">
        <v>3621</v>
      </c>
      <c r="C1272" s="1" t="s">
        <v>46</v>
      </c>
      <c r="D1272" s="1" t="s">
        <v>75</v>
      </c>
      <c r="E1272" s="1">
        <v>2011</v>
      </c>
      <c r="F1272" s="1" t="s">
        <v>38</v>
      </c>
      <c r="G1272" s="1" t="s">
        <v>3622</v>
      </c>
      <c r="H1272" s="1">
        <v>40</v>
      </c>
      <c r="I1272" s="1" t="s">
        <v>22</v>
      </c>
      <c r="J1272" s="1">
        <v>5.3</v>
      </c>
      <c r="K1272" s="1">
        <v>149.1</v>
      </c>
      <c r="L1272" s="1" t="s">
        <v>41</v>
      </c>
      <c r="M1272" s="1" t="s">
        <v>146</v>
      </c>
      <c r="N1272" s="1" t="s">
        <v>128</v>
      </c>
      <c r="O1272" s="1">
        <v>3</v>
      </c>
      <c r="P1272" s="1">
        <v>154</v>
      </c>
      <c r="Q1272" s="1">
        <v>583.9</v>
      </c>
      <c r="R1272" s="8" t="str">
        <f>_xlfn.IFS(J1272&gt;=8,"Hit",J1272&gt;=6,"Average",J1272&lt;6,"Flop")</f>
        <v>Flop</v>
      </c>
      <c r="S1272" s="9" t="str">
        <f>_xlfn.IFS(K1272&gt;=400,"Blockbuster",K1272&gt;=200,"Popular",K1272&lt;200,"Normal")</f>
        <v>Normal</v>
      </c>
      <c r="T1272" s="10" t="str">
        <f>IF(OR(I1272="PG",I1272="G"),"Yes","No")</f>
        <v>No</v>
      </c>
      <c r="U1272" s="11" t="str">
        <f>IF(P1272&gt;=100,"High","Low")</f>
        <v>High</v>
      </c>
      <c r="V1272" s="28">
        <f t="shared" si="38"/>
        <v>429.9</v>
      </c>
      <c r="W1272" s="29">
        <f t="shared" si="39"/>
        <v>379.15584415584414</v>
      </c>
    </row>
    <row r="1273" spans="1:23" x14ac:dyDescent="0.3">
      <c r="A1273" s="1" t="s">
        <v>3623</v>
      </c>
      <c r="B1273" s="1" t="s">
        <v>3624</v>
      </c>
      <c r="C1273" s="1" t="s">
        <v>46</v>
      </c>
      <c r="D1273" s="1" t="s">
        <v>82</v>
      </c>
      <c r="E1273" s="1">
        <v>2010</v>
      </c>
      <c r="F1273" s="1" t="s">
        <v>122</v>
      </c>
      <c r="G1273" s="1" t="s">
        <v>3625</v>
      </c>
      <c r="H1273" s="1">
        <v>35</v>
      </c>
      <c r="I1273" s="1" t="s">
        <v>50</v>
      </c>
      <c r="J1273" s="1">
        <v>9.3000000000000007</v>
      </c>
      <c r="K1273" s="1">
        <v>98.2</v>
      </c>
      <c r="L1273" s="1" t="s">
        <v>23</v>
      </c>
      <c r="M1273" s="1" t="s">
        <v>97</v>
      </c>
      <c r="N1273" s="1" t="s">
        <v>128</v>
      </c>
      <c r="O1273" s="1">
        <v>7</v>
      </c>
      <c r="P1273" s="1">
        <v>88</v>
      </c>
      <c r="Q1273" s="1">
        <v>539.70000000000005</v>
      </c>
      <c r="R1273" s="8" t="str">
        <f>_xlfn.IFS(J1273&gt;=8,"Hit",J1273&gt;=6,"Average",J1273&lt;6,"Flop")</f>
        <v>Hit</v>
      </c>
      <c r="S1273" s="9" t="str">
        <f>_xlfn.IFS(K1273&gt;=400,"Blockbuster",K1273&gt;=200,"Popular",K1273&lt;200,"Normal")</f>
        <v>Normal</v>
      </c>
      <c r="T1273" s="10" t="str">
        <f>IF(OR(I1273="PG",I1273="G"),"Yes","No")</f>
        <v>Yes</v>
      </c>
      <c r="U1273" s="11" t="str">
        <f>IF(P1273&gt;=100,"High","Low")</f>
        <v>Low</v>
      </c>
      <c r="V1273" s="28">
        <f t="shared" si="38"/>
        <v>451.70000000000005</v>
      </c>
      <c r="W1273" s="29">
        <f t="shared" si="39"/>
        <v>613.29545454545462</v>
      </c>
    </row>
    <row r="1274" spans="1:23" x14ac:dyDescent="0.3">
      <c r="A1274" s="1" t="s">
        <v>3626</v>
      </c>
      <c r="B1274" s="1" t="s">
        <v>3627</v>
      </c>
      <c r="C1274" s="1" t="s">
        <v>46</v>
      </c>
      <c r="D1274" s="1" t="s">
        <v>82</v>
      </c>
      <c r="E1274" s="1">
        <v>2024</v>
      </c>
      <c r="F1274" s="1" t="s">
        <v>48</v>
      </c>
      <c r="G1274" s="1" t="s">
        <v>3628</v>
      </c>
      <c r="H1274" s="1">
        <v>52</v>
      </c>
      <c r="I1274" s="1" t="s">
        <v>31</v>
      </c>
      <c r="J1274" s="1">
        <v>5.7</v>
      </c>
      <c r="K1274" s="1">
        <v>535.20000000000005</v>
      </c>
      <c r="L1274" s="1" t="s">
        <v>171</v>
      </c>
      <c r="M1274" s="1" t="s">
        <v>111</v>
      </c>
      <c r="N1274" s="1" t="s">
        <v>25</v>
      </c>
      <c r="O1274" s="1">
        <v>2</v>
      </c>
      <c r="P1274" s="1">
        <v>54</v>
      </c>
      <c r="Q1274" s="1">
        <v>273.5</v>
      </c>
      <c r="R1274" s="8" t="str">
        <f>_xlfn.IFS(J1274&gt;=8,"Hit",J1274&gt;=6,"Average",J1274&lt;6,"Flop")</f>
        <v>Flop</v>
      </c>
      <c r="S1274" s="9" t="str">
        <f>_xlfn.IFS(K1274&gt;=400,"Blockbuster",K1274&gt;=200,"Popular",K1274&lt;200,"Normal")</f>
        <v>Blockbuster</v>
      </c>
      <c r="T1274" s="10" t="str">
        <f>IF(OR(I1274="PG",I1274="G"),"Yes","No")</f>
        <v>No</v>
      </c>
      <c r="U1274" s="11" t="str">
        <f>IF(P1274&gt;=100,"High","Low")</f>
        <v>Low</v>
      </c>
      <c r="V1274" s="28">
        <f t="shared" si="38"/>
        <v>219.5</v>
      </c>
      <c r="W1274" s="29">
        <f t="shared" si="39"/>
        <v>506.48148148148147</v>
      </c>
    </row>
    <row r="1275" spans="1:23" x14ac:dyDescent="0.3">
      <c r="A1275" s="1" t="s">
        <v>3629</v>
      </c>
      <c r="B1275" s="1" t="s">
        <v>3630</v>
      </c>
      <c r="C1275" s="1" t="s">
        <v>46</v>
      </c>
      <c r="D1275" s="1" t="s">
        <v>75</v>
      </c>
      <c r="E1275" s="1">
        <v>2005</v>
      </c>
      <c r="F1275" s="1" t="s">
        <v>29</v>
      </c>
      <c r="G1275" s="1" t="s">
        <v>1467</v>
      </c>
      <c r="H1275" s="1">
        <v>40</v>
      </c>
      <c r="I1275" s="1" t="s">
        <v>22</v>
      </c>
      <c r="J1275" s="1">
        <v>8.4</v>
      </c>
      <c r="K1275" s="1">
        <v>400.1</v>
      </c>
      <c r="L1275" s="1" t="s">
        <v>71</v>
      </c>
      <c r="M1275" s="1" t="s">
        <v>54</v>
      </c>
      <c r="N1275" s="1" t="s">
        <v>34</v>
      </c>
      <c r="O1275" s="1">
        <v>8</v>
      </c>
      <c r="P1275" s="1">
        <v>131</v>
      </c>
      <c r="Q1275" s="1">
        <v>159.30000000000001</v>
      </c>
      <c r="R1275" s="8" t="str">
        <f>_xlfn.IFS(J1275&gt;=8,"Hit",J1275&gt;=6,"Average",J1275&lt;6,"Flop")</f>
        <v>Hit</v>
      </c>
      <c r="S1275" s="9" t="str">
        <f>_xlfn.IFS(K1275&gt;=400,"Blockbuster",K1275&gt;=200,"Popular",K1275&lt;200,"Normal")</f>
        <v>Blockbuster</v>
      </c>
      <c r="T1275" s="10" t="str">
        <f>IF(OR(I1275="PG",I1275="G"),"Yes","No")</f>
        <v>No</v>
      </c>
      <c r="U1275" s="11" t="str">
        <f>IF(P1275&gt;=100,"High","Low")</f>
        <v>High</v>
      </c>
      <c r="V1275" s="28">
        <f t="shared" si="38"/>
        <v>28.300000000000011</v>
      </c>
      <c r="W1275" s="29">
        <f t="shared" si="39"/>
        <v>121.6030534351145</v>
      </c>
    </row>
    <row r="1276" spans="1:23" x14ac:dyDescent="0.3">
      <c r="A1276" s="1" t="s">
        <v>3631</v>
      </c>
      <c r="B1276" s="1" t="s">
        <v>3632</v>
      </c>
      <c r="C1276" s="1" t="s">
        <v>18</v>
      </c>
      <c r="D1276" s="1" t="s">
        <v>94</v>
      </c>
      <c r="E1276" s="1">
        <v>2021</v>
      </c>
      <c r="F1276" s="1" t="s">
        <v>100</v>
      </c>
      <c r="G1276" s="1" t="s">
        <v>3633</v>
      </c>
      <c r="H1276" s="1">
        <v>124</v>
      </c>
      <c r="I1276" s="1" t="s">
        <v>50</v>
      </c>
      <c r="J1276" s="1">
        <v>7.9</v>
      </c>
      <c r="K1276" s="1">
        <v>474.5</v>
      </c>
      <c r="L1276" s="1" t="s">
        <v>90</v>
      </c>
      <c r="M1276" s="1" t="s">
        <v>72</v>
      </c>
      <c r="N1276" s="1" t="s">
        <v>55</v>
      </c>
      <c r="O1276" s="1"/>
      <c r="P1276" s="1">
        <v>184</v>
      </c>
      <c r="Q1276" s="1">
        <v>1095.3</v>
      </c>
      <c r="R1276" s="8" t="str">
        <f>_xlfn.IFS(J1276&gt;=8,"Hit",J1276&gt;=6,"Average",J1276&lt;6,"Flop")</f>
        <v>Average</v>
      </c>
      <c r="S1276" s="9" t="str">
        <f>_xlfn.IFS(K1276&gt;=400,"Blockbuster",K1276&gt;=200,"Popular",K1276&lt;200,"Normal")</f>
        <v>Blockbuster</v>
      </c>
      <c r="T1276" s="10" t="str">
        <f>IF(OR(I1276="PG",I1276="G"),"Yes","No")</f>
        <v>Yes</v>
      </c>
      <c r="U1276" s="11" t="str">
        <f>IF(P1276&gt;=100,"High","Low")</f>
        <v>High</v>
      </c>
      <c r="V1276" s="28">
        <f t="shared" si="38"/>
        <v>911.3</v>
      </c>
      <c r="W1276" s="29">
        <f t="shared" si="39"/>
        <v>595.27173913043475</v>
      </c>
    </row>
    <row r="1277" spans="1:23" x14ac:dyDescent="0.3">
      <c r="A1277" s="1" t="s">
        <v>3634</v>
      </c>
      <c r="B1277" s="1" t="s">
        <v>3635</v>
      </c>
      <c r="C1277" s="1" t="s">
        <v>18</v>
      </c>
      <c r="D1277" s="1" t="s">
        <v>47</v>
      </c>
      <c r="E1277" s="1">
        <v>2012</v>
      </c>
      <c r="F1277" s="1" t="s">
        <v>48</v>
      </c>
      <c r="G1277" s="1" t="s">
        <v>3636</v>
      </c>
      <c r="H1277" s="1">
        <v>95</v>
      </c>
      <c r="I1277" s="1" t="s">
        <v>31</v>
      </c>
      <c r="J1277" s="1">
        <v>7.6</v>
      </c>
      <c r="K1277" s="1">
        <v>121.9</v>
      </c>
      <c r="L1277" s="1" t="s">
        <v>41</v>
      </c>
      <c r="M1277" s="1" t="s">
        <v>157</v>
      </c>
      <c r="N1277" s="1" t="s">
        <v>153</v>
      </c>
      <c r="O1277" s="1"/>
      <c r="P1277" s="1">
        <v>109</v>
      </c>
      <c r="Q1277" s="1">
        <v>619</v>
      </c>
      <c r="R1277" s="8" t="str">
        <f>_xlfn.IFS(J1277&gt;=8,"Hit",J1277&gt;=6,"Average",J1277&lt;6,"Flop")</f>
        <v>Average</v>
      </c>
      <c r="S1277" s="9" t="str">
        <f>_xlfn.IFS(K1277&gt;=400,"Blockbuster",K1277&gt;=200,"Popular",K1277&lt;200,"Normal")</f>
        <v>Normal</v>
      </c>
      <c r="T1277" s="10" t="str">
        <f>IF(OR(I1277="PG",I1277="G"),"Yes","No")</f>
        <v>No</v>
      </c>
      <c r="U1277" s="11" t="str">
        <f>IF(P1277&gt;=100,"High","Low")</f>
        <v>High</v>
      </c>
      <c r="V1277" s="28">
        <f t="shared" si="38"/>
        <v>510</v>
      </c>
      <c r="W1277" s="29">
        <f t="shared" si="39"/>
        <v>567.88990825688074</v>
      </c>
    </row>
    <row r="1278" spans="1:23" x14ac:dyDescent="0.3">
      <c r="A1278" s="1" t="s">
        <v>3637</v>
      </c>
      <c r="B1278" s="1" t="s">
        <v>3638</v>
      </c>
      <c r="C1278" s="1" t="s">
        <v>46</v>
      </c>
      <c r="D1278" s="1" t="s">
        <v>37</v>
      </c>
      <c r="E1278" s="1">
        <v>2023</v>
      </c>
      <c r="F1278" s="1" t="s">
        <v>20</v>
      </c>
      <c r="G1278" s="1" t="s">
        <v>680</v>
      </c>
      <c r="H1278" s="1">
        <v>48</v>
      </c>
      <c r="I1278" s="1" t="s">
        <v>22</v>
      </c>
      <c r="J1278" s="1">
        <v>8.4</v>
      </c>
      <c r="K1278" s="1">
        <v>305.89999999999998</v>
      </c>
      <c r="L1278" s="1" t="s">
        <v>171</v>
      </c>
      <c r="M1278" s="1" t="s">
        <v>97</v>
      </c>
      <c r="N1278" s="1" t="s">
        <v>102</v>
      </c>
      <c r="O1278" s="1">
        <v>3</v>
      </c>
      <c r="P1278" s="1">
        <v>9</v>
      </c>
      <c r="Q1278" s="1">
        <v>43.5</v>
      </c>
      <c r="R1278" s="8" t="str">
        <f>_xlfn.IFS(J1278&gt;=8,"Hit",J1278&gt;=6,"Average",J1278&lt;6,"Flop")</f>
        <v>Hit</v>
      </c>
      <c r="S1278" s="9" t="str">
        <f>_xlfn.IFS(K1278&gt;=400,"Blockbuster",K1278&gt;=200,"Popular",K1278&lt;200,"Normal")</f>
        <v>Popular</v>
      </c>
      <c r="T1278" s="10" t="str">
        <f>IF(OR(I1278="PG",I1278="G"),"Yes","No")</f>
        <v>No</v>
      </c>
      <c r="U1278" s="11" t="str">
        <f>IF(P1278&gt;=100,"High","Low")</f>
        <v>Low</v>
      </c>
      <c r="V1278" s="28">
        <f t="shared" si="38"/>
        <v>34.5</v>
      </c>
      <c r="W1278" s="29">
        <f t="shared" si="39"/>
        <v>483.33333333333331</v>
      </c>
    </row>
    <row r="1279" spans="1:23" x14ac:dyDescent="0.3">
      <c r="A1279" s="1" t="s">
        <v>3639</v>
      </c>
      <c r="B1279" s="1" t="s">
        <v>3640</v>
      </c>
      <c r="C1279" s="1" t="s">
        <v>46</v>
      </c>
      <c r="D1279" s="1" t="s">
        <v>28</v>
      </c>
      <c r="E1279" s="1">
        <v>2015</v>
      </c>
      <c r="F1279" s="1" t="s">
        <v>181</v>
      </c>
      <c r="G1279" s="1" t="s">
        <v>2295</v>
      </c>
      <c r="H1279" s="1">
        <v>30</v>
      </c>
      <c r="I1279" s="1" t="s">
        <v>110</v>
      </c>
      <c r="J1279" s="1">
        <v>6.2</v>
      </c>
      <c r="K1279" s="1">
        <v>577.70000000000005</v>
      </c>
      <c r="L1279" s="1" t="s">
        <v>171</v>
      </c>
      <c r="M1279" s="1" t="s">
        <v>124</v>
      </c>
      <c r="N1279" s="1" t="s">
        <v>67</v>
      </c>
      <c r="O1279" s="1">
        <v>2</v>
      </c>
      <c r="P1279" s="1">
        <v>71</v>
      </c>
      <c r="Q1279" s="1">
        <v>229.3</v>
      </c>
      <c r="R1279" s="8" t="str">
        <f>_xlfn.IFS(J1279&gt;=8,"Hit",J1279&gt;=6,"Average",J1279&lt;6,"Flop")</f>
        <v>Average</v>
      </c>
      <c r="S1279" s="9" t="str">
        <f>_xlfn.IFS(K1279&gt;=400,"Blockbuster",K1279&gt;=200,"Popular",K1279&lt;200,"Normal")</f>
        <v>Blockbuster</v>
      </c>
      <c r="T1279" s="10" t="str">
        <f>IF(OR(I1279="PG",I1279="G"),"Yes","No")</f>
        <v>No</v>
      </c>
      <c r="U1279" s="11" t="str">
        <f>IF(P1279&gt;=100,"High","Low")</f>
        <v>Low</v>
      </c>
      <c r="V1279" s="28">
        <f t="shared" si="38"/>
        <v>158.30000000000001</v>
      </c>
      <c r="W1279" s="29">
        <f t="shared" si="39"/>
        <v>322.95774647887328</v>
      </c>
    </row>
    <row r="1280" spans="1:23" x14ac:dyDescent="0.3">
      <c r="A1280" s="1" t="s">
        <v>3641</v>
      </c>
      <c r="B1280" s="1" t="s">
        <v>3642</v>
      </c>
      <c r="C1280" s="1" t="s">
        <v>46</v>
      </c>
      <c r="D1280" s="1" t="s">
        <v>82</v>
      </c>
      <c r="E1280" s="1">
        <v>2014</v>
      </c>
      <c r="F1280" s="1" t="s">
        <v>20</v>
      </c>
      <c r="G1280" s="1" t="s">
        <v>3643</v>
      </c>
      <c r="H1280" s="1">
        <v>53</v>
      </c>
      <c r="I1280" s="1" t="s">
        <v>31</v>
      </c>
      <c r="J1280" s="1">
        <v>9.3000000000000007</v>
      </c>
      <c r="K1280" s="1">
        <v>456.3</v>
      </c>
      <c r="L1280" s="1" t="s">
        <v>23</v>
      </c>
      <c r="M1280" s="1" t="s">
        <v>97</v>
      </c>
      <c r="N1280" s="1" t="s">
        <v>102</v>
      </c>
      <c r="O1280" s="1">
        <v>4</v>
      </c>
      <c r="P1280" s="1">
        <v>26</v>
      </c>
      <c r="Q1280" s="1">
        <v>140.9</v>
      </c>
      <c r="R1280" s="8" t="str">
        <f>_xlfn.IFS(J1280&gt;=8,"Hit",J1280&gt;=6,"Average",J1280&lt;6,"Flop")</f>
        <v>Hit</v>
      </c>
      <c r="S1280" s="9" t="str">
        <f>_xlfn.IFS(K1280&gt;=400,"Blockbuster",K1280&gt;=200,"Popular",K1280&lt;200,"Normal")</f>
        <v>Blockbuster</v>
      </c>
      <c r="T1280" s="10" t="str">
        <f>IF(OR(I1280="PG",I1280="G"),"Yes","No")</f>
        <v>No</v>
      </c>
      <c r="U1280" s="11" t="str">
        <f>IF(P1280&gt;=100,"High","Low")</f>
        <v>Low</v>
      </c>
      <c r="V1280" s="28">
        <f t="shared" si="38"/>
        <v>114.9</v>
      </c>
      <c r="W1280" s="29">
        <f t="shared" si="39"/>
        <v>541.92307692307691</v>
      </c>
    </row>
    <row r="1281" spans="1:23" x14ac:dyDescent="0.3">
      <c r="A1281" s="1" t="s">
        <v>3644</v>
      </c>
      <c r="B1281" s="1" t="s">
        <v>3645</v>
      </c>
      <c r="C1281" s="1" t="s">
        <v>18</v>
      </c>
      <c r="D1281" s="1" t="s">
        <v>28</v>
      </c>
      <c r="E1281" s="1">
        <v>2010</v>
      </c>
      <c r="F1281" s="1" t="s">
        <v>48</v>
      </c>
      <c r="G1281" s="1" t="s">
        <v>3646</v>
      </c>
      <c r="H1281" s="1">
        <v>167</v>
      </c>
      <c r="I1281" s="1" t="s">
        <v>40</v>
      </c>
      <c r="J1281" s="1">
        <v>8.8000000000000007</v>
      </c>
      <c r="K1281" s="1">
        <v>588.1</v>
      </c>
      <c r="L1281" s="1" t="s">
        <v>32</v>
      </c>
      <c r="M1281" s="1" t="s">
        <v>33</v>
      </c>
      <c r="N1281" s="1" t="s">
        <v>60</v>
      </c>
      <c r="O1281" s="1"/>
      <c r="P1281" s="1">
        <v>134</v>
      </c>
      <c r="Q1281" s="1">
        <v>652.6</v>
      </c>
      <c r="R1281" s="8" t="str">
        <f>_xlfn.IFS(J1281&gt;=8,"Hit",J1281&gt;=6,"Average",J1281&lt;6,"Flop")</f>
        <v>Hit</v>
      </c>
      <c r="S1281" s="9" t="str">
        <f>_xlfn.IFS(K1281&gt;=400,"Blockbuster",K1281&gt;=200,"Popular",K1281&lt;200,"Normal")</f>
        <v>Blockbuster</v>
      </c>
      <c r="T1281" s="10" t="str">
        <f>IF(OR(I1281="PG",I1281="G"),"Yes","No")</f>
        <v>Yes</v>
      </c>
      <c r="U1281" s="11" t="str">
        <f>IF(P1281&gt;=100,"High","Low")</f>
        <v>High</v>
      </c>
      <c r="V1281" s="28">
        <f t="shared" si="38"/>
        <v>518.6</v>
      </c>
      <c r="W1281" s="29">
        <f t="shared" si="39"/>
        <v>487.0149253731343</v>
      </c>
    </row>
    <row r="1282" spans="1:23" x14ac:dyDescent="0.3">
      <c r="A1282" s="1" t="s">
        <v>3647</v>
      </c>
      <c r="B1282" s="1" t="s">
        <v>3648</v>
      </c>
      <c r="C1282" s="1" t="s">
        <v>18</v>
      </c>
      <c r="D1282" s="1" t="s">
        <v>28</v>
      </c>
      <c r="E1282" s="1">
        <v>2013</v>
      </c>
      <c r="F1282" s="1" t="s">
        <v>181</v>
      </c>
      <c r="G1282" s="1" t="s">
        <v>423</v>
      </c>
      <c r="H1282" s="1">
        <v>173</v>
      </c>
      <c r="I1282" s="1" t="s">
        <v>40</v>
      </c>
      <c r="J1282" s="1">
        <v>8.4</v>
      </c>
      <c r="K1282" s="1">
        <v>216.9</v>
      </c>
      <c r="L1282" s="1" t="s">
        <v>65</v>
      </c>
      <c r="M1282" s="1" t="s">
        <v>85</v>
      </c>
      <c r="N1282" s="1" t="s">
        <v>55</v>
      </c>
      <c r="O1282" s="1"/>
      <c r="P1282" s="1">
        <v>85</v>
      </c>
      <c r="Q1282" s="1">
        <v>490.4</v>
      </c>
      <c r="R1282" s="8" t="str">
        <f>_xlfn.IFS(J1282&gt;=8,"Hit",J1282&gt;=6,"Average",J1282&lt;6,"Flop")</f>
        <v>Hit</v>
      </c>
      <c r="S1282" s="9" t="str">
        <f>_xlfn.IFS(K1282&gt;=400,"Blockbuster",K1282&gt;=200,"Popular",K1282&lt;200,"Normal")</f>
        <v>Popular</v>
      </c>
      <c r="T1282" s="10" t="str">
        <f>IF(OR(I1282="PG",I1282="G"),"Yes","No")</f>
        <v>Yes</v>
      </c>
      <c r="U1282" s="11" t="str">
        <f>IF(P1282&gt;=100,"High","Low")</f>
        <v>Low</v>
      </c>
      <c r="V1282" s="28">
        <f t="shared" si="38"/>
        <v>405.4</v>
      </c>
      <c r="W1282" s="29">
        <f t="shared" si="39"/>
        <v>576.94117647058829</v>
      </c>
    </row>
    <row r="1283" spans="1:23" x14ac:dyDescent="0.3">
      <c r="A1283" s="1" t="s">
        <v>3649</v>
      </c>
      <c r="B1283" s="1" t="s">
        <v>3650</v>
      </c>
      <c r="C1283" s="1" t="s">
        <v>46</v>
      </c>
      <c r="D1283" s="1" t="s">
        <v>141</v>
      </c>
      <c r="E1283" s="1">
        <v>2005</v>
      </c>
      <c r="F1283" s="1" t="s">
        <v>38</v>
      </c>
      <c r="G1283" s="1" t="s">
        <v>3651</v>
      </c>
      <c r="H1283" s="1">
        <v>44</v>
      </c>
      <c r="I1283" s="1" t="s">
        <v>31</v>
      </c>
      <c r="J1283" s="1">
        <v>7.7</v>
      </c>
      <c r="K1283" s="1">
        <v>238.7</v>
      </c>
      <c r="L1283" s="1" t="s">
        <v>71</v>
      </c>
      <c r="M1283" s="1" t="s">
        <v>72</v>
      </c>
      <c r="N1283" s="1" t="s">
        <v>55</v>
      </c>
      <c r="O1283" s="1">
        <v>6</v>
      </c>
      <c r="P1283" s="1">
        <v>200</v>
      </c>
      <c r="Q1283" s="1">
        <v>828.9</v>
      </c>
      <c r="R1283" s="8" t="str">
        <f>_xlfn.IFS(J1283&gt;=8,"Hit",J1283&gt;=6,"Average",J1283&lt;6,"Flop")</f>
        <v>Average</v>
      </c>
      <c r="S1283" s="9" t="str">
        <f>_xlfn.IFS(K1283&gt;=400,"Blockbuster",K1283&gt;=200,"Popular",K1283&lt;200,"Normal")</f>
        <v>Popular</v>
      </c>
      <c r="T1283" s="10" t="str">
        <f>IF(OR(I1283="PG",I1283="G"),"Yes","No")</f>
        <v>No</v>
      </c>
      <c r="U1283" s="11" t="str">
        <f>IF(P1283&gt;=100,"High","Low")</f>
        <v>High</v>
      </c>
      <c r="V1283" s="28">
        <f t="shared" ref="V1283:V1346" si="40">Q1283-P1283</f>
        <v>628.9</v>
      </c>
      <c r="W1283" s="29">
        <f t="shared" ref="W1283:W1346" si="41">(Q1283/P1283)*100</f>
        <v>414.45</v>
      </c>
    </row>
    <row r="1284" spans="1:23" x14ac:dyDescent="0.3">
      <c r="A1284" s="1" t="s">
        <v>3652</v>
      </c>
      <c r="B1284" s="1" t="s">
        <v>3653</v>
      </c>
      <c r="C1284" s="1" t="s">
        <v>46</v>
      </c>
      <c r="D1284" s="1" t="s">
        <v>28</v>
      </c>
      <c r="E1284" s="1">
        <v>2001</v>
      </c>
      <c r="F1284" s="1" t="s">
        <v>29</v>
      </c>
      <c r="G1284" s="1" t="s">
        <v>3654</v>
      </c>
      <c r="H1284" s="1">
        <v>30</v>
      </c>
      <c r="I1284" s="1" t="s">
        <v>110</v>
      </c>
      <c r="J1284" s="1">
        <v>6.7</v>
      </c>
      <c r="K1284" s="1">
        <v>399.9</v>
      </c>
      <c r="L1284" s="1" t="s">
        <v>32</v>
      </c>
      <c r="M1284" s="1" t="s">
        <v>42</v>
      </c>
      <c r="N1284" s="1" t="s">
        <v>128</v>
      </c>
      <c r="O1284" s="1">
        <v>2</v>
      </c>
      <c r="P1284" s="1">
        <v>165</v>
      </c>
      <c r="Q1284" s="1">
        <v>407.7</v>
      </c>
      <c r="R1284" s="8" t="str">
        <f>_xlfn.IFS(J1284&gt;=8,"Hit",J1284&gt;=6,"Average",J1284&lt;6,"Flop")</f>
        <v>Average</v>
      </c>
      <c r="S1284" s="9" t="str">
        <f>_xlfn.IFS(K1284&gt;=400,"Blockbuster",K1284&gt;=200,"Popular",K1284&lt;200,"Normal")</f>
        <v>Popular</v>
      </c>
      <c r="T1284" s="10" t="str">
        <f>IF(OR(I1284="PG",I1284="G"),"Yes","No")</f>
        <v>No</v>
      </c>
      <c r="U1284" s="11" t="str">
        <f>IF(P1284&gt;=100,"High","Low")</f>
        <v>High</v>
      </c>
      <c r="V1284" s="28">
        <f t="shared" si="40"/>
        <v>242.7</v>
      </c>
      <c r="W1284" s="29">
        <f t="shared" si="41"/>
        <v>247.09090909090907</v>
      </c>
    </row>
    <row r="1285" spans="1:23" x14ac:dyDescent="0.3">
      <c r="A1285" s="1" t="s">
        <v>3655</v>
      </c>
      <c r="B1285" s="1" t="s">
        <v>3656</v>
      </c>
      <c r="C1285" s="1" t="s">
        <v>18</v>
      </c>
      <c r="D1285" s="1" t="s">
        <v>63</v>
      </c>
      <c r="E1285" s="1">
        <v>2002</v>
      </c>
      <c r="F1285" s="1" t="s">
        <v>76</v>
      </c>
      <c r="G1285" s="1" t="s">
        <v>3657</v>
      </c>
      <c r="H1285" s="1">
        <v>115</v>
      </c>
      <c r="I1285" s="1" t="s">
        <v>31</v>
      </c>
      <c r="J1285" s="1">
        <v>7.5</v>
      </c>
      <c r="K1285" s="1">
        <v>510.5</v>
      </c>
      <c r="L1285" s="1" t="s">
        <v>171</v>
      </c>
      <c r="M1285" s="1" t="s">
        <v>157</v>
      </c>
      <c r="N1285" s="1" t="s">
        <v>158</v>
      </c>
      <c r="O1285" s="1"/>
      <c r="P1285" s="1">
        <v>153</v>
      </c>
      <c r="Q1285" s="1">
        <v>332</v>
      </c>
      <c r="R1285" s="8" t="str">
        <f>_xlfn.IFS(J1285&gt;=8,"Hit",J1285&gt;=6,"Average",J1285&lt;6,"Flop")</f>
        <v>Average</v>
      </c>
      <c r="S1285" s="9" t="str">
        <f>_xlfn.IFS(K1285&gt;=400,"Blockbuster",K1285&gt;=200,"Popular",K1285&lt;200,"Normal")</f>
        <v>Blockbuster</v>
      </c>
      <c r="T1285" s="10" t="str">
        <f>IF(OR(I1285="PG",I1285="G"),"Yes","No")</f>
        <v>No</v>
      </c>
      <c r="U1285" s="11" t="str">
        <f>IF(P1285&gt;=100,"High","Low")</f>
        <v>High</v>
      </c>
      <c r="V1285" s="28">
        <f t="shared" si="40"/>
        <v>179</v>
      </c>
      <c r="W1285" s="29">
        <f t="shared" si="41"/>
        <v>216.99346405228758</v>
      </c>
    </row>
    <row r="1286" spans="1:23" x14ac:dyDescent="0.3">
      <c r="A1286" s="1" t="s">
        <v>3658</v>
      </c>
      <c r="B1286" s="1" t="s">
        <v>3659</v>
      </c>
      <c r="C1286" s="1" t="s">
        <v>18</v>
      </c>
      <c r="D1286" s="1" t="s">
        <v>117</v>
      </c>
      <c r="E1286" s="1">
        <v>2013</v>
      </c>
      <c r="F1286" s="1" t="s">
        <v>48</v>
      </c>
      <c r="G1286" s="1" t="s">
        <v>1532</v>
      </c>
      <c r="H1286" s="1">
        <v>151</v>
      </c>
      <c r="I1286" s="1" t="s">
        <v>22</v>
      </c>
      <c r="J1286" s="1">
        <v>7.7</v>
      </c>
      <c r="K1286" s="1">
        <v>170.8</v>
      </c>
      <c r="L1286" s="1" t="s">
        <v>65</v>
      </c>
      <c r="M1286" s="1" t="s">
        <v>111</v>
      </c>
      <c r="N1286" s="1" t="s">
        <v>43</v>
      </c>
      <c r="O1286" s="1"/>
      <c r="P1286" s="1">
        <v>148</v>
      </c>
      <c r="Q1286" s="1">
        <v>943.7</v>
      </c>
      <c r="R1286" s="8" t="str">
        <f>_xlfn.IFS(J1286&gt;=8,"Hit",J1286&gt;=6,"Average",J1286&lt;6,"Flop")</f>
        <v>Average</v>
      </c>
      <c r="S1286" s="9" t="str">
        <f>_xlfn.IFS(K1286&gt;=400,"Blockbuster",K1286&gt;=200,"Popular",K1286&lt;200,"Normal")</f>
        <v>Normal</v>
      </c>
      <c r="T1286" s="10" t="str">
        <f>IF(OR(I1286="PG",I1286="G"),"Yes","No")</f>
        <v>No</v>
      </c>
      <c r="U1286" s="11" t="str">
        <f>IF(P1286&gt;=100,"High","Low")</f>
        <v>High</v>
      </c>
      <c r="V1286" s="28">
        <f t="shared" si="40"/>
        <v>795.7</v>
      </c>
      <c r="W1286" s="29">
        <f t="shared" si="41"/>
        <v>637.6351351351351</v>
      </c>
    </row>
    <row r="1287" spans="1:23" x14ac:dyDescent="0.3">
      <c r="A1287" s="1" t="s">
        <v>3660</v>
      </c>
      <c r="B1287" s="1" t="s">
        <v>3661</v>
      </c>
      <c r="C1287" s="1" t="s">
        <v>18</v>
      </c>
      <c r="D1287" s="1" t="s">
        <v>58</v>
      </c>
      <c r="E1287" s="1">
        <v>2019</v>
      </c>
      <c r="F1287" s="1" t="s">
        <v>38</v>
      </c>
      <c r="G1287" s="1" t="s">
        <v>3662</v>
      </c>
      <c r="H1287" s="1">
        <v>110</v>
      </c>
      <c r="I1287" s="1" t="s">
        <v>50</v>
      </c>
      <c r="J1287" s="1">
        <v>7.6</v>
      </c>
      <c r="K1287" s="1">
        <v>456.8</v>
      </c>
      <c r="L1287" s="1" t="s">
        <v>65</v>
      </c>
      <c r="M1287" s="1" t="s">
        <v>111</v>
      </c>
      <c r="N1287" s="1" t="s">
        <v>153</v>
      </c>
      <c r="O1287" s="1"/>
      <c r="P1287" s="1">
        <v>82</v>
      </c>
      <c r="Q1287" s="1">
        <v>172.1</v>
      </c>
      <c r="R1287" s="8" t="str">
        <f>_xlfn.IFS(J1287&gt;=8,"Hit",J1287&gt;=6,"Average",J1287&lt;6,"Flop")</f>
        <v>Average</v>
      </c>
      <c r="S1287" s="9" t="str">
        <f>_xlfn.IFS(K1287&gt;=400,"Blockbuster",K1287&gt;=200,"Popular",K1287&lt;200,"Normal")</f>
        <v>Blockbuster</v>
      </c>
      <c r="T1287" s="10" t="str">
        <f>IF(OR(I1287="PG",I1287="G"),"Yes","No")</f>
        <v>Yes</v>
      </c>
      <c r="U1287" s="11" t="str">
        <f>IF(P1287&gt;=100,"High","Low")</f>
        <v>Low</v>
      </c>
      <c r="V1287" s="28">
        <f t="shared" si="40"/>
        <v>90.1</v>
      </c>
      <c r="W1287" s="29">
        <f t="shared" si="41"/>
        <v>209.8780487804878</v>
      </c>
    </row>
    <row r="1288" spans="1:23" x14ac:dyDescent="0.3">
      <c r="A1288" s="1" t="s">
        <v>3663</v>
      </c>
      <c r="B1288" s="1" t="s">
        <v>3664</v>
      </c>
      <c r="C1288" s="1" t="s">
        <v>46</v>
      </c>
      <c r="D1288" s="1" t="s">
        <v>58</v>
      </c>
      <c r="E1288" s="1">
        <v>2013</v>
      </c>
      <c r="F1288" s="1" t="s">
        <v>38</v>
      </c>
      <c r="G1288" s="1" t="s">
        <v>3665</v>
      </c>
      <c r="H1288" s="1">
        <v>56</v>
      </c>
      <c r="I1288" s="1" t="s">
        <v>40</v>
      </c>
      <c r="J1288" s="1">
        <v>6.1</v>
      </c>
      <c r="K1288" s="1">
        <v>281</v>
      </c>
      <c r="L1288" s="1" t="s">
        <v>23</v>
      </c>
      <c r="M1288" s="1" t="s">
        <v>33</v>
      </c>
      <c r="N1288" s="1" t="s">
        <v>43</v>
      </c>
      <c r="O1288" s="1">
        <v>6</v>
      </c>
      <c r="P1288" s="1">
        <v>196</v>
      </c>
      <c r="Q1288" s="1">
        <v>1167</v>
      </c>
      <c r="R1288" s="8" t="str">
        <f>_xlfn.IFS(J1288&gt;=8,"Hit",J1288&gt;=6,"Average",J1288&lt;6,"Flop")</f>
        <v>Average</v>
      </c>
      <c r="S1288" s="9" t="str">
        <f>_xlfn.IFS(K1288&gt;=400,"Blockbuster",K1288&gt;=200,"Popular",K1288&lt;200,"Normal")</f>
        <v>Popular</v>
      </c>
      <c r="T1288" s="10" t="str">
        <f>IF(OR(I1288="PG",I1288="G"),"Yes","No")</f>
        <v>Yes</v>
      </c>
      <c r="U1288" s="11" t="str">
        <f>IF(P1288&gt;=100,"High","Low")</f>
        <v>High</v>
      </c>
      <c r="V1288" s="28">
        <f t="shared" si="40"/>
        <v>971</v>
      </c>
      <c r="W1288" s="29">
        <f t="shared" si="41"/>
        <v>595.40816326530614</v>
      </c>
    </row>
    <row r="1289" spans="1:23" x14ac:dyDescent="0.3">
      <c r="A1289" s="1" t="s">
        <v>3666</v>
      </c>
      <c r="B1289" s="1" t="s">
        <v>3667</v>
      </c>
      <c r="C1289" s="1" t="s">
        <v>46</v>
      </c>
      <c r="D1289" s="1" t="s">
        <v>75</v>
      </c>
      <c r="E1289" s="1">
        <v>2014</v>
      </c>
      <c r="F1289" s="1" t="s">
        <v>29</v>
      </c>
      <c r="G1289" s="1" t="s">
        <v>3668</v>
      </c>
      <c r="H1289" s="1">
        <v>37</v>
      </c>
      <c r="I1289" s="1" t="s">
        <v>31</v>
      </c>
      <c r="J1289" s="1">
        <v>6.5</v>
      </c>
      <c r="K1289" s="1">
        <v>556.79999999999995</v>
      </c>
      <c r="L1289" s="1" t="s">
        <v>32</v>
      </c>
      <c r="M1289" s="1" t="s">
        <v>24</v>
      </c>
      <c r="N1289" s="1" t="s">
        <v>79</v>
      </c>
      <c r="O1289" s="1">
        <v>1</v>
      </c>
      <c r="P1289" s="1">
        <v>105</v>
      </c>
      <c r="Q1289" s="1">
        <v>171.2</v>
      </c>
      <c r="R1289" s="8" t="str">
        <f>_xlfn.IFS(J1289&gt;=8,"Hit",J1289&gt;=6,"Average",J1289&lt;6,"Flop")</f>
        <v>Average</v>
      </c>
      <c r="S1289" s="9" t="str">
        <f>_xlfn.IFS(K1289&gt;=400,"Blockbuster",K1289&gt;=200,"Popular",K1289&lt;200,"Normal")</f>
        <v>Blockbuster</v>
      </c>
      <c r="T1289" s="10" t="str">
        <f>IF(OR(I1289="PG",I1289="G"),"Yes","No")</f>
        <v>No</v>
      </c>
      <c r="U1289" s="11" t="str">
        <f>IF(P1289&gt;=100,"High","Low")</f>
        <v>High</v>
      </c>
      <c r="V1289" s="28">
        <f t="shared" si="40"/>
        <v>66.199999999999989</v>
      </c>
      <c r="W1289" s="29">
        <f t="shared" si="41"/>
        <v>163.04761904761904</v>
      </c>
    </row>
    <row r="1290" spans="1:23" x14ac:dyDescent="0.3">
      <c r="A1290" s="1" t="s">
        <v>3669</v>
      </c>
      <c r="B1290" s="1" t="s">
        <v>3670</v>
      </c>
      <c r="C1290" s="1" t="s">
        <v>18</v>
      </c>
      <c r="D1290" s="1" t="s">
        <v>28</v>
      </c>
      <c r="E1290" s="1">
        <v>2010</v>
      </c>
      <c r="F1290" s="1" t="s">
        <v>48</v>
      </c>
      <c r="G1290" s="1" t="s">
        <v>3671</v>
      </c>
      <c r="H1290" s="1">
        <v>126</v>
      </c>
      <c r="I1290" s="1" t="s">
        <v>110</v>
      </c>
      <c r="J1290" s="1">
        <v>8.1999999999999993</v>
      </c>
      <c r="K1290" s="1">
        <v>92.3</v>
      </c>
      <c r="L1290" s="1" t="s">
        <v>32</v>
      </c>
      <c r="M1290" s="1" t="s">
        <v>146</v>
      </c>
      <c r="N1290" s="1" t="s">
        <v>158</v>
      </c>
      <c r="O1290" s="1"/>
      <c r="P1290" s="1">
        <v>158</v>
      </c>
      <c r="Q1290" s="1">
        <v>568.70000000000005</v>
      </c>
      <c r="R1290" s="8" t="str">
        <f>_xlfn.IFS(J1290&gt;=8,"Hit",J1290&gt;=6,"Average",J1290&lt;6,"Flop")</f>
        <v>Hit</v>
      </c>
      <c r="S1290" s="9" t="str">
        <f>_xlfn.IFS(K1290&gt;=400,"Blockbuster",K1290&gt;=200,"Popular",K1290&lt;200,"Normal")</f>
        <v>Normal</v>
      </c>
      <c r="T1290" s="10" t="str">
        <f>IF(OR(I1290="PG",I1290="G"),"Yes","No")</f>
        <v>No</v>
      </c>
      <c r="U1290" s="11" t="str">
        <f>IF(P1290&gt;=100,"High","Low")</f>
        <v>High</v>
      </c>
      <c r="V1290" s="28">
        <f t="shared" si="40"/>
        <v>410.70000000000005</v>
      </c>
      <c r="W1290" s="29">
        <f t="shared" si="41"/>
        <v>359.9367088607595</v>
      </c>
    </row>
    <row r="1291" spans="1:23" x14ac:dyDescent="0.3">
      <c r="A1291" s="1" t="s">
        <v>3672</v>
      </c>
      <c r="B1291" s="1" t="s">
        <v>3673</v>
      </c>
      <c r="C1291" s="1" t="s">
        <v>18</v>
      </c>
      <c r="D1291" s="1" t="s">
        <v>58</v>
      </c>
      <c r="E1291" s="1">
        <v>2016</v>
      </c>
      <c r="F1291" s="1" t="s">
        <v>83</v>
      </c>
      <c r="G1291" s="1" t="s">
        <v>1165</v>
      </c>
      <c r="H1291" s="1">
        <v>176</v>
      </c>
      <c r="I1291" s="1" t="s">
        <v>31</v>
      </c>
      <c r="J1291" s="1">
        <v>4.5999999999999996</v>
      </c>
      <c r="K1291" s="1">
        <v>208.6</v>
      </c>
      <c r="L1291" s="1" t="s">
        <v>65</v>
      </c>
      <c r="M1291" s="1" t="s">
        <v>85</v>
      </c>
      <c r="N1291" s="1" t="s">
        <v>34</v>
      </c>
      <c r="O1291" s="1"/>
      <c r="P1291" s="1">
        <v>10</v>
      </c>
      <c r="Q1291" s="1">
        <v>39.5</v>
      </c>
      <c r="R1291" s="8" t="str">
        <f>_xlfn.IFS(J1291&gt;=8,"Hit",J1291&gt;=6,"Average",J1291&lt;6,"Flop")</f>
        <v>Flop</v>
      </c>
      <c r="S1291" s="9" t="str">
        <f>_xlfn.IFS(K1291&gt;=400,"Blockbuster",K1291&gt;=200,"Popular",K1291&lt;200,"Normal")</f>
        <v>Popular</v>
      </c>
      <c r="T1291" s="10" t="str">
        <f>IF(OR(I1291="PG",I1291="G"),"Yes","No")</f>
        <v>No</v>
      </c>
      <c r="U1291" s="11" t="str">
        <f>IF(P1291&gt;=100,"High","Low")</f>
        <v>Low</v>
      </c>
      <c r="V1291" s="28">
        <f t="shared" si="40"/>
        <v>29.5</v>
      </c>
      <c r="W1291" s="29">
        <f t="shared" si="41"/>
        <v>395</v>
      </c>
    </row>
    <row r="1292" spans="1:23" x14ac:dyDescent="0.3">
      <c r="A1292" s="1" t="s">
        <v>3674</v>
      </c>
      <c r="B1292" s="1" t="s">
        <v>3675</v>
      </c>
      <c r="C1292" s="1" t="s">
        <v>46</v>
      </c>
      <c r="D1292" s="1" t="s">
        <v>63</v>
      </c>
      <c r="E1292" s="1">
        <v>2025</v>
      </c>
      <c r="F1292" s="1" t="s">
        <v>20</v>
      </c>
      <c r="G1292" s="1" t="s">
        <v>3676</v>
      </c>
      <c r="H1292" s="1">
        <v>38</v>
      </c>
      <c r="I1292" s="1" t="s">
        <v>22</v>
      </c>
      <c r="J1292" s="1">
        <v>7.1</v>
      </c>
      <c r="K1292" s="1">
        <v>285.5</v>
      </c>
      <c r="L1292" s="1" t="s">
        <v>90</v>
      </c>
      <c r="M1292" s="1" t="s">
        <v>111</v>
      </c>
      <c r="N1292" s="1" t="s">
        <v>43</v>
      </c>
      <c r="O1292" s="1">
        <v>5</v>
      </c>
      <c r="P1292" s="1">
        <v>16</v>
      </c>
      <c r="Q1292" s="1">
        <v>25.4</v>
      </c>
      <c r="R1292" s="8" t="str">
        <f>_xlfn.IFS(J1292&gt;=8,"Hit",J1292&gt;=6,"Average",J1292&lt;6,"Flop")</f>
        <v>Average</v>
      </c>
      <c r="S1292" s="9" t="str">
        <f>_xlfn.IFS(K1292&gt;=400,"Blockbuster",K1292&gt;=200,"Popular",K1292&lt;200,"Normal")</f>
        <v>Popular</v>
      </c>
      <c r="T1292" s="10" t="str">
        <f>IF(OR(I1292="PG",I1292="G"),"Yes","No")</f>
        <v>No</v>
      </c>
      <c r="U1292" s="11" t="str">
        <f>IF(P1292&gt;=100,"High","Low")</f>
        <v>Low</v>
      </c>
      <c r="V1292" s="28">
        <f t="shared" si="40"/>
        <v>9.3999999999999986</v>
      </c>
      <c r="W1292" s="29">
        <f t="shared" si="41"/>
        <v>158.75</v>
      </c>
    </row>
    <row r="1293" spans="1:23" x14ac:dyDescent="0.3">
      <c r="A1293" s="1" t="s">
        <v>3677</v>
      </c>
      <c r="B1293" s="1" t="s">
        <v>3678</v>
      </c>
      <c r="C1293" s="1" t="s">
        <v>46</v>
      </c>
      <c r="D1293" s="1" t="s">
        <v>94</v>
      </c>
      <c r="E1293" s="1">
        <v>2010</v>
      </c>
      <c r="F1293" s="1" t="s">
        <v>100</v>
      </c>
      <c r="G1293" s="1" t="s">
        <v>3679</v>
      </c>
      <c r="H1293" s="1">
        <v>52</v>
      </c>
      <c r="I1293" s="1" t="s">
        <v>31</v>
      </c>
      <c r="J1293" s="1">
        <v>4.8</v>
      </c>
      <c r="K1293" s="1">
        <v>474.6</v>
      </c>
      <c r="L1293" s="1" t="s">
        <v>32</v>
      </c>
      <c r="M1293" s="1" t="s">
        <v>42</v>
      </c>
      <c r="N1293" s="1" t="s">
        <v>158</v>
      </c>
      <c r="O1293" s="1">
        <v>3</v>
      </c>
      <c r="P1293" s="1">
        <v>44</v>
      </c>
      <c r="Q1293" s="1">
        <v>67.3</v>
      </c>
      <c r="R1293" s="8" t="str">
        <f>_xlfn.IFS(J1293&gt;=8,"Hit",J1293&gt;=6,"Average",J1293&lt;6,"Flop")</f>
        <v>Flop</v>
      </c>
      <c r="S1293" s="9" t="str">
        <f>_xlfn.IFS(K1293&gt;=400,"Blockbuster",K1293&gt;=200,"Popular",K1293&lt;200,"Normal")</f>
        <v>Blockbuster</v>
      </c>
      <c r="T1293" s="10" t="str">
        <f>IF(OR(I1293="PG",I1293="G"),"Yes","No")</f>
        <v>No</v>
      </c>
      <c r="U1293" s="11" t="str">
        <f>IF(P1293&gt;=100,"High","Low")</f>
        <v>Low</v>
      </c>
      <c r="V1293" s="28">
        <f t="shared" si="40"/>
        <v>23.299999999999997</v>
      </c>
      <c r="W1293" s="29">
        <f t="shared" si="41"/>
        <v>152.95454545454547</v>
      </c>
    </row>
    <row r="1294" spans="1:23" x14ac:dyDescent="0.3">
      <c r="A1294" s="1" t="s">
        <v>3680</v>
      </c>
      <c r="B1294" s="1" t="s">
        <v>3681</v>
      </c>
      <c r="C1294" s="1" t="s">
        <v>46</v>
      </c>
      <c r="D1294" s="1" t="s">
        <v>94</v>
      </c>
      <c r="E1294" s="1">
        <v>2018</v>
      </c>
      <c r="F1294" s="1" t="s">
        <v>83</v>
      </c>
      <c r="G1294" s="1" t="s">
        <v>698</v>
      </c>
      <c r="H1294" s="1">
        <v>50</v>
      </c>
      <c r="I1294" s="1" t="s">
        <v>31</v>
      </c>
      <c r="J1294" s="1">
        <v>6.6</v>
      </c>
      <c r="K1294" s="1">
        <v>341.2</v>
      </c>
      <c r="L1294" s="1" t="s">
        <v>23</v>
      </c>
      <c r="M1294" s="1" t="s">
        <v>132</v>
      </c>
      <c r="N1294" s="1" t="s">
        <v>67</v>
      </c>
      <c r="O1294" s="1">
        <v>5</v>
      </c>
      <c r="P1294" s="1">
        <v>199</v>
      </c>
      <c r="Q1294" s="1">
        <v>747.8</v>
      </c>
      <c r="R1294" s="8" t="str">
        <f>_xlfn.IFS(J1294&gt;=8,"Hit",J1294&gt;=6,"Average",J1294&lt;6,"Flop")</f>
        <v>Average</v>
      </c>
      <c r="S1294" s="9" t="str">
        <f>_xlfn.IFS(K1294&gt;=400,"Blockbuster",K1294&gt;=200,"Popular",K1294&lt;200,"Normal")</f>
        <v>Popular</v>
      </c>
      <c r="T1294" s="10" t="str">
        <f>IF(OR(I1294="PG",I1294="G"),"Yes","No")</f>
        <v>No</v>
      </c>
      <c r="U1294" s="11" t="str">
        <f>IF(P1294&gt;=100,"High","Low")</f>
        <v>High</v>
      </c>
      <c r="V1294" s="28">
        <f t="shared" si="40"/>
        <v>548.79999999999995</v>
      </c>
      <c r="W1294" s="29">
        <f t="shared" si="41"/>
        <v>375.77889447236174</v>
      </c>
    </row>
    <row r="1295" spans="1:23" x14ac:dyDescent="0.3">
      <c r="A1295" s="1" t="s">
        <v>3682</v>
      </c>
      <c r="B1295" s="1" t="s">
        <v>3683</v>
      </c>
      <c r="C1295" s="1" t="s">
        <v>18</v>
      </c>
      <c r="D1295" s="1" t="s">
        <v>63</v>
      </c>
      <c r="E1295" s="1">
        <v>2004</v>
      </c>
      <c r="F1295" s="1" t="s">
        <v>83</v>
      </c>
      <c r="G1295" s="1" t="s">
        <v>3684</v>
      </c>
      <c r="H1295" s="1">
        <v>137</v>
      </c>
      <c r="I1295" s="1" t="s">
        <v>50</v>
      </c>
      <c r="J1295" s="1">
        <v>8.5</v>
      </c>
      <c r="K1295" s="1">
        <v>420.1</v>
      </c>
      <c r="L1295" s="1" t="s">
        <v>23</v>
      </c>
      <c r="M1295" s="1" t="s">
        <v>157</v>
      </c>
      <c r="N1295" s="1" t="s">
        <v>34</v>
      </c>
      <c r="O1295" s="1"/>
      <c r="P1295" s="1">
        <v>95</v>
      </c>
      <c r="Q1295" s="1">
        <v>215.1</v>
      </c>
      <c r="R1295" s="8" t="str">
        <f>_xlfn.IFS(J1295&gt;=8,"Hit",J1295&gt;=6,"Average",J1295&lt;6,"Flop")</f>
        <v>Hit</v>
      </c>
      <c r="S1295" s="9" t="str">
        <f>_xlfn.IFS(K1295&gt;=400,"Blockbuster",K1295&gt;=200,"Popular",K1295&lt;200,"Normal")</f>
        <v>Blockbuster</v>
      </c>
      <c r="T1295" s="10" t="str">
        <f>IF(OR(I1295="PG",I1295="G"),"Yes","No")</f>
        <v>Yes</v>
      </c>
      <c r="U1295" s="11" t="str">
        <f>IF(P1295&gt;=100,"High","Low")</f>
        <v>Low</v>
      </c>
      <c r="V1295" s="28">
        <f t="shared" si="40"/>
        <v>120.1</v>
      </c>
      <c r="W1295" s="29">
        <f t="shared" si="41"/>
        <v>226.42105263157896</v>
      </c>
    </row>
    <row r="1296" spans="1:23" x14ac:dyDescent="0.3">
      <c r="A1296" s="1" t="s">
        <v>3685</v>
      </c>
      <c r="B1296" s="1" t="s">
        <v>3686</v>
      </c>
      <c r="C1296" s="1" t="s">
        <v>46</v>
      </c>
      <c r="D1296" s="1" t="s">
        <v>63</v>
      </c>
      <c r="E1296" s="1">
        <v>2024</v>
      </c>
      <c r="F1296" s="1" t="s">
        <v>48</v>
      </c>
      <c r="G1296" s="1" t="s">
        <v>1056</v>
      </c>
      <c r="H1296" s="1">
        <v>34</v>
      </c>
      <c r="I1296" s="1" t="s">
        <v>31</v>
      </c>
      <c r="J1296" s="1">
        <v>7.1</v>
      </c>
      <c r="K1296" s="1">
        <v>318</v>
      </c>
      <c r="L1296" s="1" t="s">
        <v>90</v>
      </c>
      <c r="M1296" s="1" t="s">
        <v>124</v>
      </c>
      <c r="N1296" s="1" t="s">
        <v>128</v>
      </c>
      <c r="O1296" s="1">
        <v>6</v>
      </c>
      <c r="P1296" s="1">
        <v>163</v>
      </c>
      <c r="Q1296" s="1">
        <v>668.4</v>
      </c>
      <c r="R1296" s="8" t="str">
        <f>_xlfn.IFS(J1296&gt;=8,"Hit",J1296&gt;=6,"Average",J1296&lt;6,"Flop")</f>
        <v>Average</v>
      </c>
      <c r="S1296" s="9" t="str">
        <f>_xlfn.IFS(K1296&gt;=400,"Blockbuster",K1296&gt;=200,"Popular",K1296&lt;200,"Normal")</f>
        <v>Popular</v>
      </c>
      <c r="T1296" s="10" t="str">
        <f>IF(OR(I1296="PG",I1296="G"),"Yes","No")</f>
        <v>No</v>
      </c>
      <c r="U1296" s="11" t="str">
        <f>IF(P1296&gt;=100,"High","Low")</f>
        <v>High</v>
      </c>
      <c r="V1296" s="28">
        <f t="shared" si="40"/>
        <v>505.4</v>
      </c>
      <c r="W1296" s="29">
        <f t="shared" si="41"/>
        <v>410.06134969325149</v>
      </c>
    </row>
    <row r="1297" spans="1:23" x14ac:dyDescent="0.3">
      <c r="A1297" s="1" t="s">
        <v>3687</v>
      </c>
      <c r="B1297" s="1" t="s">
        <v>3688</v>
      </c>
      <c r="C1297" s="1" t="s">
        <v>46</v>
      </c>
      <c r="D1297" s="1" t="s">
        <v>58</v>
      </c>
      <c r="E1297" s="1">
        <v>2001</v>
      </c>
      <c r="F1297" s="1" t="s">
        <v>95</v>
      </c>
      <c r="G1297" s="1" t="s">
        <v>3689</v>
      </c>
      <c r="H1297" s="1">
        <v>36</v>
      </c>
      <c r="I1297" s="1" t="s">
        <v>50</v>
      </c>
      <c r="J1297" s="1">
        <v>5.3</v>
      </c>
      <c r="K1297" s="1">
        <v>394</v>
      </c>
      <c r="L1297" s="1" t="s">
        <v>23</v>
      </c>
      <c r="M1297" s="1" t="s">
        <v>66</v>
      </c>
      <c r="N1297" s="1" t="s">
        <v>55</v>
      </c>
      <c r="O1297" s="1">
        <v>2</v>
      </c>
      <c r="P1297" s="1">
        <v>14</v>
      </c>
      <c r="Q1297" s="1">
        <v>46.3</v>
      </c>
      <c r="R1297" s="8" t="str">
        <f>_xlfn.IFS(J1297&gt;=8,"Hit",J1297&gt;=6,"Average",J1297&lt;6,"Flop")</f>
        <v>Flop</v>
      </c>
      <c r="S1297" s="9" t="str">
        <f>_xlfn.IFS(K1297&gt;=400,"Blockbuster",K1297&gt;=200,"Popular",K1297&lt;200,"Normal")</f>
        <v>Popular</v>
      </c>
      <c r="T1297" s="10" t="str">
        <f>IF(OR(I1297="PG",I1297="G"),"Yes","No")</f>
        <v>Yes</v>
      </c>
      <c r="U1297" s="11" t="str">
        <f>IF(P1297&gt;=100,"High","Low")</f>
        <v>Low</v>
      </c>
      <c r="V1297" s="28">
        <f t="shared" si="40"/>
        <v>32.299999999999997</v>
      </c>
      <c r="W1297" s="29">
        <f t="shared" si="41"/>
        <v>330.71428571428567</v>
      </c>
    </row>
    <row r="1298" spans="1:23" x14ac:dyDescent="0.3">
      <c r="A1298" s="1" t="s">
        <v>3690</v>
      </c>
      <c r="B1298" s="1" t="s">
        <v>3691</v>
      </c>
      <c r="C1298" s="1" t="s">
        <v>46</v>
      </c>
      <c r="D1298" s="1" t="s">
        <v>19</v>
      </c>
      <c r="E1298" s="1">
        <v>2025</v>
      </c>
      <c r="F1298" s="1" t="s">
        <v>122</v>
      </c>
      <c r="G1298" s="1" t="s">
        <v>3692</v>
      </c>
      <c r="H1298" s="1">
        <v>32</v>
      </c>
      <c r="I1298" s="1" t="s">
        <v>40</v>
      </c>
      <c r="J1298" s="1">
        <v>6.1</v>
      </c>
      <c r="K1298" s="1">
        <v>418.3</v>
      </c>
      <c r="L1298" s="1" t="s">
        <v>41</v>
      </c>
      <c r="M1298" s="1" t="s">
        <v>66</v>
      </c>
      <c r="N1298" s="1" t="s">
        <v>55</v>
      </c>
      <c r="O1298" s="1">
        <v>1</v>
      </c>
      <c r="P1298" s="1">
        <v>69</v>
      </c>
      <c r="Q1298" s="1">
        <v>169.5</v>
      </c>
      <c r="R1298" s="8" t="str">
        <f>_xlfn.IFS(J1298&gt;=8,"Hit",J1298&gt;=6,"Average",J1298&lt;6,"Flop")</f>
        <v>Average</v>
      </c>
      <c r="S1298" s="9" t="str">
        <f>_xlfn.IFS(K1298&gt;=400,"Blockbuster",K1298&gt;=200,"Popular",K1298&lt;200,"Normal")</f>
        <v>Blockbuster</v>
      </c>
      <c r="T1298" s="10" t="str">
        <f>IF(OR(I1298="PG",I1298="G"),"Yes","No")</f>
        <v>Yes</v>
      </c>
      <c r="U1298" s="11" t="str">
        <f>IF(P1298&gt;=100,"High","Low")</f>
        <v>Low</v>
      </c>
      <c r="V1298" s="28">
        <f t="shared" si="40"/>
        <v>100.5</v>
      </c>
      <c r="W1298" s="29">
        <f t="shared" si="41"/>
        <v>245.65217391304347</v>
      </c>
    </row>
    <row r="1299" spans="1:23" x14ac:dyDescent="0.3">
      <c r="A1299" s="1" t="s">
        <v>3693</v>
      </c>
      <c r="B1299" s="1" t="s">
        <v>3694</v>
      </c>
      <c r="C1299" s="1" t="s">
        <v>46</v>
      </c>
      <c r="D1299" s="1" t="s">
        <v>82</v>
      </c>
      <c r="E1299" s="1">
        <v>2022</v>
      </c>
      <c r="F1299" s="1" t="s">
        <v>38</v>
      </c>
      <c r="G1299" s="1" t="s">
        <v>3695</v>
      </c>
      <c r="H1299" s="1">
        <v>40</v>
      </c>
      <c r="I1299" s="1" t="s">
        <v>110</v>
      </c>
      <c r="J1299" s="1">
        <v>6.9</v>
      </c>
      <c r="K1299" s="1">
        <v>576.29999999999995</v>
      </c>
      <c r="L1299" s="1" t="s">
        <v>23</v>
      </c>
      <c r="M1299" s="1" t="s">
        <v>146</v>
      </c>
      <c r="N1299" s="1" t="s">
        <v>128</v>
      </c>
      <c r="O1299" s="1">
        <v>3</v>
      </c>
      <c r="P1299" s="1">
        <v>35</v>
      </c>
      <c r="Q1299" s="1">
        <v>177.7</v>
      </c>
      <c r="R1299" s="8" t="str">
        <f>_xlfn.IFS(J1299&gt;=8,"Hit",J1299&gt;=6,"Average",J1299&lt;6,"Flop")</f>
        <v>Average</v>
      </c>
      <c r="S1299" s="9" t="str">
        <f>_xlfn.IFS(K1299&gt;=400,"Blockbuster",K1299&gt;=200,"Popular",K1299&lt;200,"Normal")</f>
        <v>Blockbuster</v>
      </c>
      <c r="T1299" s="10" t="str">
        <f>IF(OR(I1299="PG",I1299="G"),"Yes","No")</f>
        <v>No</v>
      </c>
      <c r="U1299" s="11" t="str">
        <f>IF(P1299&gt;=100,"High","Low")</f>
        <v>Low</v>
      </c>
      <c r="V1299" s="28">
        <f t="shared" si="40"/>
        <v>142.69999999999999</v>
      </c>
      <c r="W1299" s="29">
        <f t="shared" si="41"/>
        <v>507.71428571428567</v>
      </c>
    </row>
    <row r="1300" spans="1:23" x14ac:dyDescent="0.3">
      <c r="A1300" s="1" t="s">
        <v>3696</v>
      </c>
      <c r="B1300" s="1" t="s">
        <v>3697</v>
      </c>
      <c r="C1300" s="1" t="s">
        <v>46</v>
      </c>
      <c r="D1300" s="1" t="s">
        <v>47</v>
      </c>
      <c r="E1300" s="1">
        <v>2008</v>
      </c>
      <c r="F1300" s="1" t="s">
        <v>95</v>
      </c>
      <c r="G1300" s="1" t="s">
        <v>3698</v>
      </c>
      <c r="H1300" s="1">
        <v>40</v>
      </c>
      <c r="I1300" s="1" t="s">
        <v>31</v>
      </c>
      <c r="J1300" s="1">
        <v>5.2</v>
      </c>
      <c r="K1300" s="1">
        <v>190.4</v>
      </c>
      <c r="L1300" s="1" t="s">
        <v>65</v>
      </c>
      <c r="M1300" s="1" t="s">
        <v>132</v>
      </c>
      <c r="N1300" s="1" t="s">
        <v>34</v>
      </c>
      <c r="O1300" s="1">
        <v>2</v>
      </c>
      <c r="P1300" s="1">
        <v>118</v>
      </c>
      <c r="Q1300" s="1">
        <v>647.4</v>
      </c>
      <c r="R1300" s="8" t="str">
        <f>_xlfn.IFS(J1300&gt;=8,"Hit",J1300&gt;=6,"Average",J1300&lt;6,"Flop")</f>
        <v>Flop</v>
      </c>
      <c r="S1300" s="9" t="str">
        <f>_xlfn.IFS(K1300&gt;=400,"Blockbuster",K1300&gt;=200,"Popular",K1300&lt;200,"Normal")</f>
        <v>Normal</v>
      </c>
      <c r="T1300" s="10" t="str">
        <f>IF(OR(I1300="PG",I1300="G"),"Yes","No")</f>
        <v>No</v>
      </c>
      <c r="U1300" s="11" t="str">
        <f>IF(P1300&gt;=100,"High","Low")</f>
        <v>High</v>
      </c>
      <c r="V1300" s="28">
        <f t="shared" si="40"/>
        <v>529.4</v>
      </c>
      <c r="W1300" s="29">
        <f t="shared" si="41"/>
        <v>548.64406779661022</v>
      </c>
    </row>
    <row r="1301" spans="1:23" x14ac:dyDescent="0.3">
      <c r="A1301" s="1" t="s">
        <v>3699</v>
      </c>
      <c r="B1301" s="1" t="s">
        <v>3700</v>
      </c>
      <c r="C1301" s="1" t="s">
        <v>46</v>
      </c>
      <c r="D1301" s="1" t="s">
        <v>75</v>
      </c>
      <c r="E1301" s="1">
        <v>2006</v>
      </c>
      <c r="F1301" s="1" t="s">
        <v>122</v>
      </c>
      <c r="G1301" s="1" t="s">
        <v>991</v>
      </c>
      <c r="H1301" s="1">
        <v>58</v>
      </c>
      <c r="I1301" s="1" t="s">
        <v>50</v>
      </c>
      <c r="J1301" s="1">
        <v>9</v>
      </c>
      <c r="K1301" s="1">
        <v>266.39999999999998</v>
      </c>
      <c r="L1301" s="1" t="s">
        <v>171</v>
      </c>
      <c r="M1301" s="1" t="s">
        <v>24</v>
      </c>
      <c r="N1301" s="1" t="s">
        <v>43</v>
      </c>
      <c r="O1301" s="1">
        <v>5</v>
      </c>
      <c r="P1301" s="1">
        <v>147</v>
      </c>
      <c r="Q1301" s="1">
        <v>247.4</v>
      </c>
      <c r="R1301" s="8" t="str">
        <f>_xlfn.IFS(J1301&gt;=8,"Hit",J1301&gt;=6,"Average",J1301&lt;6,"Flop")</f>
        <v>Hit</v>
      </c>
      <c r="S1301" s="9" t="str">
        <f>_xlfn.IFS(K1301&gt;=400,"Blockbuster",K1301&gt;=200,"Popular",K1301&lt;200,"Normal")</f>
        <v>Popular</v>
      </c>
      <c r="T1301" s="10" t="str">
        <f>IF(OR(I1301="PG",I1301="G"),"Yes","No")</f>
        <v>Yes</v>
      </c>
      <c r="U1301" s="11" t="str">
        <f>IF(P1301&gt;=100,"High","Low")</f>
        <v>High</v>
      </c>
      <c r="V1301" s="28">
        <f t="shared" si="40"/>
        <v>100.4</v>
      </c>
      <c r="W1301" s="29">
        <f t="shared" si="41"/>
        <v>168.29931972789117</v>
      </c>
    </row>
    <row r="1302" spans="1:23" x14ac:dyDescent="0.3">
      <c r="A1302" s="1" t="s">
        <v>3701</v>
      </c>
      <c r="B1302" s="1" t="s">
        <v>3702</v>
      </c>
      <c r="C1302" s="1" t="s">
        <v>46</v>
      </c>
      <c r="D1302" s="1" t="s">
        <v>94</v>
      </c>
      <c r="E1302" s="1">
        <v>2014</v>
      </c>
      <c r="F1302" s="1" t="s">
        <v>20</v>
      </c>
      <c r="G1302" s="1" t="s">
        <v>3703</v>
      </c>
      <c r="H1302" s="1">
        <v>52</v>
      </c>
      <c r="I1302" s="1" t="s">
        <v>22</v>
      </c>
      <c r="J1302" s="1">
        <v>8.1</v>
      </c>
      <c r="K1302" s="1">
        <v>583.29999999999995</v>
      </c>
      <c r="L1302" s="1" t="s">
        <v>41</v>
      </c>
      <c r="M1302" s="1" t="s">
        <v>78</v>
      </c>
      <c r="N1302" s="1" t="s">
        <v>178</v>
      </c>
      <c r="O1302" s="1">
        <v>7</v>
      </c>
      <c r="P1302" s="1">
        <v>159</v>
      </c>
      <c r="Q1302" s="1">
        <v>812.3</v>
      </c>
      <c r="R1302" s="8" t="str">
        <f>_xlfn.IFS(J1302&gt;=8,"Hit",J1302&gt;=6,"Average",J1302&lt;6,"Flop")</f>
        <v>Hit</v>
      </c>
      <c r="S1302" s="9" t="str">
        <f>_xlfn.IFS(K1302&gt;=400,"Blockbuster",K1302&gt;=200,"Popular",K1302&lt;200,"Normal")</f>
        <v>Blockbuster</v>
      </c>
      <c r="T1302" s="10" t="str">
        <f>IF(OR(I1302="PG",I1302="G"),"Yes","No")</f>
        <v>No</v>
      </c>
      <c r="U1302" s="11" t="str">
        <f>IF(P1302&gt;=100,"High","Low")</f>
        <v>High</v>
      </c>
      <c r="V1302" s="28">
        <f t="shared" si="40"/>
        <v>653.29999999999995</v>
      </c>
      <c r="W1302" s="29">
        <f t="shared" si="41"/>
        <v>510.88050314465409</v>
      </c>
    </row>
    <row r="1303" spans="1:23" x14ac:dyDescent="0.3">
      <c r="A1303" s="1" t="s">
        <v>3704</v>
      </c>
      <c r="B1303" s="1" t="s">
        <v>3705</v>
      </c>
      <c r="C1303" s="1" t="s">
        <v>18</v>
      </c>
      <c r="D1303" s="1" t="s">
        <v>63</v>
      </c>
      <c r="E1303" s="1">
        <v>2000</v>
      </c>
      <c r="F1303" s="1" t="s">
        <v>48</v>
      </c>
      <c r="G1303" s="1" t="s">
        <v>2346</v>
      </c>
      <c r="H1303" s="1">
        <v>148</v>
      </c>
      <c r="I1303" s="1" t="s">
        <v>50</v>
      </c>
      <c r="J1303" s="1">
        <v>4.5999999999999996</v>
      </c>
      <c r="K1303" s="1">
        <v>370.7</v>
      </c>
      <c r="L1303" s="1" t="s">
        <v>32</v>
      </c>
      <c r="M1303" s="1" t="s">
        <v>24</v>
      </c>
      <c r="N1303" s="1" t="s">
        <v>67</v>
      </c>
      <c r="O1303" s="1"/>
      <c r="P1303" s="1">
        <v>28</v>
      </c>
      <c r="Q1303" s="1">
        <v>148.80000000000001</v>
      </c>
      <c r="R1303" s="8" t="str">
        <f>_xlfn.IFS(J1303&gt;=8,"Hit",J1303&gt;=6,"Average",J1303&lt;6,"Flop")</f>
        <v>Flop</v>
      </c>
      <c r="S1303" s="9" t="str">
        <f>_xlfn.IFS(K1303&gt;=400,"Blockbuster",K1303&gt;=200,"Popular",K1303&lt;200,"Normal")</f>
        <v>Popular</v>
      </c>
      <c r="T1303" s="10" t="str">
        <f>IF(OR(I1303="PG",I1303="G"),"Yes","No")</f>
        <v>Yes</v>
      </c>
      <c r="U1303" s="11" t="str">
        <f>IF(P1303&gt;=100,"High","Low")</f>
        <v>Low</v>
      </c>
      <c r="V1303" s="28">
        <f t="shared" si="40"/>
        <v>120.80000000000001</v>
      </c>
      <c r="W1303" s="29">
        <f t="shared" si="41"/>
        <v>531.42857142857144</v>
      </c>
    </row>
    <row r="1304" spans="1:23" x14ac:dyDescent="0.3">
      <c r="A1304" s="1" t="s">
        <v>3706</v>
      </c>
      <c r="B1304" s="1" t="s">
        <v>3707</v>
      </c>
      <c r="C1304" s="1" t="s">
        <v>46</v>
      </c>
      <c r="D1304" s="1" t="s">
        <v>63</v>
      </c>
      <c r="E1304" s="1">
        <v>2004</v>
      </c>
      <c r="F1304" s="1" t="s">
        <v>38</v>
      </c>
      <c r="G1304" s="1" t="s">
        <v>1346</v>
      </c>
      <c r="H1304" s="1">
        <v>39</v>
      </c>
      <c r="I1304" s="1" t="s">
        <v>22</v>
      </c>
      <c r="J1304" s="1">
        <v>9.1999999999999993</v>
      </c>
      <c r="K1304" s="1">
        <v>498</v>
      </c>
      <c r="L1304" s="1" t="s">
        <v>71</v>
      </c>
      <c r="M1304" s="1" t="s">
        <v>132</v>
      </c>
      <c r="N1304" s="1" t="s">
        <v>153</v>
      </c>
      <c r="O1304" s="1">
        <v>3</v>
      </c>
      <c r="P1304" s="1">
        <v>26</v>
      </c>
      <c r="Q1304" s="1">
        <v>67.3</v>
      </c>
      <c r="R1304" s="8" t="str">
        <f>_xlfn.IFS(J1304&gt;=8,"Hit",J1304&gt;=6,"Average",J1304&lt;6,"Flop")</f>
        <v>Hit</v>
      </c>
      <c r="S1304" s="9" t="str">
        <f>_xlfn.IFS(K1304&gt;=400,"Blockbuster",K1304&gt;=200,"Popular",K1304&lt;200,"Normal")</f>
        <v>Blockbuster</v>
      </c>
      <c r="T1304" s="10" t="str">
        <f>IF(OR(I1304="PG",I1304="G"),"Yes","No")</f>
        <v>No</v>
      </c>
      <c r="U1304" s="11" t="str">
        <f>IF(P1304&gt;=100,"High","Low")</f>
        <v>Low</v>
      </c>
      <c r="V1304" s="28">
        <f t="shared" si="40"/>
        <v>41.3</v>
      </c>
      <c r="W1304" s="29">
        <f t="shared" si="41"/>
        <v>258.84615384615381</v>
      </c>
    </row>
    <row r="1305" spans="1:23" x14ac:dyDescent="0.3">
      <c r="A1305" s="1" t="s">
        <v>3708</v>
      </c>
      <c r="B1305" s="1" t="s">
        <v>3709</v>
      </c>
      <c r="C1305" s="1" t="s">
        <v>46</v>
      </c>
      <c r="D1305" s="1" t="s">
        <v>141</v>
      </c>
      <c r="E1305" s="1">
        <v>2009</v>
      </c>
      <c r="F1305" s="1" t="s">
        <v>181</v>
      </c>
      <c r="G1305" s="1" t="s">
        <v>3710</v>
      </c>
      <c r="H1305" s="1">
        <v>34</v>
      </c>
      <c r="I1305" s="1" t="s">
        <v>110</v>
      </c>
      <c r="J1305" s="1">
        <v>6.8</v>
      </c>
      <c r="K1305" s="1">
        <v>334</v>
      </c>
      <c r="L1305" s="1" t="s">
        <v>65</v>
      </c>
      <c r="M1305" s="1" t="s">
        <v>85</v>
      </c>
      <c r="N1305" s="1" t="s">
        <v>128</v>
      </c>
      <c r="O1305" s="1">
        <v>1</v>
      </c>
      <c r="P1305" s="1">
        <v>157</v>
      </c>
      <c r="Q1305" s="1">
        <v>422.1</v>
      </c>
      <c r="R1305" s="8" t="str">
        <f>_xlfn.IFS(J1305&gt;=8,"Hit",J1305&gt;=6,"Average",J1305&lt;6,"Flop")</f>
        <v>Average</v>
      </c>
      <c r="S1305" s="9" t="str">
        <f>_xlfn.IFS(K1305&gt;=400,"Blockbuster",K1305&gt;=200,"Popular",K1305&lt;200,"Normal")</f>
        <v>Popular</v>
      </c>
      <c r="T1305" s="10" t="str">
        <f>IF(OR(I1305="PG",I1305="G"),"Yes","No")</f>
        <v>No</v>
      </c>
      <c r="U1305" s="11" t="str">
        <f>IF(P1305&gt;=100,"High","Low")</f>
        <v>High</v>
      </c>
      <c r="V1305" s="28">
        <f t="shared" si="40"/>
        <v>265.10000000000002</v>
      </c>
      <c r="W1305" s="29">
        <f t="shared" si="41"/>
        <v>268.85350318471336</v>
      </c>
    </row>
    <row r="1306" spans="1:23" x14ac:dyDescent="0.3">
      <c r="A1306" s="1" t="s">
        <v>3711</v>
      </c>
      <c r="B1306" s="1" t="s">
        <v>3712</v>
      </c>
      <c r="C1306" s="1" t="s">
        <v>46</v>
      </c>
      <c r="D1306" s="1" t="s">
        <v>28</v>
      </c>
      <c r="E1306" s="1">
        <v>2020</v>
      </c>
      <c r="F1306" s="1" t="s">
        <v>38</v>
      </c>
      <c r="G1306" s="1" t="s">
        <v>3713</v>
      </c>
      <c r="H1306" s="1">
        <v>44</v>
      </c>
      <c r="I1306" s="1" t="s">
        <v>110</v>
      </c>
      <c r="J1306" s="1">
        <v>8.6</v>
      </c>
      <c r="K1306" s="1">
        <v>103.3</v>
      </c>
      <c r="L1306" s="1" t="s">
        <v>23</v>
      </c>
      <c r="M1306" s="1" t="s">
        <v>97</v>
      </c>
      <c r="N1306" s="1" t="s">
        <v>43</v>
      </c>
      <c r="O1306" s="1">
        <v>4</v>
      </c>
      <c r="P1306" s="1">
        <v>67</v>
      </c>
      <c r="Q1306" s="1">
        <v>408.7</v>
      </c>
      <c r="R1306" s="8" t="str">
        <f>_xlfn.IFS(J1306&gt;=8,"Hit",J1306&gt;=6,"Average",J1306&lt;6,"Flop")</f>
        <v>Hit</v>
      </c>
      <c r="S1306" s="9" t="str">
        <f>_xlfn.IFS(K1306&gt;=400,"Blockbuster",K1306&gt;=200,"Popular",K1306&lt;200,"Normal")</f>
        <v>Normal</v>
      </c>
      <c r="T1306" s="10" t="str">
        <f>IF(OR(I1306="PG",I1306="G"),"Yes","No")</f>
        <v>No</v>
      </c>
      <c r="U1306" s="11" t="str">
        <f>IF(P1306&gt;=100,"High","Low")</f>
        <v>Low</v>
      </c>
      <c r="V1306" s="28">
        <f t="shared" si="40"/>
        <v>341.7</v>
      </c>
      <c r="W1306" s="29">
        <f t="shared" si="41"/>
        <v>610</v>
      </c>
    </row>
    <row r="1307" spans="1:23" x14ac:dyDescent="0.3">
      <c r="A1307" s="1" t="s">
        <v>3714</v>
      </c>
      <c r="B1307" s="1" t="s">
        <v>3715</v>
      </c>
      <c r="C1307" s="1" t="s">
        <v>46</v>
      </c>
      <c r="D1307" s="1" t="s">
        <v>58</v>
      </c>
      <c r="E1307" s="1">
        <v>2014</v>
      </c>
      <c r="F1307" s="1" t="s">
        <v>100</v>
      </c>
      <c r="G1307" s="1" t="s">
        <v>3716</v>
      </c>
      <c r="H1307" s="1">
        <v>34</v>
      </c>
      <c r="I1307" s="1" t="s">
        <v>22</v>
      </c>
      <c r="J1307" s="1">
        <v>6</v>
      </c>
      <c r="K1307" s="1">
        <v>175.3</v>
      </c>
      <c r="L1307" s="1" t="s">
        <v>32</v>
      </c>
      <c r="M1307" s="1" t="s">
        <v>33</v>
      </c>
      <c r="N1307" s="1" t="s">
        <v>158</v>
      </c>
      <c r="O1307" s="1">
        <v>1</v>
      </c>
      <c r="P1307" s="1">
        <v>60</v>
      </c>
      <c r="Q1307" s="1">
        <v>79.8</v>
      </c>
      <c r="R1307" s="8" t="str">
        <f>_xlfn.IFS(J1307&gt;=8,"Hit",J1307&gt;=6,"Average",J1307&lt;6,"Flop")</f>
        <v>Average</v>
      </c>
      <c r="S1307" s="9" t="str">
        <f>_xlfn.IFS(K1307&gt;=400,"Blockbuster",K1307&gt;=200,"Popular",K1307&lt;200,"Normal")</f>
        <v>Normal</v>
      </c>
      <c r="T1307" s="10" t="str">
        <f>IF(OR(I1307="PG",I1307="G"),"Yes","No")</f>
        <v>No</v>
      </c>
      <c r="U1307" s="11" t="str">
        <f>IF(P1307&gt;=100,"High","Low")</f>
        <v>Low</v>
      </c>
      <c r="V1307" s="28">
        <f t="shared" si="40"/>
        <v>19.799999999999997</v>
      </c>
      <c r="W1307" s="29">
        <f t="shared" si="41"/>
        <v>132.99999999999997</v>
      </c>
    </row>
    <row r="1308" spans="1:23" x14ac:dyDescent="0.3">
      <c r="A1308" s="1" t="s">
        <v>3717</v>
      </c>
      <c r="B1308" s="1" t="s">
        <v>3718</v>
      </c>
      <c r="C1308" s="1" t="s">
        <v>18</v>
      </c>
      <c r="D1308" s="1" t="s">
        <v>19</v>
      </c>
      <c r="E1308" s="1">
        <v>2003</v>
      </c>
      <c r="F1308" s="1" t="s">
        <v>83</v>
      </c>
      <c r="G1308" s="1" t="s">
        <v>530</v>
      </c>
      <c r="H1308" s="1">
        <v>145</v>
      </c>
      <c r="I1308" s="1" t="s">
        <v>110</v>
      </c>
      <c r="J1308" s="1">
        <v>5.0999999999999996</v>
      </c>
      <c r="K1308" s="1">
        <v>564.79999999999995</v>
      </c>
      <c r="L1308" s="1" t="s">
        <v>90</v>
      </c>
      <c r="M1308" s="1" t="s">
        <v>97</v>
      </c>
      <c r="N1308" s="1" t="s">
        <v>102</v>
      </c>
      <c r="O1308" s="1"/>
      <c r="P1308" s="1">
        <v>88</v>
      </c>
      <c r="Q1308" s="1">
        <v>352.5</v>
      </c>
      <c r="R1308" s="8" t="str">
        <f>_xlfn.IFS(J1308&gt;=8,"Hit",J1308&gt;=6,"Average",J1308&lt;6,"Flop")</f>
        <v>Flop</v>
      </c>
      <c r="S1308" s="9" t="str">
        <f>_xlfn.IFS(K1308&gt;=400,"Blockbuster",K1308&gt;=200,"Popular",K1308&lt;200,"Normal")</f>
        <v>Blockbuster</v>
      </c>
      <c r="T1308" s="10" t="str">
        <f>IF(OR(I1308="PG",I1308="G"),"Yes","No")</f>
        <v>No</v>
      </c>
      <c r="U1308" s="11" t="str">
        <f>IF(P1308&gt;=100,"High","Low")</f>
        <v>Low</v>
      </c>
      <c r="V1308" s="28">
        <f t="shared" si="40"/>
        <v>264.5</v>
      </c>
      <c r="W1308" s="29">
        <f t="shared" si="41"/>
        <v>400.56818181818181</v>
      </c>
    </row>
    <row r="1309" spans="1:23" x14ac:dyDescent="0.3">
      <c r="A1309" s="1" t="s">
        <v>3719</v>
      </c>
      <c r="B1309" s="1" t="s">
        <v>3720</v>
      </c>
      <c r="C1309" s="1" t="s">
        <v>46</v>
      </c>
      <c r="D1309" s="1" t="s">
        <v>94</v>
      </c>
      <c r="E1309" s="1">
        <v>2005</v>
      </c>
      <c r="F1309" s="1" t="s">
        <v>95</v>
      </c>
      <c r="G1309" s="1" t="s">
        <v>417</v>
      </c>
      <c r="H1309" s="1">
        <v>45</v>
      </c>
      <c r="I1309" s="1" t="s">
        <v>31</v>
      </c>
      <c r="J1309" s="1">
        <v>7.3</v>
      </c>
      <c r="K1309" s="1">
        <v>565.6</v>
      </c>
      <c r="L1309" s="1" t="s">
        <v>23</v>
      </c>
      <c r="M1309" s="1" t="s">
        <v>111</v>
      </c>
      <c r="N1309" s="1" t="s">
        <v>34</v>
      </c>
      <c r="O1309" s="1">
        <v>3</v>
      </c>
      <c r="P1309" s="1">
        <v>140</v>
      </c>
      <c r="Q1309" s="1">
        <v>720.9</v>
      </c>
      <c r="R1309" s="8" t="str">
        <f>_xlfn.IFS(J1309&gt;=8,"Hit",J1309&gt;=6,"Average",J1309&lt;6,"Flop")</f>
        <v>Average</v>
      </c>
      <c r="S1309" s="9" t="str">
        <f>_xlfn.IFS(K1309&gt;=400,"Blockbuster",K1309&gt;=200,"Popular",K1309&lt;200,"Normal")</f>
        <v>Blockbuster</v>
      </c>
      <c r="T1309" s="10" t="str">
        <f>IF(OR(I1309="PG",I1309="G"),"Yes","No")</f>
        <v>No</v>
      </c>
      <c r="U1309" s="11" t="str">
        <f>IF(P1309&gt;=100,"High","Low")</f>
        <v>High</v>
      </c>
      <c r="V1309" s="28">
        <f t="shared" si="40"/>
        <v>580.9</v>
      </c>
      <c r="W1309" s="29">
        <f t="shared" si="41"/>
        <v>514.92857142857144</v>
      </c>
    </row>
    <row r="1310" spans="1:23" x14ac:dyDescent="0.3">
      <c r="A1310" s="1" t="s">
        <v>3721</v>
      </c>
      <c r="B1310" s="1" t="s">
        <v>3722</v>
      </c>
      <c r="C1310" s="1" t="s">
        <v>18</v>
      </c>
      <c r="D1310" s="1" t="s">
        <v>75</v>
      </c>
      <c r="E1310" s="1">
        <v>2016</v>
      </c>
      <c r="F1310" s="1" t="s">
        <v>122</v>
      </c>
      <c r="G1310" s="1" t="s">
        <v>381</v>
      </c>
      <c r="H1310" s="1">
        <v>150</v>
      </c>
      <c r="I1310" s="1" t="s">
        <v>50</v>
      </c>
      <c r="J1310" s="1">
        <v>7.7</v>
      </c>
      <c r="K1310" s="1">
        <v>551.1</v>
      </c>
      <c r="L1310" s="1" t="s">
        <v>41</v>
      </c>
      <c r="M1310" s="1" t="s">
        <v>124</v>
      </c>
      <c r="N1310" s="1" t="s">
        <v>86</v>
      </c>
      <c r="O1310" s="1"/>
      <c r="P1310" s="1">
        <v>41</v>
      </c>
      <c r="Q1310" s="1">
        <v>194</v>
      </c>
      <c r="R1310" s="8" t="str">
        <f>_xlfn.IFS(J1310&gt;=8,"Hit",J1310&gt;=6,"Average",J1310&lt;6,"Flop")</f>
        <v>Average</v>
      </c>
      <c r="S1310" s="9" t="str">
        <f>_xlfn.IFS(K1310&gt;=400,"Blockbuster",K1310&gt;=200,"Popular",K1310&lt;200,"Normal")</f>
        <v>Blockbuster</v>
      </c>
      <c r="T1310" s="10" t="str">
        <f>IF(OR(I1310="PG",I1310="G"),"Yes","No")</f>
        <v>Yes</v>
      </c>
      <c r="U1310" s="11" t="str">
        <f>IF(P1310&gt;=100,"High","Low")</f>
        <v>Low</v>
      </c>
      <c r="V1310" s="28">
        <f t="shared" si="40"/>
        <v>153</v>
      </c>
      <c r="W1310" s="29">
        <f t="shared" si="41"/>
        <v>473.17073170731703</v>
      </c>
    </row>
    <row r="1311" spans="1:23" x14ac:dyDescent="0.3">
      <c r="A1311" s="1" t="s">
        <v>3723</v>
      </c>
      <c r="B1311" s="1" t="s">
        <v>3724</v>
      </c>
      <c r="C1311" s="1" t="s">
        <v>46</v>
      </c>
      <c r="D1311" s="1" t="s">
        <v>63</v>
      </c>
      <c r="E1311" s="1">
        <v>2011</v>
      </c>
      <c r="F1311" s="1" t="s">
        <v>100</v>
      </c>
      <c r="G1311" s="1" t="s">
        <v>3725</v>
      </c>
      <c r="H1311" s="1">
        <v>47</v>
      </c>
      <c r="I1311" s="1" t="s">
        <v>31</v>
      </c>
      <c r="J1311" s="1">
        <v>9.4</v>
      </c>
      <c r="K1311" s="1">
        <v>380.7</v>
      </c>
      <c r="L1311" s="1" t="s">
        <v>32</v>
      </c>
      <c r="M1311" s="1" t="s">
        <v>66</v>
      </c>
      <c r="N1311" s="1" t="s">
        <v>79</v>
      </c>
      <c r="O1311" s="1">
        <v>1</v>
      </c>
      <c r="P1311" s="1">
        <v>60</v>
      </c>
      <c r="Q1311" s="1">
        <v>326</v>
      </c>
      <c r="R1311" s="8" t="str">
        <f>_xlfn.IFS(J1311&gt;=8,"Hit",J1311&gt;=6,"Average",J1311&lt;6,"Flop")</f>
        <v>Hit</v>
      </c>
      <c r="S1311" s="9" t="str">
        <f>_xlfn.IFS(K1311&gt;=400,"Blockbuster",K1311&gt;=200,"Popular",K1311&lt;200,"Normal")</f>
        <v>Popular</v>
      </c>
      <c r="T1311" s="10" t="str">
        <f>IF(OR(I1311="PG",I1311="G"),"Yes","No")</f>
        <v>No</v>
      </c>
      <c r="U1311" s="11" t="str">
        <f>IF(P1311&gt;=100,"High","Low")</f>
        <v>Low</v>
      </c>
      <c r="V1311" s="28">
        <f t="shared" si="40"/>
        <v>266</v>
      </c>
      <c r="W1311" s="29">
        <f t="shared" si="41"/>
        <v>543.33333333333337</v>
      </c>
    </row>
    <row r="1312" spans="1:23" x14ac:dyDescent="0.3">
      <c r="A1312" s="1" t="s">
        <v>3726</v>
      </c>
      <c r="B1312" s="1" t="s">
        <v>3727</v>
      </c>
      <c r="C1312" s="1" t="s">
        <v>18</v>
      </c>
      <c r="D1312" s="1" t="s">
        <v>28</v>
      </c>
      <c r="E1312" s="1">
        <v>2014</v>
      </c>
      <c r="F1312" s="1" t="s">
        <v>181</v>
      </c>
      <c r="G1312" s="1" t="s">
        <v>3728</v>
      </c>
      <c r="H1312" s="1">
        <v>148</v>
      </c>
      <c r="I1312" s="1" t="s">
        <v>22</v>
      </c>
      <c r="J1312" s="1">
        <v>8.5</v>
      </c>
      <c r="K1312" s="1">
        <v>585.4</v>
      </c>
      <c r="L1312" s="1" t="s">
        <v>71</v>
      </c>
      <c r="M1312" s="1" t="s">
        <v>124</v>
      </c>
      <c r="N1312" s="1" t="s">
        <v>158</v>
      </c>
      <c r="O1312" s="1"/>
      <c r="P1312" s="1">
        <v>8</v>
      </c>
      <c r="Q1312" s="1">
        <v>10.5</v>
      </c>
      <c r="R1312" s="8" t="str">
        <f>_xlfn.IFS(J1312&gt;=8,"Hit",J1312&gt;=6,"Average",J1312&lt;6,"Flop")</f>
        <v>Hit</v>
      </c>
      <c r="S1312" s="9" t="str">
        <f>_xlfn.IFS(K1312&gt;=400,"Blockbuster",K1312&gt;=200,"Popular",K1312&lt;200,"Normal")</f>
        <v>Blockbuster</v>
      </c>
      <c r="T1312" s="10" t="str">
        <f>IF(OR(I1312="PG",I1312="G"),"Yes","No")</f>
        <v>No</v>
      </c>
      <c r="U1312" s="11" t="str">
        <f>IF(P1312&gt;=100,"High","Low")</f>
        <v>Low</v>
      </c>
      <c r="V1312" s="28">
        <f t="shared" si="40"/>
        <v>2.5</v>
      </c>
      <c r="W1312" s="29">
        <f t="shared" si="41"/>
        <v>131.25</v>
      </c>
    </row>
    <row r="1313" spans="1:23" x14ac:dyDescent="0.3">
      <c r="A1313" s="1" t="s">
        <v>3729</v>
      </c>
      <c r="B1313" s="1" t="s">
        <v>3730</v>
      </c>
      <c r="C1313" s="1" t="s">
        <v>18</v>
      </c>
      <c r="D1313" s="1" t="s">
        <v>63</v>
      </c>
      <c r="E1313" s="1">
        <v>2008</v>
      </c>
      <c r="F1313" s="1" t="s">
        <v>48</v>
      </c>
      <c r="G1313" s="1" t="s">
        <v>1300</v>
      </c>
      <c r="H1313" s="1">
        <v>80</v>
      </c>
      <c r="I1313" s="1" t="s">
        <v>22</v>
      </c>
      <c r="J1313" s="1">
        <v>8.1999999999999993</v>
      </c>
      <c r="K1313" s="1">
        <v>367.1</v>
      </c>
      <c r="L1313" s="1" t="s">
        <v>90</v>
      </c>
      <c r="M1313" s="1" t="s">
        <v>72</v>
      </c>
      <c r="N1313" s="1" t="s">
        <v>178</v>
      </c>
      <c r="O1313" s="1"/>
      <c r="P1313" s="1">
        <v>106</v>
      </c>
      <c r="Q1313" s="1">
        <v>658.8</v>
      </c>
      <c r="R1313" s="8" t="str">
        <f>_xlfn.IFS(J1313&gt;=8,"Hit",J1313&gt;=6,"Average",J1313&lt;6,"Flop")</f>
        <v>Hit</v>
      </c>
      <c r="S1313" s="9" t="str">
        <f>_xlfn.IFS(K1313&gt;=400,"Blockbuster",K1313&gt;=200,"Popular",K1313&lt;200,"Normal")</f>
        <v>Popular</v>
      </c>
      <c r="T1313" s="10" t="str">
        <f>IF(OR(I1313="PG",I1313="G"),"Yes","No")</f>
        <v>No</v>
      </c>
      <c r="U1313" s="11" t="str">
        <f>IF(P1313&gt;=100,"High","Low")</f>
        <v>High</v>
      </c>
      <c r="V1313" s="28">
        <f t="shared" si="40"/>
        <v>552.79999999999995</v>
      </c>
      <c r="W1313" s="29">
        <f t="shared" si="41"/>
        <v>621.5094339622641</v>
      </c>
    </row>
    <row r="1314" spans="1:23" x14ac:dyDescent="0.3">
      <c r="A1314" s="1" t="s">
        <v>3731</v>
      </c>
      <c r="B1314" s="1" t="s">
        <v>3732</v>
      </c>
      <c r="C1314" s="1" t="s">
        <v>46</v>
      </c>
      <c r="D1314" s="1" t="s">
        <v>58</v>
      </c>
      <c r="E1314" s="1">
        <v>2009</v>
      </c>
      <c r="F1314" s="1" t="s">
        <v>181</v>
      </c>
      <c r="G1314" s="1" t="s">
        <v>3733</v>
      </c>
      <c r="H1314" s="1">
        <v>51</v>
      </c>
      <c r="I1314" s="1" t="s">
        <v>22</v>
      </c>
      <c r="J1314" s="1">
        <v>7.1</v>
      </c>
      <c r="K1314" s="1">
        <v>207.4</v>
      </c>
      <c r="L1314" s="1" t="s">
        <v>71</v>
      </c>
      <c r="M1314" s="1" t="s">
        <v>146</v>
      </c>
      <c r="N1314" s="1" t="s">
        <v>91</v>
      </c>
      <c r="O1314" s="1">
        <v>6</v>
      </c>
      <c r="P1314" s="1">
        <v>150</v>
      </c>
      <c r="Q1314" s="1">
        <v>889.5</v>
      </c>
      <c r="R1314" s="8" t="str">
        <f>_xlfn.IFS(J1314&gt;=8,"Hit",J1314&gt;=6,"Average",J1314&lt;6,"Flop")</f>
        <v>Average</v>
      </c>
      <c r="S1314" s="9" t="str">
        <f>_xlfn.IFS(K1314&gt;=400,"Blockbuster",K1314&gt;=200,"Popular",K1314&lt;200,"Normal")</f>
        <v>Popular</v>
      </c>
      <c r="T1314" s="10" t="str">
        <f>IF(OR(I1314="PG",I1314="G"),"Yes","No")</f>
        <v>No</v>
      </c>
      <c r="U1314" s="11" t="str">
        <f>IF(P1314&gt;=100,"High","Low")</f>
        <v>High</v>
      </c>
      <c r="V1314" s="28">
        <f t="shared" si="40"/>
        <v>739.5</v>
      </c>
      <c r="W1314" s="29">
        <f t="shared" si="41"/>
        <v>593</v>
      </c>
    </row>
    <row r="1315" spans="1:23" x14ac:dyDescent="0.3">
      <c r="A1315" s="1" t="s">
        <v>3734</v>
      </c>
      <c r="B1315" s="1" t="s">
        <v>3735</v>
      </c>
      <c r="C1315" s="1" t="s">
        <v>46</v>
      </c>
      <c r="D1315" s="1" t="s">
        <v>63</v>
      </c>
      <c r="E1315" s="1">
        <v>2008</v>
      </c>
      <c r="F1315" s="1" t="s">
        <v>122</v>
      </c>
      <c r="G1315" s="1" t="s">
        <v>3736</v>
      </c>
      <c r="H1315" s="1">
        <v>35</v>
      </c>
      <c r="I1315" s="1" t="s">
        <v>50</v>
      </c>
      <c r="J1315" s="1">
        <v>8.6</v>
      </c>
      <c r="K1315" s="1">
        <v>57.9</v>
      </c>
      <c r="L1315" s="1" t="s">
        <v>90</v>
      </c>
      <c r="M1315" s="1" t="s">
        <v>111</v>
      </c>
      <c r="N1315" s="1" t="s">
        <v>153</v>
      </c>
      <c r="O1315" s="1">
        <v>1</v>
      </c>
      <c r="P1315" s="1">
        <v>174</v>
      </c>
      <c r="Q1315" s="1">
        <v>925.9</v>
      </c>
      <c r="R1315" s="8" t="str">
        <f>_xlfn.IFS(J1315&gt;=8,"Hit",J1315&gt;=6,"Average",J1315&lt;6,"Flop")</f>
        <v>Hit</v>
      </c>
      <c r="S1315" s="9" t="str">
        <f>_xlfn.IFS(K1315&gt;=400,"Blockbuster",K1315&gt;=200,"Popular",K1315&lt;200,"Normal")</f>
        <v>Normal</v>
      </c>
      <c r="T1315" s="10" t="str">
        <f>IF(OR(I1315="PG",I1315="G"),"Yes","No")</f>
        <v>Yes</v>
      </c>
      <c r="U1315" s="11" t="str">
        <f>IF(P1315&gt;=100,"High","Low")</f>
        <v>High</v>
      </c>
      <c r="V1315" s="28">
        <f t="shared" si="40"/>
        <v>751.9</v>
      </c>
      <c r="W1315" s="29">
        <f t="shared" si="41"/>
        <v>532.12643678160919</v>
      </c>
    </row>
    <row r="1316" spans="1:23" x14ac:dyDescent="0.3">
      <c r="A1316" s="1" t="s">
        <v>3737</v>
      </c>
      <c r="B1316" s="1" t="s">
        <v>3738</v>
      </c>
      <c r="C1316" s="1" t="s">
        <v>46</v>
      </c>
      <c r="D1316" s="1" t="s">
        <v>47</v>
      </c>
      <c r="E1316" s="1">
        <v>2016</v>
      </c>
      <c r="F1316" s="1" t="s">
        <v>83</v>
      </c>
      <c r="G1316" s="1" t="s">
        <v>1438</v>
      </c>
      <c r="H1316" s="1">
        <v>60</v>
      </c>
      <c r="I1316" s="1" t="s">
        <v>50</v>
      </c>
      <c r="J1316" s="1">
        <v>9.6</v>
      </c>
      <c r="K1316" s="1">
        <v>494.6</v>
      </c>
      <c r="L1316" s="1" t="s">
        <v>71</v>
      </c>
      <c r="M1316" s="1" t="s">
        <v>54</v>
      </c>
      <c r="N1316" s="1" t="s">
        <v>178</v>
      </c>
      <c r="O1316" s="1">
        <v>6</v>
      </c>
      <c r="P1316" s="1">
        <v>184</v>
      </c>
      <c r="Q1316" s="1">
        <v>865</v>
      </c>
      <c r="R1316" s="8" t="str">
        <f>_xlfn.IFS(J1316&gt;=8,"Hit",J1316&gt;=6,"Average",J1316&lt;6,"Flop")</f>
        <v>Hit</v>
      </c>
      <c r="S1316" s="9" t="str">
        <f>_xlfn.IFS(K1316&gt;=400,"Blockbuster",K1316&gt;=200,"Popular",K1316&lt;200,"Normal")</f>
        <v>Blockbuster</v>
      </c>
      <c r="T1316" s="10" t="str">
        <f>IF(OR(I1316="PG",I1316="G"),"Yes","No")</f>
        <v>Yes</v>
      </c>
      <c r="U1316" s="11" t="str">
        <f>IF(P1316&gt;=100,"High","Low")</f>
        <v>High</v>
      </c>
      <c r="V1316" s="28">
        <f t="shared" si="40"/>
        <v>681</v>
      </c>
      <c r="W1316" s="29">
        <f t="shared" si="41"/>
        <v>470.10869565217394</v>
      </c>
    </row>
    <row r="1317" spans="1:23" x14ac:dyDescent="0.3">
      <c r="A1317" s="1" t="s">
        <v>3739</v>
      </c>
      <c r="B1317" s="1" t="s">
        <v>3740</v>
      </c>
      <c r="C1317" s="1" t="s">
        <v>18</v>
      </c>
      <c r="D1317" s="1" t="s">
        <v>94</v>
      </c>
      <c r="E1317" s="1">
        <v>2023</v>
      </c>
      <c r="F1317" s="1" t="s">
        <v>38</v>
      </c>
      <c r="G1317" s="1" t="s">
        <v>1378</v>
      </c>
      <c r="H1317" s="1">
        <v>119</v>
      </c>
      <c r="I1317" s="1" t="s">
        <v>110</v>
      </c>
      <c r="J1317" s="1">
        <v>8.5</v>
      </c>
      <c r="K1317" s="1">
        <v>409.4</v>
      </c>
      <c r="L1317" s="1" t="s">
        <v>65</v>
      </c>
      <c r="M1317" s="1" t="s">
        <v>157</v>
      </c>
      <c r="N1317" s="1" t="s">
        <v>178</v>
      </c>
      <c r="O1317" s="1"/>
      <c r="P1317" s="1">
        <v>128</v>
      </c>
      <c r="Q1317" s="1">
        <v>173</v>
      </c>
      <c r="R1317" s="8" t="str">
        <f>_xlfn.IFS(J1317&gt;=8,"Hit",J1317&gt;=6,"Average",J1317&lt;6,"Flop")</f>
        <v>Hit</v>
      </c>
      <c r="S1317" s="9" t="str">
        <f>_xlfn.IFS(K1317&gt;=400,"Blockbuster",K1317&gt;=200,"Popular",K1317&lt;200,"Normal")</f>
        <v>Blockbuster</v>
      </c>
      <c r="T1317" s="10" t="str">
        <f>IF(OR(I1317="PG",I1317="G"),"Yes","No")</f>
        <v>No</v>
      </c>
      <c r="U1317" s="11" t="str">
        <f>IF(P1317&gt;=100,"High","Low")</f>
        <v>High</v>
      </c>
      <c r="V1317" s="28">
        <f t="shared" si="40"/>
        <v>45</v>
      </c>
      <c r="W1317" s="29">
        <f t="shared" si="41"/>
        <v>135.15625</v>
      </c>
    </row>
    <row r="1318" spans="1:23" x14ac:dyDescent="0.3">
      <c r="A1318" s="1" t="s">
        <v>3741</v>
      </c>
      <c r="B1318" s="1" t="s">
        <v>3742</v>
      </c>
      <c r="C1318" s="1" t="s">
        <v>18</v>
      </c>
      <c r="D1318" s="1" t="s">
        <v>117</v>
      </c>
      <c r="E1318" s="1">
        <v>2025</v>
      </c>
      <c r="F1318" s="1" t="s">
        <v>29</v>
      </c>
      <c r="G1318" s="1" t="s">
        <v>1811</v>
      </c>
      <c r="H1318" s="1">
        <v>130</v>
      </c>
      <c r="I1318" s="1" t="s">
        <v>22</v>
      </c>
      <c r="J1318" s="1">
        <v>5.7</v>
      </c>
      <c r="K1318" s="1">
        <v>99.6</v>
      </c>
      <c r="L1318" s="1" t="s">
        <v>32</v>
      </c>
      <c r="M1318" s="1" t="s">
        <v>72</v>
      </c>
      <c r="N1318" s="1" t="s">
        <v>67</v>
      </c>
      <c r="O1318" s="1"/>
      <c r="P1318" s="1">
        <v>185</v>
      </c>
      <c r="Q1318" s="1">
        <v>452.5</v>
      </c>
      <c r="R1318" s="8" t="str">
        <f>_xlfn.IFS(J1318&gt;=8,"Hit",J1318&gt;=6,"Average",J1318&lt;6,"Flop")</f>
        <v>Flop</v>
      </c>
      <c r="S1318" s="9" t="str">
        <f>_xlfn.IFS(K1318&gt;=400,"Blockbuster",K1318&gt;=200,"Popular",K1318&lt;200,"Normal")</f>
        <v>Normal</v>
      </c>
      <c r="T1318" s="10" t="str">
        <f>IF(OR(I1318="PG",I1318="G"),"Yes","No")</f>
        <v>No</v>
      </c>
      <c r="U1318" s="11" t="str">
        <f>IF(P1318&gt;=100,"High","Low")</f>
        <v>High</v>
      </c>
      <c r="V1318" s="28">
        <f t="shared" si="40"/>
        <v>267.5</v>
      </c>
      <c r="W1318" s="29">
        <f t="shared" si="41"/>
        <v>244.59459459459461</v>
      </c>
    </row>
    <row r="1319" spans="1:23" x14ac:dyDescent="0.3">
      <c r="A1319" s="1" t="s">
        <v>3743</v>
      </c>
      <c r="B1319" s="1" t="s">
        <v>3744</v>
      </c>
      <c r="C1319" s="1" t="s">
        <v>18</v>
      </c>
      <c r="D1319" s="1" t="s">
        <v>82</v>
      </c>
      <c r="E1319" s="1">
        <v>2005</v>
      </c>
      <c r="F1319" s="1" t="s">
        <v>100</v>
      </c>
      <c r="G1319" s="1" t="s">
        <v>3745</v>
      </c>
      <c r="H1319" s="1">
        <v>152</v>
      </c>
      <c r="I1319" s="1" t="s">
        <v>50</v>
      </c>
      <c r="J1319" s="1">
        <v>5.9</v>
      </c>
      <c r="K1319" s="1">
        <v>226.4</v>
      </c>
      <c r="L1319" s="1" t="s">
        <v>171</v>
      </c>
      <c r="M1319" s="1" t="s">
        <v>54</v>
      </c>
      <c r="N1319" s="1" t="s">
        <v>34</v>
      </c>
      <c r="O1319" s="1"/>
      <c r="P1319" s="1">
        <v>61</v>
      </c>
      <c r="Q1319" s="1">
        <v>98.2</v>
      </c>
      <c r="R1319" s="8" t="str">
        <f>_xlfn.IFS(J1319&gt;=8,"Hit",J1319&gt;=6,"Average",J1319&lt;6,"Flop")</f>
        <v>Flop</v>
      </c>
      <c r="S1319" s="9" t="str">
        <f>_xlfn.IFS(K1319&gt;=400,"Blockbuster",K1319&gt;=200,"Popular",K1319&lt;200,"Normal")</f>
        <v>Popular</v>
      </c>
      <c r="T1319" s="10" t="str">
        <f>IF(OR(I1319="PG",I1319="G"),"Yes","No")</f>
        <v>Yes</v>
      </c>
      <c r="U1319" s="11" t="str">
        <f>IF(P1319&gt;=100,"High","Low")</f>
        <v>Low</v>
      </c>
      <c r="V1319" s="28">
        <f t="shared" si="40"/>
        <v>37.200000000000003</v>
      </c>
      <c r="W1319" s="29">
        <f t="shared" si="41"/>
        <v>160.98360655737704</v>
      </c>
    </row>
    <row r="1320" spans="1:23" x14ac:dyDescent="0.3">
      <c r="A1320" s="1" t="s">
        <v>3746</v>
      </c>
      <c r="B1320" s="1" t="s">
        <v>3747</v>
      </c>
      <c r="C1320" s="1" t="s">
        <v>46</v>
      </c>
      <c r="D1320" s="1" t="s">
        <v>28</v>
      </c>
      <c r="E1320" s="1">
        <v>2020</v>
      </c>
      <c r="F1320" s="1" t="s">
        <v>100</v>
      </c>
      <c r="G1320" s="1" t="s">
        <v>3748</v>
      </c>
      <c r="H1320" s="1">
        <v>36</v>
      </c>
      <c r="I1320" s="1" t="s">
        <v>40</v>
      </c>
      <c r="J1320" s="1">
        <v>5.8</v>
      </c>
      <c r="K1320" s="1">
        <v>500.8</v>
      </c>
      <c r="L1320" s="1" t="s">
        <v>90</v>
      </c>
      <c r="M1320" s="1" t="s">
        <v>124</v>
      </c>
      <c r="N1320" s="1" t="s">
        <v>119</v>
      </c>
      <c r="O1320" s="1">
        <v>6</v>
      </c>
      <c r="P1320" s="1">
        <v>191</v>
      </c>
      <c r="Q1320" s="1">
        <v>342.3</v>
      </c>
      <c r="R1320" s="8" t="str">
        <f>_xlfn.IFS(J1320&gt;=8,"Hit",J1320&gt;=6,"Average",J1320&lt;6,"Flop")</f>
        <v>Flop</v>
      </c>
      <c r="S1320" s="9" t="str">
        <f>_xlfn.IFS(K1320&gt;=400,"Blockbuster",K1320&gt;=200,"Popular",K1320&lt;200,"Normal")</f>
        <v>Blockbuster</v>
      </c>
      <c r="T1320" s="10" t="str">
        <f>IF(OR(I1320="PG",I1320="G"),"Yes","No")</f>
        <v>Yes</v>
      </c>
      <c r="U1320" s="11" t="str">
        <f>IF(P1320&gt;=100,"High","Low")</f>
        <v>High</v>
      </c>
      <c r="V1320" s="28">
        <f t="shared" si="40"/>
        <v>151.30000000000001</v>
      </c>
      <c r="W1320" s="29">
        <f t="shared" si="41"/>
        <v>179.21465968586386</v>
      </c>
    </row>
    <row r="1321" spans="1:23" x14ac:dyDescent="0.3">
      <c r="A1321" s="1" t="s">
        <v>3749</v>
      </c>
      <c r="B1321" s="1" t="s">
        <v>3750</v>
      </c>
      <c r="C1321" s="1" t="s">
        <v>18</v>
      </c>
      <c r="D1321" s="1" t="s">
        <v>82</v>
      </c>
      <c r="E1321" s="1">
        <v>2001</v>
      </c>
      <c r="F1321" s="1" t="s">
        <v>38</v>
      </c>
      <c r="G1321" s="1" t="s">
        <v>1768</v>
      </c>
      <c r="H1321" s="1">
        <v>169</v>
      </c>
      <c r="I1321" s="1" t="s">
        <v>110</v>
      </c>
      <c r="J1321" s="1">
        <v>8.1999999999999993</v>
      </c>
      <c r="K1321" s="1">
        <v>205.9</v>
      </c>
      <c r="L1321" s="1" t="s">
        <v>41</v>
      </c>
      <c r="M1321" s="1" t="s">
        <v>111</v>
      </c>
      <c r="N1321" s="1" t="s">
        <v>60</v>
      </c>
      <c r="O1321" s="1"/>
      <c r="P1321" s="1">
        <v>181</v>
      </c>
      <c r="Q1321" s="1">
        <v>477.1</v>
      </c>
      <c r="R1321" s="8" t="str">
        <f>_xlfn.IFS(J1321&gt;=8,"Hit",J1321&gt;=6,"Average",J1321&lt;6,"Flop")</f>
        <v>Hit</v>
      </c>
      <c r="S1321" s="9" t="str">
        <f>_xlfn.IFS(K1321&gt;=400,"Blockbuster",K1321&gt;=200,"Popular",K1321&lt;200,"Normal")</f>
        <v>Popular</v>
      </c>
      <c r="T1321" s="10" t="str">
        <f>IF(OR(I1321="PG",I1321="G"),"Yes","No")</f>
        <v>No</v>
      </c>
      <c r="U1321" s="11" t="str">
        <f>IF(P1321&gt;=100,"High","Low")</f>
        <v>High</v>
      </c>
      <c r="V1321" s="28">
        <f t="shared" si="40"/>
        <v>296.10000000000002</v>
      </c>
      <c r="W1321" s="29">
        <f t="shared" si="41"/>
        <v>263.59116022099448</v>
      </c>
    </row>
    <row r="1322" spans="1:23" x14ac:dyDescent="0.3">
      <c r="A1322" s="1" t="s">
        <v>3751</v>
      </c>
      <c r="B1322" s="1" t="s">
        <v>3752</v>
      </c>
      <c r="C1322" s="1" t="s">
        <v>46</v>
      </c>
      <c r="D1322" s="1" t="s">
        <v>58</v>
      </c>
      <c r="E1322" s="1">
        <v>2021</v>
      </c>
      <c r="F1322" s="1" t="s">
        <v>83</v>
      </c>
      <c r="G1322" s="1" t="s">
        <v>3753</v>
      </c>
      <c r="H1322" s="1">
        <v>58</v>
      </c>
      <c r="I1322" s="1" t="s">
        <v>40</v>
      </c>
      <c r="J1322" s="1">
        <v>5.9</v>
      </c>
      <c r="K1322" s="1">
        <v>346.6</v>
      </c>
      <c r="L1322" s="1" t="s">
        <v>23</v>
      </c>
      <c r="M1322" s="1" t="s">
        <v>124</v>
      </c>
      <c r="N1322" s="1" t="s">
        <v>91</v>
      </c>
      <c r="O1322" s="1">
        <v>8</v>
      </c>
      <c r="P1322" s="1">
        <v>85</v>
      </c>
      <c r="Q1322" s="1">
        <v>198.1</v>
      </c>
      <c r="R1322" s="8" t="str">
        <f>_xlfn.IFS(J1322&gt;=8,"Hit",J1322&gt;=6,"Average",J1322&lt;6,"Flop")</f>
        <v>Flop</v>
      </c>
      <c r="S1322" s="9" t="str">
        <f>_xlfn.IFS(K1322&gt;=400,"Blockbuster",K1322&gt;=200,"Popular",K1322&lt;200,"Normal")</f>
        <v>Popular</v>
      </c>
      <c r="T1322" s="10" t="str">
        <f>IF(OR(I1322="PG",I1322="G"),"Yes","No")</f>
        <v>Yes</v>
      </c>
      <c r="U1322" s="11" t="str">
        <f>IF(P1322&gt;=100,"High","Low")</f>
        <v>Low</v>
      </c>
      <c r="V1322" s="28">
        <f t="shared" si="40"/>
        <v>113.1</v>
      </c>
      <c r="W1322" s="29">
        <f t="shared" si="41"/>
        <v>233.05882352941177</v>
      </c>
    </row>
    <row r="1323" spans="1:23" x14ac:dyDescent="0.3">
      <c r="A1323" s="1" t="s">
        <v>3754</v>
      </c>
      <c r="B1323" s="1" t="s">
        <v>3755</v>
      </c>
      <c r="C1323" s="1" t="s">
        <v>18</v>
      </c>
      <c r="D1323" s="1" t="s">
        <v>47</v>
      </c>
      <c r="E1323" s="1">
        <v>2023</v>
      </c>
      <c r="F1323" s="1" t="s">
        <v>95</v>
      </c>
      <c r="G1323" s="1" t="s">
        <v>3756</v>
      </c>
      <c r="H1323" s="1">
        <v>160</v>
      </c>
      <c r="I1323" s="1" t="s">
        <v>31</v>
      </c>
      <c r="J1323" s="1">
        <v>7.4</v>
      </c>
      <c r="K1323" s="1">
        <v>401.8</v>
      </c>
      <c r="L1323" s="1" t="s">
        <v>71</v>
      </c>
      <c r="M1323" s="1" t="s">
        <v>24</v>
      </c>
      <c r="N1323" s="1" t="s">
        <v>158</v>
      </c>
      <c r="O1323" s="1"/>
      <c r="P1323" s="1">
        <v>119</v>
      </c>
      <c r="Q1323" s="1">
        <v>278.60000000000002</v>
      </c>
      <c r="R1323" s="8" t="str">
        <f>_xlfn.IFS(J1323&gt;=8,"Hit",J1323&gt;=6,"Average",J1323&lt;6,"Flop")</f>
        <v>Average</v>
      </c>
      <c r="S1323" s="9" t="str">
        <f>_xlfn.IFS(K1323&gt;=400,"Blockbuster",K1323&gt;=200,"Popular",K1323&lt;200,"Normal")</f>
        <v>Blockbuster</v>
      </c>
      <c r="T1323" s="10" t="str">
        <f>IF(OR(I1323="PG",I1323="G"),"Yes","No")</f>
        <v>No</v>
      </c>
      <c r="U1323" s="11" t="str">
        <f>IF(P1323&gt;=100,"High","Low")</f>
        <v>High</v>
      </c>
      <c r="V1323" s="28">
        <f t="shared" si="40"/>
        <v>159.60000000000002</v>
      </c>
      <c r="W1323" s="29">
        <f t="shared" si="41"/>
        <v>234.11764705882354</v>
      </c>
    </row>
    <row r="1324" spans="1:23" x14ac:dyDescent="0.3">
      <c r="A1324" s="1" t="s">
        <v>3757</v>
      </c>
      <c r="B1324" s="1" t="s">
        <v>3758</v>
      </c>
      <c r="C1324" s="1" t="s">
        <v>18</v>
      </c>
      <c r="D1324" s="1" t="s">
        <v>117</v>
      </c>
      <c r="E1324" s="1">
        <v>2006</v>
      </c>
      <c r="F1324" s="1" t="s">
        <v>100</v>
      </c>
      <c r="G1324" s="1" t="s">
        <v>3759</v>
      </c>
      <c r="H1324" s="1">
        <v>141</v>
      </c>
      <c r="I1324" s="1" t="s">
        <v>110</v>
      </c>
      <c r="J1324" s="1">
        <v>8.6999999999999993</v>
      </c>
      <c r="K1324" s="1">
        <v>529.4</v>
      </c>
      <c r="L1324" s="1" t="s">
        <v>90</v>
      </c>
      <c r="M1324" s="1" t="s">
        <v>146</v>
      </c>
      <c r="N1324" s="1" t="s">
        <v>67</v>
      </c>
      <c r="O1324" s="1"/>
      <c r="P1324" s="1">
        <v>87</v>
      </c>
      <c r="Q1324" s="1">
        <v>153.30000000000001</v>
      </c>
      <c r="R1324" s="8" t="str">
        <f>_xlfn.IFS(J1324&gt;=8,"Hit",J1324&gt;=6,"Average",J1324&lt;6,"Flop")</f>
        <v>Hit</v>
      </c>
      <c r="S1324" s="9" t="str">
        <f>_xlfn.IFS(K1324&gt;=400,"Blockbuster",K1324&gt;=200,"Popular",K1324&lt;200,"Normal")</f>
        <v>Blockbuster</v>
      </c>
      <c r="T1324" s="10" t="str">
        <f>IF(OR(I1324="PG",I1324="G"),"Yes","No")</f>
        <v>No</v>
      </c>
      <c r="U1324" s="11" t="str">
        <f>IF(P1324&gt;=100,"High","Low")</f>
        <v>Low</v>
      </c>
      <c r="V1324" s="28">
        <f t="shared" si="40"/>
        <v>66.300000000000011</v>
      </c>
      <c r="W1324" s="29">
        <f t="shared" si="41"/>
        <v>176.20689655172416</v>
      </c>
    </row>
    <row r="1325" spans="1:23" x14ac:dyDescent="0.3">
      <c r="A1325" s="1" t="s">
        <v>3760</v>
      </c>
      <c r="B1325" s="1" t="s">
        <v>3761</v>
      </c>
      <c r="C1325" s="1" t="s">
        <v>18</v>
      </c>
      <c r="D1325" s="1" t="s">
        <v>94</v>
      </c>
      <c r="E1325" s="1">
        <v>2010</v>
      </c>
      <c r="F1325" s="1" t="s">
        <v>95</v>
      </c>
      <c r="G1325" s="1" t="s">
        <v>3762</v>
      </c>
      <c r="H1325" s="1">
        <v>156</v>
      </c>
      <c r="I1325" s="1" t="s">
        <v>40</v>
      </c>
      <c r="J1325" s="1">
        <v>5.0999999999999996</v>
      </c>
      <c r="K1325" s="1">
        <v>77.7</v>
      </c>
      <c r="L1325" s="1" t="s">
        <v>41</v>
      </c>
      <c r="M1325" s="1" t="s">
        <v>42</v>
      </c>
      <c r="N1325" s="1" t="s">
        <v>86</v>
      </c>
      <c r="O1325" s="1"/>
      <c r="P1325" s="1">
        <v>89</v>
      </c>
      <c r="Q1325" s="1">
        <v>427.2</v>
      </c>
      <c r="R1325" s="8" t="str">
        <f>_xlfn.IFS(J1325&gt;=8,"Hit",J1325&gt;=6,"Average",J1325&lt;6,"Flop")</f>
        <v>Flop</v>
      </c>
      <c r="S1325" s="9" t="str">
        <f>_xlfn.IFS(K1325&gt;=400,"Blockbuster",K1325&gt;=200,"Popular",K1325&lt;200,"Normal")</f>
        <v>Normal</v>
      </c>
      <c r="T1325" s="10" t="str">
        <f>IF(OR(I1325="PG",I1325="G"),"Yes","No")</f>
        <v>Yes</v>
      </c>
      <c r="U1325" s="11" t="str">
        <f>IF(P1325&gt;=100,"High","Low")</f>
        <v>Low</v>
      </c>
      <c r="V1325" s="28">
        <f t="shared" si="40"/>
        <v>338.2</v>
      </c>
      <c r="W1325" s="29">
        <f t="shared" si="41"/>
        <v>480</v>
      </c>
    </row>
    <row r="1326" spans="1:23" x14ac:dyDescent="0.3">
      <c r="A1326" s="1" t="s">
        <v>3763</v>
      </c>
      <c r="B1326" s="1" t="s">
        <v>3764</v>
      </c>
      <c r="C1326" s="1" t="s">
        <v>46</v>
      </c>
      <c r="D1326" s="1" t="s">
        <v>58</v>
      </c>
      <c r="E1326" s="1">
        <v>2003</v>
      </c>
      <c r="F1326" s="1" t="s">
        <v>100</v>
      </c>
      <c r="G1326" s="1" t="s">
        <v>3765</v>
      </c>
      <c r="H1326" s="1">
        <v>51</v>
      </c>
      <c r="I1326" s="1" t="s">
        <v>40</v>
      </c>
      <c r="J1326" s="1">
        <v>7.5</v>
      </c>
      <c r="K1326" s="1">
        <v>381.1</v>
      </c>
      <c r="L1326" s="1" t="s">
        <v>71</v>
      </c>
      <c r="M1326" s="1" t="s">
        <v>111</v>
      </c>
      <c r="N1326" s="1" t="s">
        <v>43</v>
      </c>
      <c r="O1326" s="1">
        <v>5</v>
      </c>
      <c r="P1326" s="1">
        <v>176</v>
      </c>
      <c r="Q1326" s="1">
        <v>873.6</v>
      </c>
      <c r="R1326" s="8" t="str">
        <f>_xlfn.IFS(J1326&gt;=8,"Hit",J1326&gt;=6,"Average",J1326&lt;6,"Flop")</f>
        <v>Average</v>
      </c>
      <c r="S1326" s="9" t="str">
        <f>_xlfn.IFS(K1326&gt;=400,"Blockbuster",K1326&gt;=200,"Popular",K1326&lt;200,"Normal")</f>
        <v>Popular</v>
      </c>
      <c r="T1326" s="10" t="str">
        <f>IF(OR(I1326="PG",I1326="G"),"Yes","No")</f>
        <v>Yes</v>
      </c>
      <c r="U1326" s="11" t="str">
        <f>IF(P1326&gt;=100,"High","Low")</f>
        <v>High</v>
      </c>
      <c r="V1326" s="28">
        <f t="shared" si="40"/>
        <v>697.6</v>
      </c>
      <c r="W1326" s="29">
        <f t="shared" si="41"/>
        <v>496.36363636363637</v>
      </c>
    </row>
    <row r="1327" spans="1:23" x14ac:dyDescent="0.3">
      <c r="A1327" s="1" t="s">
        <v>3766</v>
      </c>
      <c r="B1327" s="1" t="s">
        <v>3767</v>
      </c>
      <c r="C1327" s="1" t="s">
        <v>46</v>
      </c>
      <c r="D1327" s="1" t="s">
        <v>117</v>
      </c>
      <c r="E1327" s="1">
        <v>2012</v>
      </c>
      <c r="F1327" s="1" t="s">
        <v>95</v>
      </c>
      <c r="G1327" s="1" t="s">
        <v>2264</v>
      </c>
      <c r="H1327" s="1">
        <v>45</v>
      </c>
      <c r="I1327" s="1" t="s">
        <v>50</v>
      </c>
      <c r="J1327" s="1">
        <v>5.3</v>
      </c>
      <c r="K1327" s="1">
        <v>218.4</v>
      </c>
      <c r="L1327" s="1" t="s">
        <v>65</v>
      </c>
      <c r="M1327" s="1" t="s">
        <v>72</v>
      </c>
      <c r="N1327" s="1" t="s">
        <v>67</v>
      </c>
      <c r="O1327" s="1">
        <v>1</v>
      </c>
      <c r="P1327" s="1">
        <v>145</v>
      </c>
      <c r="Q1327" s="1">
        <v>690.2</v>
      </c>
      <c r="R1327" s="8" t="str">
        <f>_xlfn.IFS(J1327&gt;=8,"Hit",J1327&gt;=6,"Average",J1327&lt;6,"Flop")</f>
        <v>Flop</v>
      </c>
      <c r="S1327" s="9" t="str">
        <f>_xlfn.IFS(K1327&gt;=400,"Blockbuster",K1327&gt;=200,"Popular",K1327&lt;200,"Normal")</f>
        <v>Popular</v>
      </c>
      <c r="T1327" s="10" t="str">
        <f>IF(OR(I1327="PG",I1327="G"),"Yes","No")</f>
        <v>Yes</v>
      </c>
      <c r="U1327" s="11" t="str">
        <f>IF(P1327&gt;=100,"High","Low")</f>
        <v>High</v>
      </c>
      <c r="V1327" s="28">
        <f t="shared" si="40"/>
        <v>545.20000000000005</v>
      </c>
      <c r="W1327" s="29">
        <f t="shared" si="41"/>
        <v>476.00000000000006</v>
      </c>
    </row>
    <row r="1328" spans="1:23" x14ac:dyDescent="0.3">
      <c r="A1328" s="1" t="s">
        <v>3768</v>
      </c>
      <c r="B1328" s="1" t="s">
        <v>3769</v>
      </c>
      <c r="C1328" s="1" t="s">
        <v>18</v>
      </c>
      <c r="D1328" s="1" t="s">
        <v>94</v>
      </c>
      <c r="E1328" s="1">
        <v>2019</v>
      </c>
      <c r="F1328" s="1" t="s">
        <v>122</v>
      </c>
      <c r="G1328" s="1" t="s">
        <v>2858</v>
      </c>
      <c r="H1328" s="1">
        <v>99</v>
      </c>
      <c r="I1328" s="1" t="s">
        <v>110</v>
      </c>
      <c r="J1328" s="1">
        <v>7</v>
      </c>
      <c r="K1328" s="1">
        <v>281.3</v>
      </c>
      <c r="L1328" s="1" t="s">
        <v>171</v>
      </c>
      <c r="M1328" s="1" t="s">
        <v>85</v>
      </c>
      <c r="N1328" s="1" t="s">
        <v>128</v>
      </c>
      <c r="O1328" s="1"/>
      <c r="P1328" s="1">
        <v>25</v>
      </c>
      <c r="Q1328" s="1">
        <v>103.6</v>
      </c>
      <c r="R1328" s="8" t="str">
        <f>_xlfn.IFS(J1328&gt;=8,"Hit",J1328&gt;=6,"Average",J1328&lt;6,"Flop")</f>
        <v>Average</v>
      </c>
      <c r="S1328" s="9" t="str">
        <f>_xlfn.IFS(K1328&gt;=400,"Blockbuster",K1328&gt;=200,"Popular",K1328&lt;200,"Normal")</f>
        <v>Popular</v>
      </c>
      <c r="T1328" s="10" t="str">
        <f>IF(OR(I1328="PG",I1328="G"),"Yes","No")</f>
        <v>No</v>
      </c>
      <c r="U1328" s="11" t="str">
        <f>IF(P1328&gt;=100,"High","Low")</f>
        <v>Low</v>
      </c>
      <c r="V1328" s="28">
        <f t="shared" si="40"/>
        <v>78.599999999999994</v>
      </c>
      <c r="W1328" s="29">
        <f t="shared" si="41"/>
        <v>414.40000000000003</v>
      </c>
    </row>
    <row r="1329" spans="1:23" x14ac:dyDescent="0.3">
      <c r="A1329" s="1" t="s">
        <v>3770</v>
      </c>
      <c r="B1329" s="1" t="s">
        <v>3771</v>
      </c>
      <c r="C1329" s="1" t="s">
        <v>46</v>
      </c>
      <c r="D1329" s="1" t="s">
        <v>37</v>
      </c>
      <c r="E1329" s="1">
        <v>2024</v>
      </c>
      <c r="F1329" s="1" t="s">
        <v>29</v>
      </c>
      <c r="G1329" s="1" t="s">
        <v>3772</v>
      </c>
      <c r="H1329" s="1">
        <v>44</v>
      </c>
      <c r="I1329" s="1" t="s">
        <v>110</v>
      </c>
      <c r="J1329" s="1">
        <v>9.5</v>
      </c>
      <c r="K1329" s="1">
        <v>142.9</v>
      </c>
      <c r="L1329" s="1" t="s">
        <v>23</v>
      </c>
      <c r="M1329" s="1" t="s">
        <v>66</v>
      </c>
      <c r="N1329" s="1" t="s">
        <v>55</v>
      </c>
      <c r="O1329" s="1">
        <v>8</v>
      </c>
      <c r="P1329" s="1">
        <v>150</v>
      </c>
      <c r="Q1329" s="1">
        <v>369.6</v>
      </c>
      <c r="R1329" s="8" t="str">
        <f>_xlfn.IFS(J1329&gt;=8,"Hit",J1329&gt;=6,"Average",J1329&lt;6,"Flop")</f>
        <v>Hit</v>
      </c>
      <c r="S1329" s="9" t="str">
        <f>_xlfn.IFS(K1329&gt;=400,"Blockbuster",K1329&gt;=200,"Popular",K1329&lt;200,"Normal")</f>
        <v>Normal</v>
      </c>
      <c r="T1329" s="10" t="str">
        <f>IF(OR(I1329="PG",I1329="G"),"Yes","No")</f>
        <v>No</v>
      </c>
      <c r="U1329" s="11" t="str">
        <f>IF(P1329&gt;=100,"High","Low")</f>
        <v>High</v>
      </c>
      <c r="V1329" s="28">
        <f t="shared" si="40"/>
        <v>219.60000000000002</v>
      </c>
      <c r="W1329" s="29">
        <f t="shared" si="41"/>
        <v>246.4</v>
      </c>
    </row>
    <row r="1330" spans="1:23" x14ac:dyDescent="0.3">
      <c r="A1330" s="1" t="s">
        <v>3773</v>
      </c>
      <c r="B1330" s="1" t="s">
        <v>3774</v>
      </c>
      <c r="C1330" s="1" t="s">
        <v>18</v>
      </c>
      <c r="D1330" s="1" t="s">
        <v>94</v>
      </c>
      <c r="E1330" s="1">
        <v>2002</v>
      </c>
      <c r="F1330" s="1" t="s">
        <v>95</v>
      </c>
      <c r="G1330" s="1" t="s">
        <v>2947</v>
      </c>
      <c r="H1330" s="1">
        <v>145</v>
      </c>
      <c r="I1330" s="1" t="s">
        <v>40</v>
      </c>
      <c r="J1330" s="1">
        <v>8.8000000000000007</v>
      </c>
      <c r="K1330" s="1">
        <v>395.3</v>
      </c>
      <c r="L1330" s="1" t="s">
        <v>65</v>
      </c>
      <c r="M1330" s="1" t="s">
        <v>85</v>
      </c>
      <c r="N1330" s="1" t="s">
        <v>158</v>
      </c>
      <c r="O1330" s="1"/>
      <c r="P1330" s="1">
        <v>164</v>
      </c>
      <c r="Q1330" s="1">
        <v>252.5</v>
      </c>
      <c r="R1330" s="8" t="str">
        <f>_xlfn.IFS(J1330&gt;=8,"Hit",J1330&gt;=6,"Average",J1330&lt;6,"Flop")</f>
        <v>Hit</v>
      </c>
      <c r="S1330" s="9" t="str">
        <f>_xlfn.IFS(K1330&gt;=400,"Blockbuster",K1330&gt;=200,"Popular",K1330&lt;200,"Normal")</f>
        <v>Popular</v>
      </c>
      <c r="T1330" s="10" t="str">
        <f>IF(OR(I1330="PG",I1330="G"),"Yes","No")</f>
        <v>Yes</v>
      </c>
      <c r="U1330" s="11" t="str">
        <f>IF(P1330&gt;=100,"High","Low")</f>
        <v>High</v>
      </c>
      <c r="V1330" s="28">
        <f t="shared" si="40"/>
        <v>88.5</v>
      </c>
      <c r="W1330" s="29">
        <f t="shared" si="41"/>
        <v>153.96341463414635</v>
      </c>
    </row>
    <row r="1331" spans="1:23" x14ac:dyDescent="0.3">
      <c r="A1331" s="1" t="s">
        <v>3775</v>
      </c>
      <c r="B1331" s="1" t="s">
        <v>3776</v>
      </c>
      <c r="C1331" s="1" t="s">
        <v>46</v>
      </c>
      <c r="D1331" s="1" t="s">
        <v>117</v>
      </c>
      <c r="E1331" s="1">
        <v>2020</v>
      </c>
      <c r="F1331" s="1" t="s">
        <v>20</v>
      </c>
      <c r="G1331" s="1" t="s">
        <v>3777</v>
      </c>
      <c r="H1331" s="1">
        <v>54</v>
      </c>
      <c r="I1331" s="1" t="s">
        <v>50</v>
      </c>
      <c r="J1331" s="1">
        <v>7.8</v>
      </c>
      <c r="K1331" s="1">
        <v>113</v>
      </c>
      <c r="L1331" s="1" t="s">
        <v>41</v>
      </c>
      <c r="M1331" s="1" t="s">
        <v>42</v>
      </c>
      <c r="N1331" s="1" t="s">
        <v>86</v>
      </c>
      <c r="O1331" s="1">
        <v>2</v>
      </c>
      <c r="P1331" s="1">
        <v>126</v>
      </c>
      <c r="Q1331" s="1">
        <v>342.4</v>
      </c>
      <c r="R1331" s="8" t="str">
        <f>_xlfn.IFS(J1331&gt;=8,"Hit",J1331&gt;=6,"Average",J1331&lt;6,"Flop")</f>
        <v>Average</v>
      </c>
      <c r="S1331" s="9" t="str">
        <f>_xlfn.IFS(K1331&gt;=400,"Blockbuster",K1331&gt;=200,"Popular",K1331&lt;200,"Normal")</f>
        <v>Normal</v>
      </c>
      <c r="T1331" s="10" t="str">
        <f>IF(OR(I1331="PG",I1331="G"),"Yes","No")</f>
        <v>Yes</v>
      </c>
      <c r="U1331" s="11" t="str">
        <f>IF(P1331&gt;=100,"High","Low")</f>
        <v>High</v>
      </c>
      <c r="V1331" s="28">
        <f t="shared" si="40"/>
        <v>216.39999999999998</v>
      </c>
      <c r="W1331" s="29">
        <f t="shared" si="41"/>
        <v>271.74603174603169</v>
      </c>
    </row>
    <row r="1332" spans="1:23" x14ac:dyDescent="0.3">
      <c r="A1332" s="1" t="s">
        <v>3778</v>
      </c>
      <c r="B1332" s="1" t="s">
        <v>3779</v>
      </c>
      <c r="C1332" s="1" t="s">
        <v>46</v>
      </c>
      <c r="D1332" s="1" t="s">
        <v>141</v>
      </c>
      <c r="E1332" s="1">
        <v>2018</v>
      </c>
      <c r="F1332" s="1" t="s">
        <v>76</v>
      </c>
      <c r="G1332" s="1" t="s">
        <v>2712</v>
      </c>
      <c r="H1332" s="1">
        <v>31</v>
      </c>
      <c r="I1332" s="1" t="s">
        <v>50</v>
      </c>
      <c r="J1332" s="1">
        <v>5.9</v>
      </c>
      <c r="K1332" s="1">
        <v>387.5</v>
      </c>
      <c r="L1332" s="1" t="s">
        <v>32</v>
      </c>
      <c r="M1332" s="1" t="s">
        <v>106</v>
      </c>
      <c r="N1332" s="1" t="s">
        <v>34</v>
      </c>
      <c r="O1332" s="1">
        <v>2</v>
      </c>
      <c r="P1332" s="1">
        <v>49</v>
      </c>
      <c r="Q1332" s="1">
        <v>210.2</v>
      </c>
      <c r="R1332" s="8" t="str">
        <f>_xlfn.IFS(J1332&gt;=8,"Hit",J1332&gt;=6,"Average",J1332&lt;6,"Flop")</f>
        <v>Flop</v>
      </c>
      <c r="S1332" s="9" t="str">
        <f>_xlfn.IFS(K1332&gt;=400,"Blockbuster",K1332&gt;=200,"Popular",K1332&lt;200,"Normal")</f>
        <v>Popular</v>
      </c>
      <c r="T1332" s="10" t="str">
        <f>IF(OR(I1332="PG",I1332="G"),"Yes","No")</f>
        <v>Yes</v>
      </c>
      <c r="U1332" s="11" t="str">
        <f>IF(P1332&gt;=100,"High","Low")</f>
        <v>Low</v>
      </c>
      <c r="V1332" s="28">
        <f t="shared" si="40"/>
        <v>161.19999999999999</v>
      </c>
      <c r="W1332" s="29">
        <f t="shared" si="41"/>
        <v>428.97959183673464</v>
      </c>
    </row>
    <row r="1333" spans="1:23" x14ac:dyDescent="0.3">
      <c r="A1333" s="1" t="s">
        <v>3780</v>
      </c>
      <c r="B1333" s="1" t="s">
        <v>3781</v>
      </c>
      <c r="C1333" s="1" t="s">
        <v>18</v>
      </c>
      <c r="D1333" s="1" t="s">
        <v>82</v>
      </c>
      <c r="E1333" s="1">
        <v>2016</v>
      </c>
      <c r="F1333" s="1" t="s">
        <v>95</v>
      </c>
      <c r="G1333" s="1" t="s">
        <v>1933</v>
      </c>
      <c r="H1333" s="1">
        <v>87</v>
      </c>
      <c r="I1333" s="1" t="s">
        <v>110</v>
      </c>
      <c r="J1333" s="1">
        <v>5.9</v>
      </c>
      <c r="K1333" s="1">
        <v>339.8</v>
      </c>
      <c r="L1333" s="1" t="s">
        <v>23</v>
      </c>
      <c r="M1333" s="1" t="s">
        <v>111</v>
      </c>
      <c r="N1333" s="1" t="s">
        <v>67</v>
      </c>
      <c r="O1333" s="1"/>
      <c r="P1333" s="1">
        <v>144</v>
      </c>
      <c r="Q1333" s="1">
        <v>684.1</v>
      </c>
      <c r="R1333" s="8" t="str">
        <f>_xlfn.IFS(J1333&gt;=8,"Hit",J1333&gt;=6,"Average",J1333&lt;6,"Flop")</f>
        <v>Flop</v>
      </c>
      <c r="S1333" s="9" t="str">
        <f>_xlfn.IFS(K1333&gt;=400,"Blockbuster",K1333&gt;=200,"Popular",K1333&lt;200,"Normal")</f>
        <v>Popular</v>
      </c>
      <c r="T1333" s="10" t="str">
        <f>IF(OR(I1333="PG",I1333="G"),"Yes","No")</f>
        <v>No</v>
      </c>
      <c r="U1333" s="11" t="str">
        <f>IF(P1333&gt;=100,"High","Low")</f>
        <v>High</v>
      </c>
      <c r="V1333" s="28">
        <f t="shared" si="40"/>
        <v>540.1</v>
      </c>
      <c r="W1333" s="29">
        <f t="shared" si="41"/>
        <v>475.06944444444451</v>
      </c>
    </row>
    <row r="1334" spans="1:23" x14ac:dyDescent="0.3">
      <c r="A1334" s="1" t="s">
        <v>3782</v>
      </c>
      <c r="B1334" s="1" t="s">
        <v>3783</v>
      </c>
      <c r="C1334" s="1" t="s">
        <v>46</v>
      </c>
      <c r="D1334" s="1" t="s">
        <v>58</v>
      </c>
      <c r="E1334" s="1">
        <v>2023</v>
      </c>
      <c r="F1334" s="1" t="s">
        <v>20</v>
      </c>
      <c r="G1334" s="1" t="s">
        <v>3622</v>
      </c>
      <c r="H1334" s="1">
        <v>35</v>
      </c>
      <c r="I1334" s="1" t="s">
        <v>110</v>
      </c>
      <c r="J1334" s="1">
        <v>8.8000000000000007</v>
      </c>
      <c r="K1334" s="1">
        <v>9.8000000000000007</v>
      </c>
      <c r="L1334" s="1" t="s">
        <v>32</v>
      </c>
      <c r="M1334" s="1" t="s">
        <v>78</v>
      </c>
      <c r="N1334" s="1" t="s">
        <v>60</v>
      </c>
      <c r="O1334" s="1">
        <v>1</v>
      </c>
      <c r="P1334" s="1">
        <v>102</v>
      </c>
      <c r="Q1334" s="1">
        <v>160.1</v>
      </c>
      <c r="R1334" s="8" t="str">
        <f>_xlfn.IFS(J1334&gt;=8,"Hit",J1334&gt;=6,"Average",J1334&lt;6,"Flop")</f>
        <v>Hit</v>
      </c>
      <c r="S1334" s="9" t="str">
        <f>_xlfn.IFS(K1334&gt;=400,"Blockbuster",K1334&gt;=200,"Popular",K1334&lt;200,"Normal")</f>
        <v>Normal</v>
      </c>
      <c r="T1334" s="10" t="str">
        <f>IF(OR(I1334="PG",I1334="G"),"Yes","No")</f>
        <v>No</v>
      </c>
      <c r="U1334" s="11" t="str">
        <f>IF(P1334&gt;=100,"High","Low")</f>
        <v>High</v>
      </c>
      <c r="V1334" s="28">
        <f t="shared" si="40"/>
        <v>58.099999999999994</v>
      </c>
      <c r="W1334" s="29">
        <f t="shared" si="41"/>
        <v>156.9607843137255</v>
      </c>
    </row>
    <row r="1335" spans="1:23" x14ac:dyDescent="0.3">
      <c r="A1335" s="1" t="s">
        <v>3784</v>
      </c>
      <c r="B1335" s="1" t="s">
        <v>3785</v>
      </c>
      <c r="C1335" s="1" t="s">
        <v>46</v>
      </c>
      <c r="D1335" s="1" t="s">
        <v>75</v>
      </c>
      <c r="E1335" s="1">
        <v>2006</v>
      </c>
      <c r="F1335" s="1" t="s">
        <v>122</v>
      </c>
      <c r="G1335" s="1" t="s">
        <v>3469</v>
      </c>
      <c r="H1335" s="1">
        <v>32</v>
      </c>
      <c r="I1335" s="1" t="s">
        <v>50</v>
      </c>
      <c r="J1335" s="1">
        <v>5.0999999999999996</v>
      </c>
      <c r="K1335" s="1">
        <v>334.7</v>
      </c>
      <c r="L1335" s="1" t="s">
        <v>41</v>
      </c>
      <c r="M1335" s="1" t="s">
        <v>85</v>
      </c>
      <c r="N1335" s="1" t="s">
        <v>25</v>
      </c>
      <c r="O1335" s="1">
        <v>2</v>
      </c>
      <c r="P1335" s="1">
        <v>172</v>
      </c>
      <c r="Q1335" s="1">
        <v>1049.0999999999999</v>
      </c>
      <c r="R1335" s="8" t="str">
        <f>_xlfn.IFS(J1335&gt;=8,"Hit",J1335&gt;=6,"Average",J1335&lt;6,"Flop")</f>
        <v>Flop</v>
      </c>
      <c r="S1335" s="9" t="str">
        <f>_xlfn.IFS(K1335&gt;=400,"Blockbuster",K1335&gt;=200,"Popular",K1335&lt;200,"Normal")</f>
        <v>Popular</v>
      </c>
      <c r="T1335" s="10" t="str">
        <f>IF(OR(I1335="PG",I1335="G"),"Yes","No")</f>
        <v>Yes</v>
      </c>
      <c r="U1335" s="11" t="str">
        <f>IF(P1335&gt;=100,"High","Low")</f>
        <v>High</v>
      </c>
      <c r="V1335" s="28">
        <f t="shared" si="40"/>
        <v>877.09999999999991</v>
      </c>
      <c r="W1335" s="29">
        <f t="shared" si="41"/>
        <v>609.94186046511618</v>
      </c>
    </row>
    <row r="1336" spans="1:23" x14ac:dyDescent="0.3">
      <c r="A1336" s="1" t="s">
        <v>3786</v>
      </c>
      <c r="B1336" s="1" t="s">
        <v>3787</v>
      </c>
      <c r="C1336" s="1" t="s">
        <v>46</v>
      </c>
      <c r="D1336" s="1" t="s">
        <v>63</v>
      </c>
      <c r="E1336" s="1">
        <v>2004</v>
      </c>
      <c r="F1336" s="1" t="s">
        <v>20</v>
      </c>
      <c r="G1336" s="1" t="s">
        <v>1930</v>
      </c>
      <c r="H1336" s="1">
        <v>31</v>
      </c>
      <c r="I1336" s="1" t="s">
        <v>40</v>
      </c>
      <c r="J1336" s="1">
        <v>6.2</v>
      </c>
      <c r="K1336" s="1">
        <v>211.1</v>
      </c>
      <c r="L1336" s="1" t="s">
        <v>71</v>
      </c>
      <c r="M1336" s="1" t="s">
        <v>33</v>
      </c>
      <c r="N1336" s="1" t="s">
        <v>86</v>
      </c>
      <c r="O1336" s="1">
        <v>8</v>
      </c>
      <c r="P1336" s="1">
        <v>165</v>
      </c>
      <c r="Q1336" s="1">
        <v>701.2</v>
      </c>
      <c r="R1336" s="8" t="str">
        <f>_xlfn.IFS(J1336&gt;=8,"Hit",J1336&gt;=6,"Average",J1336&lt;6,"Flop")</f>
        <v>Average</v>
      </c>
      <c r="S1336" s="9" t="str">
        <f>_xlfn.IFS(K1336&gt;=400,"Blockbuster",K1336&gt;=200,"Popular",K1336&lt;200,"Normal")</f>
        <v>Popular</v>
      </c>
      <c r="T1336" s="10" t="str">
        <f>IF(OR(I1336="PG",I1336="G"),"Yes","No")</f>
        <v>Yes</v>
      </c>
      <c r="U1336" s="11" t="str">
        <f>IF(P1336&gt;=100,"High","Low")</f>
        <v>High</v>
      </c>
      <c r="V1336" s="28">
        <f t="shared" si="40"/>
        <v>536.20000000000005</v>
      </c>
      <c r="W1336" s="29">
        <f t="shared" si="41"/>
        <v>424.969696969697</v>
      </c>
    </row>
    <row r="1337" spans="1:23" x14ac:dyDescent="0.3">
      <c r="A1337" s="1" t="s">
        <v>3788</v>
      </c>
      <c r="B1337" s="1" t="s">
        <v>3789</v>
      </c>
      <c r="C1337" s="1" t="s">
        <v>46</v>
      </c>
      <c r="D1337" s="1" t="s">
        <v>63</v>
      </c>
      <c r="E1337" s="1">
        <v>2024</v>
      </c>
      <c r="F1337" s="1" t="s">
        <v>83</v>
      </c>
      <c r="G1337" s="1" t="s">
        <v>3790</v>
      </c>
      <c r="H1337" s="1">
        <v>33</v>
      </c>
      <c r="I1337" s="1" t="s">
        <v>110</v>
      </c>
      <c r="J1337" s="1">
        <v>7.8</v>
      </c>
      <c r="K1337" s="1">
        <v>353.3</v>
      </c>
      <c r="L1337" s="1" t="s">
        <v>32</v>
      </c>
      <c r="M1337" s="1" t="s">
        <v>33</v>
      </c>
      <c r="N1337" s="1" t="s">
        <v>55</v>
      </c>
      <c r="O1337" s="1">
        <v>3</v>
      </c>
      <c r="P1337" s="1">
        <v>123</v>
      </c>
      <c r="Q1337" s="1">
        <v>585</v>
      </c>
      <c r="R1337" s="8" t="str">
        <f>_xlfn.IFS(J1337&gt;=8,"Hit",J1337&gt;=6,"Average",J1337&lt;6,"Flop")</f>
        <v>Average</v>
      </c>
      <c r="S1337" s="9" t="str">
        <f>_xlfn.IFS(K1337&gt;=400,"Blockbuster",K1337&gt;=200,"Popular",K1337&lt;200,"Normal")</f>
        <v>Popular</v>
      </c>
      <c r="T1337" s="10" t="str">
        <f>IF(OR(I1337="PG",I1337="G"),"Yes","No")</f>
        <v>No</v>
      </c>
      <c r="U1337" s="11" t="str">
        <f>IF(P1337&gt;=100,"High","Low")</f>
        <v>High</v>
      </c>
      <c r="V1337" s="28">
        <f t="shared" si="40"/>
        <v>462</v>
      </c>
      <c r="W1337" s="29">
        <f t="shared" si="41"/>
        <v>475.60975609756093</v>
      </c>
    </row>
    <row r="1338" spans="1:23" x14ac:dyDescent="0.3">
      <c r="A1338" s="1" t="s">
        <v>3791</v>
      </c>
      <c r="B1338" s="1" t="s">
        <v>3792</v>
      </c>
      <c r="C1338" s="1" t="s">
        <v>18</v>
      </c>
      <c r="D1338" s="1" t="s">
        <v>58</v>
      </c>
      <c r="E1338" s="1">
        <v>2006</v>
      </c>
      <c r="F1338" s="1" t="s">
        <v>83</v>
      </c>
      <c r="G1338" s="1" t="s">
        <v>3793</v>
      </c>
      <c r="H1338" s="1">
        <v>100</v>
      </c>
      <c r="I1338" s="1" t="s">
        <v>31</v>
      </c>
      <c r="J1338" s="1">
        <v>5.5</v>
      </c>
      <c r="K1338" s="1">
        <v>218.3</v>
      </c>
      <c r="L1338" s="1" t="s">
        <v>41</v>
      </c>
      <c r="M1338" s="1" t="s">
        <v>66</v>
      </c>
      <c r="N1338" s="1" t="s">
        <v>153</v>
      </c>
      <c r="O1338" s="1"/>
      <c r="P1338" s="1">
        <v>196</v>
      </c>
      <c r="Q1338" s="1">
        <v>694.8</v>
      </c>
      <c r="R1338" s="8" t="str">
        <f>_xlfn.IFS(J1338&gt;=8,"Hit",J1338&gt;=6,"Average",J1338&lt;6,"Flop")</f>
        <v>Flop</v>
      </c>
      <c r="S1338" s="9" t="str">
        <f>_xlfn.IFS(K1338&gt;=400,"Blockbuster",K1338&gt;=200,"Popular",K1338&lt;200,"Normal")</f>
        <v>Popular</v>
      </c>
      <c r="T1338" s="10" t="str">
        <f>IF(OR(I1338="PG",I1338="G"),"Yes","No")</f>
        <v>No</v>
      </c>
      <c r="U1338" s="11" t="str">
        <f>IF(P1338&gt;=100,"High","Low")</f>
        <v>High</v>
      </c>
      <c r="V1338" s="28">
        <f t="shared" si="40"/>
        <v>498.79999999999995</v>
      </c>
      <c r="W1338" s="29">
        <f t="shared" si="41"/>
        <v>354.48979591836729</v>
      </c>
    </row>
    <row r="1339" spans="1:23" x14ac:dyDescent="0.3">
      <c r="A1339" s="1" t="s">
        <v>3794</v>
      </c>
      <c r="B1339" s="1" t="s">
        <v>3795</v>
      </c>
      <c r="C1339" s="1" t="s">
        <v>46</v>
      </c>
      <c r="D1339" s="1" t="s">
        <v>117</v>
      </c>
      <c r="E1339" s="1">
        <v>2002</v>
      </c>
      <c r="F1339" s="1" t="s">
        <v>122</v>
      </c>
      <c r="G1339" s="1" t="s">
        <v>1338</v>
      </c>
      <c r="H1339" s="1">
        <v>30</v>
      </c>
      <c r="I1339" s="1" t="s">
        <v>40</v>
      </c>
      <c r="J1339" s="1">
        <v>4.9000000000000004</v>
      </c>
      <c r="K1339" s="1">
        <v>275.8</v>
      </c>
      <c r="L1339" s="1" t="s">
        <v>32</v>
      </c>
      <c r="M1339" s="1" t="s">
        <v>97</v>
      </c>
      <c r="N1339" s="1" t="s">
        <v>91</v>
      </c>
      <c r="O1339" s="1">
        <v>1</v>
      </c>
      <c r="P1339" s="1">
        <v>66</v>
      </c>
      <c r="Q1339" s="1">
        <v>111.4</v>
      </c>
      <c r="R1339" s="8" t="str">
        <f>_xlfn.IFS(J1339&gt;=8,"Hit",J1339&gt;=6,"Average",J1339&lt;6,"Flop")</f>
        <v>Flop</v>
      </c>
      <c r="S1339" s="9" t="str">
        <f>_xlfn.IFS(K1339&gt;=400,"Blockbuster",K1339&gt;=200,"Popular",K1339&lt;200,"Normal")</f>
        <v>Popular</v>
      </c>
      <c r="T1339" s="10" t="str">
        <f>IF(OR(I1339="PG",I1339="G"),"Yes","No")</f>
        <v>Yes</v>
      </c>
      <c r="U1339" s="11" t="str">
        <f>IF(P1339&gt;=100,"High","Low")</f>
        <v>Low</v>
      </c>
      <c r="V1339" s="28">
        <f t="shared" si="40"/>
        <v>45.400000000000006</v>
      </c>
      <c r="W1339" s="29">
        <f t="shared" si="41"/>
        <v>168.78787878787881</v>
      </c>
    </row>
    <row r="1340" spans="1:23" x14ac:dyDescent="0.3">
      <c r="A1340" s="1" t="s">
        <v>3796</v>
      </c>
      <c r="B1340" s="1" t="s">
        <v>3797</v>
      </c>
      <c r="C1340" s="1" t="s">
        <v>18</v>
      </c>
      <c r="D1340" s="1" t="s">
        <v>117</v>
      </c>
      <c r="E1340" s="1">
        <v>2023</v>
      </c>
      <c r="F1340" s="1" t="s">
        <v>83</v>
      </c>
      <c r="G1340" s="1" t="s">
        <v>870</v>
      </c>
      <c r="H1340" s="1">
        <v>130</v>
      </c>
      <c r="I1340" s="1" t="s">
        <v>40</v>
      </c>
      <c r="J1340" s="1">
        <v>6.1</v>
      </c>
      <c r="K1340" s="1">
        <v>65.599999999999994</v>
      </c>
      <c r="L1340" s="1" t="s">
        <v>71</v>
      </c>
      <c r="M1340" s="1" t="s">
        <v>132</v>
      </c>
      <c r="N1340" s="1" t="s">
        <v>25</v>
      </c>
      <c r="O1340" s="1"/>
      <c r="P1340" s="1">
        <v>108</v>
      </c>
      <c r="Q1340" s="1">
        <v>448.8</v>
      </c>
      <c r="R1340" s="8" t="str">
        <f>_xlfn.IFS(J1340&gt;=8,"Hit",J1340&gt;=6,"Average",J1340&lt;6,"Flop")</f>
        <v>Average</v>
      </c>
      <c r="S1340" s="9" t="str">
        <f>_xlfn.IFS(K1340&gt;=400,"Blockbuster",K1340&gt;=200,"Popular",K1340&lt;200,"Normal")</f>
        <v>Normal</v>
      </c>
      <c r="T1340" s="10" t="str">
        <f>IF(OR(I1340="PG",I1340="G"),"Yes","No")</f>
        <v>Yes</v>
      </c>
      <c r="U1340" s="11" t="str">
        <f>IF(P1340&gt;=100,"High","Low")</f>
        <v>High</v>
      </c>
      <c r="V1340" s="28">
        <f t="shared" si="40"/>
        <v>340.8</v>
      </c>
      <c r="W1340" s="29">
        <f t="shared" si="41"/>
        <v>415.5555555555556</v>
      </c>
    </row>
    <row r="1341" spans="1:23" x14ac:dyDescent="0.3">
      <c r="A1341" s="1" t="s">
        <v>3798</v>
      </c>
      <c r="B1341" s="1" t="s">
        <v>3799</v>
      </c>
      <c r="C1341" s="1" t="s">
        <v>46</v>
      </c>
      <c r="D1341" s="1" t="s">
        <v>47</v>
      </c>
      <c r="E1341" s="1">
        <v>2019</v>
      </c>
      <c r="F1341" s="1" t="s">
        <v>38</v>
      </c>
      <c r="G1341" s="1" t="s">
        <v>3800</v>
      </c>
      <c r="H1341" s="1">
        <v>50</v>
      </c>
      <c r="I1341" s="1" t="s">
        <v>110</v>
      </c>
      <c r="J1341" s="1">
        <v>5.7</v>
      </c>
      <c r="K1341" s="1">
        <v>253.2</v>
      </c>
      <c r="L1341" s="1" t="s">
        <v>171</v>
      </c>
      <c r="M1341" s="1" t="s">
        <v>66</v>
      </c>
      <c r="N1341" s="1" t="s">
        <v>86</v>
      </c>
      <c r="O1341" s="1">
        <v>4</v>
      </c>
      <c r="P1341" s="1">
        <v>128</v>
      </c>
      <c r="Q1341" s="1">
        <v>213.8</v>
      </c>
      <c r="R1341" s="8" t="str">
        <f>_xlfn.IFS(J1341&gt;=8,"Hit",J1341&gt;=6,"Average",J1341&lt;6,"Flop")</f>
        <v>Flop</v>
      </c>
      <c r="S1341" s="9" t="str">
        <f>_xlfn.IFS(K1341&gt;=400,"Blockbuster",K1341&gt;=200,"Popular",K1341&lt;200,"Normal")</f>
        <v>Popular</v>
      </c>
      <c r="T1341" s="10" t="str">
        <f>IF(OR(I1341="PG",I1341="G"),"Yes","No")</f>
        <v>No</v>
      </c>
      <c r="U1341" s="11" t="str">
        <f>IF(P1341&gt;=100,"High","Low")</f>
        <v>High</v>
      </c>
      <c r="V1341" s="28">
        <f t="shared" si="40"/>
        <v>85.800000000000011</v>
      </c>
      <c r="W1341" s="29">
        <f t="shared" si="41"/>
        <v>167.03125</v>
      </c>
    </row>
    <row r="1342" spans="1:23" x14ac:dyDescent="0.3">
      <c r="A1342" s="1" t="s">
        <v>3801</v>
      </c>
      <c r="B1342" s="1" t="s">
        <v>3802</v>
      </c>
      <c r="C1342" s="1" t="s">
        <v>18</v>
      </c>
      <c r="D1342" s="1" t="s">
        <v>19</v>
      </c>
      <c r="E1342" s="1">
        <v>2022</v>
      </c>
      <c r="F1342" s="1" t="s">
        <v>181</v>
      </c>
      <c r="G1342" s="1" t="s">
        <v>3803</v>
      </c>
      <c r="H1342" s="1">
        <v>158</v>
      </c>
      <c r="I1342" s="1" t="s">
        <v>110</v>
      </c>
      <c r="J1342" s="1">
        <v>8.6999999999999993</v>
      </c>
      <c r="K1342" s="1">
        <v>318.60000000000002</v>
      </c>
      <c r="L1342" s="1" t="s">
        <v>90</v>
      </c>
      <c r="M1342" s="1" t="s">
        <v>97</v>
      </c>
      <c r="N1342" s="1" t="s">
        <v>43</v>
      </c>
      <c r="O1342" s="1"/>
      <c r="P1342" s="1">
        <v>168</v>
      </c>
      <c r="Q1342" s="1">
        <v>405.9</v>
      </c>
      <c r="R1342" s="8" t="str">
        <f>_xlfn.IFS(J1342&gt;=8,"Hit",J1342&gt;=6,"Average",J1342&lt;6,"Flop")</f>
        <v>Hit</v>
      </c>
      <c r="S1342" s="9" t="str">
        <f>_xlfn.IFS(K1342&gt;=400,"Blockbuster",K1342&gt;=200,"Popular",K1342&lt;200,"Normal")</f>
        <v>Popular</v>
      </c>
      <c r="T1342" s="10" t="str">
        <f>IF(OR(I1342="PG",I1342="G"),"Yes","No")</f>
        <v>No</v>
      </c>
      <c r="U1342" s="11" t="str">
        <f>IF(P1342&gt;=100,"High","Low")</f>
        <v>High</v>
      </c>
      <c r="V1342" s="28">
        <f t="shared" si="40"/>
        <v>237.89999999999998</v>
      </c>
      <c r="W1342" s="29">
        <f t="shared" si="41"/>
        <v>241.60714285714286</v>
      </c>
    </row>
    <row r="1343" spans="1:23" x14ac:dyDescent="0.3">
      <c r="A1343" s="1" t="s">
        <v>3804</v>
      </c>
      <c r="B1343" s="1" t="s">
        <v>3805</v>
      </c>
      <c r="C1343" s="1" t="s">
        <v>46</v>
      </c>
      <c r="D1343" s="1" t="s">
        <v>82</v>
      </c>
      <c r="E1343" s="1">
        <v>2007</v>
      </c>
      <c r="F1343" s="1" t="s">
        <v>48</v>
      </c>
      <c r="G1343" s="1" t="s">
        <v>2830</v>
      </c>
      <c r="H1343" s="1">
        <v>55</v>
      </c>
      <c r="I1343" s="1" t="s">
        <v>22</v>
      </c>
      <c r="J1343" s="1">
        <v>5.7</v>
      </c>
      <c r="K1343" s="1">
        <v>18.7</v>
      </c>
      <c r="L1343" s="1" t="s">
        <v>65</v>
      </c>
      <c r="M1343" s="1" t="s">
        <v>85</v>
      </c>
      <c r="N1343" s="1" t="s">
        <v>158</v>
      </c>
      <c r="O1343" s="1">
        <v>7</v>
      </c>
      <c r="P1343" s="1">
        <v>134</v>
      </c>
      <c r="Q1343" s="1">
        <v>823.4</v>
      </c>
      <c r="R1343" s="8" t="str">
        <f>_xlfn.IFS(J1343&gt;=8,"Hit",J1343&gt;=6,"Average",J1343&lt;6,"Flop")</f>
        <v>Flop</v>
      </c>
      <c r="S1343" s="9" t="str">
        <f>_xlfn.IFS(K1343&gt;=400,"Blockbuster",K1343&gt;=200,"Popular",K1343&lt;200,"Normal")</f>
        <v>Normal</v>
      </c>
      <c r="T1343" s="10" t="str">
        <f>IF(OR(I1343="PG",I1343="G"),"Yes","No")</f>
        <v>No</v>
      </c>
      <c r="U1343" s="11" t="str">
        <f>IF(P1343&gt;=100,"High","Low")</f>
        <v>High</v>
      </c>
      <c r="V1343" s="28">
        <f t="shared" si="40"/>
        <v>689.4</v>
      </c>
      <c r="W1343" s="29">
        <f t="shared" si="41"/>
        <v>614.47761194029852</v>
      </c>
    </row>
    <row r="1344" spans="1:23" x14ac:dyDescent="0.3">
      <c r="A1344" s="1" t="s">
        <v>3806</v>
      </c>
      <c r="B1344" s="1" t="s">
        <v>3807</v>
      </c>
      <c r="C1344" s="1" t="s">
        <v>46</v>
      </c>
      <c r="D1344" s="1" t="s">
        <v>63</v>
      </c>
      <c r="E1344" s="1">
        <v>2009</v>
      </c>
      <c r="F1344" s="1" t="s">
        <v>83</v>
      </c>
      <c r="G1344" s="1" t="s">
        <v>3808</v>
      </c>
      <c r="H1344" s="1">
        <v>60</v>
      </c>
      <c r="I1344" s="1" t="s">
        <v>31</v>
      </c>
      <c r="J1344" s="1">
        <v>9.6</v>
      </c>
      <c r="K1344" s="1">
        <v>134.9</v>
      </c>
      <c r="L1344" s="1" t="s">
        <v>65</v>
      </c>
      <c r="M1344" s="1" t="s">
        <v>97</v>
      </c>
      <c r="N1344" s="1" t="s">
        <v>67</v>
      </c>
      <c r="O1344" s="1">
        <v>3</v>
      </c>
      <c r="P1344" s="1">
        <v>60</v>
      </c>
      <c r="Q1344" s="1">
        <v>115.8</v>
      </c>
      <c r="R1344" s="8" t="str">
        <f>_xlfn.IFS(J1344&gt;=8,"Hit",J1344&gt;=6,"Average",J1344&lt;6,"Flop")</f>
        <v>Hit</v>
      </c>
      <c r="S1344" s="9" t="str">
        <f>_xlfn.IFS(K1344&gt;=400,"Blockbuster",K1344&gt;=200,"Popular",K1344&lt;200,"Normal")</f>
        <v>Normal</v>
      </c>
      <c r="T1344" s="10" t="str">
        <f>IF(OR(I1344="PG",I1344="G"),"Yes","No")</f>
        <v>No</v>
      </c>
      <c r="U1344" s="11" t="str">
        <f>IF(P1344&gt;=100,"High","Low")</f>
        <v>Low</v>
      </c>
      <c r="V1344" s="28">
        <f t="shared" si="40"/>
        <v>55.8</v>
      </c>
      <c r="W1344" s="29">
        <f t="shared" si="41"/>
        <v>193</v>
      </c>
    </row>
    <row r="1345" spans="1:23" x14ac:dyDescent="0.3">
      <c r="A1345" s="1" t="s">
        <v>3809</v>
      </c>
      <c r="B1345" s="1" t="s">
        <v>3810</v>
      </c>
      <c r="C1345" s="1" t="s">
        <v>46</v>
      </c>
      <c r="D1345" s="1" t="s">
        <v>58</v>
      </c>
      <c r="E1345" s="1">
        <v>2001</v>
      </c>
      <c r="F1345" s="1" t="s">
        <v>95</v>
      </c>
      <c r="G1345" s="1" t="s">
        <v>3811</v>
      </c>
      <c r="H1345" s="1">
        <v>53</v>
      </c>
      <c r="I1345" s="1" t="s">
        <v>22</v>
      </c>
      <c r="J1345" s="1">
        <v>5.2</v>
      </c>
      <c r="K1345" s="1">
        <v>367</v>
      </c>
      <c r="L1345" s="1" t="s">
        <v>90</v>
      </c>
      <c r="M1345" s="1" t="s">
        <v>24</v>
      </c>
      <c r="N1345" s="1" t="s">
        <v>79</v>
      </c>
      <c r="O1345" s="1">
        <v>7</v>
      </c>
      <c r="P1345" s="1">
        <v>139</v>
      </c>
      <c r="Q1345" s="1">
        <v>754.3</v>
      </c>
      <c r="R1345" s="8" t="str">
        <f>_xlfn.IFS(J1345&gt;=8,"Hit",J1345&gt;=6,"Average",J1345&lt;6,"Flop")</f>
        <v>Flop</v>
      </c>
      <c r="S1345" s="9" t="str">
        <f>_xlfn.IFS(K1345&gt;=400,"Blockbuster",K1345&gt;=200,"Popular",K1345&lt;200,"Normal")</f>
        <v>Popular</v>
      </c>
      <c r="T1345" s="10" t="str">
        <f>IF(OR(I1345="PG",I1345="G"),"Yes","No")</f>
        <v>No</v>
      </c>
      <c r="U1345" s="11" t="str">
        <f>IF(P1345&gt;=100,"High","Low")</f>
        <v>High</v>
      </c>
      <c r="V1345" s="28">
        <f t="shared" si="40"/>
        <v>615.29999999999995</v>
      </c>
      <c r="W1345" s="29">
        <f t="shared" si="41"/>
        <v>542.66187050359713</v>
      </c>
    </row>
    <row r="1346" spans="1:23" x14ac:dyDescent="0.3">
      <c r="A1346" s="1" t="s">
        <v>3812</v>
      </c>
      <c r="B1346" s="1" t="s">
        <v>3813</v>
      </c>
      <c r="C1346" s="1" t="s">
        <v>18</v>
      </c>
      <c r="D1346" s="1" t="s">
        <v>19</v>
      </c>
      <c r="E1346" s="1">
        <v>2000</v>
      </c>
      <c r="F1346" s="1" t="s">
        <v>122</v>
      </c>
      <c r="G1346" s="1" t="s">
        <v>1214</v>
      </c>
      <c r="H1346" s="1">
        <v>149</v>
      </c>
      <c r="I1346" s="1" t="s">
        <v>40</v>
      </c>
      <c r="J1346" s="1">
        <v>8.5</v>
      </c>
      <c r="K1346" s="1">
        <v>132.19999999999999</v>
      </c>
      <c r="L1346" s="1" t="s">
        <v>90</v>
      </c>
      <c r="M1346" s="1" t="s">
        <v>42</v>
      </c>
      <c r="N1346" s="1" t="s">
        <v>86</v>
      </c>
      <c r="O1346" s="1"/>
      <c r="P1346" s="1">
        <v>65</v>
      </c>
      <c r="Q1346" s="1">
        <v>301.39999999999998</v>
      </c>
      <c r="R1346" s="8" t="str">
        <f>_xlfn.IFS(J1346&gt;=8,"Hit",J1346&gt;=6,"Average",J1346&lt;6,"Flop")</f>
        <v>Hit</v>
      </c>
      <c r="S1346" s="9" t="str">
        <f>_xlfn.IFS(K1346&gt;=400,"Blockbuster",K1346&gt;=200,"Popular",K1346&lt;200,"Normal")</f>
        <v>Normal</v>
      </c>
      <c r="T1346" s="10" t="str">
        <f>IF(OR(I1346="PG",I1346="G"),"Yes","No")</f>
        <v>Yes</v>
      </c>
      <c r="U1346" s="11" t="str">
        <f>IF(P1346&gt;=100,"High","Low")</f>
        <v>Low</v>
      </c>
      <c r="V1346" s="28">
        <f t="shared" si="40"/>
        <v>236.39999999999998</v>
      </c>
      <c r="W1346" s="29">
        <f t="shared" si="41"/>
        <v>463.69230769230762</v>
      </c>
    </row>
    <row r="1347" spans="1:23" x14ac:dyDescent="0.3">
      <c r="A1347" s="1" t="s">
        <v>3814</v>
      </c>
      <c r="B1347" s="1" t="s">
        <v>3815</v>
      </c>
      <c r="C1347" s="1" t="s">
        <v>46</v>
      </c>
      <c r="D1347" s="1" t="s">
        <v>82</v>
      </c>
      <c r="E1347" s="1">
        <v>2007</v>
      </c>
      <c r="F1347" s="1" t="s">
        <v>83</v>
      </c>
      <c r="G1347" s="1" t="s">
        <v>3816</v>
      </c>
      <c r="H1347" s="1">
        <v>49</v>
      </c>
      <c r="I1347" s="1" t="s">
        <v>22</v>
      </c>
      <c r="J1347" s="1">
        <v>8.4</v>
      </c>
      <c r="K1347" s="1">
        <v>314.8</v>
      </c>
      <c r="L1347" s="1" t="s">
        <v>171</v>
      </c>
      <c r="M1347" s="1" t="s">
        <v>124</v>
      </c>
      <c r="N1347" s="1" t="s">
        <v>91</v>
      </c>
      <c r="O1347" s="1">
        <v>5</v>
      </c>
      <c r="P1347" s="1">
        <v>169</v>
      </c>
      <c r="Q1347" s="1">
        <v>805.4</v>
      </c>
      <c r="R1347" s="8" t="str">
        <f>_xlfn.IFS(J1347&gt;=8,"Hit",J1347&gt;=6,"Average",J1347&lt;6,"Flop")</f>
        <v>Hit</v>
      </c>
      <c r="S1347" s="9" t="str">
        <f>_xlfn.IFS(K1347&gt;=400,"Blockbuster",K1347&gt;=200,"Popular",K1347&lt;200,"Normal")</f>
        <v>Popular</v>
      </c>
      <c r="T1347" s="10" t="str">
        <f>IF(OR(I1347="PG",I1347="G"),"Yes","No")</f>
        <v>No</v>
      </c>
      <c r="U1347" s="11" t="str">
        <f>IF(P1347&gt;=100,"High","Low")</f>
        <v>High</v>
      </c>
      <c r="V1347" s="28">
        <f t="shared" ref="V1347:V1410" si="42">Q1347-P1347</f>
        <v>636.4</v>
      </c>
      <c r="W1347" s="29">
        <f t="shared" ref="W1347:W1410" si="43">(Q1347/P1347)*100</f>
        <v>476.56804733727807</v>
      </c>
    </row>
    <row r="1348" spans="1:23" x14ac:dyDescent="0.3">
      <c r="A1348" s="1" t="s">
        <v>3817</v>
      </c>
      <c r="B1348" s="1" t="s">
        <v>3818</v>
      </c>
      <c r="C1348" s="1" t="s">
        <v>18</v>
      </c>
      <c r="D1348" s="1" t="s">
        <v>117</v>
      </c>
      <c r="E1348" s="1">
        <v>2017</v>
      </c>
      <c r="F1348" s="1" t="s">
        <v>76</v>
      </c>
      <c r="G1348" s="1" t="s">
        <v>206</v>
      </c>
      <c r="H1348" s="1">
        <v>81</v>
      </c>
      <c r="I1348" s="1" t="s">
        <v>50</v>
      </c>
      <c r="J1348" s="1">
        <v>5.5</v>
      </c>
      <c r="K1348" s="1">
        <v>81.5</v>
      </c>
      <c r="L1348" s="1" t="s">
        <v>65</v>
      </c>
      <c r="M1348" s="1" t="s">
        <v>42</v>
      </c>
      <c r="N1348" s="1" t="s">
        <v>128</v>
      </c>
      <c r="O1348" s="1"/>
      <c r="P1348" s="1">
        <v>177</v>
      </c>
      <c r="Q1348" s="1">
        <v>816.3</v>
      </c>
      <c r="R1348" s="8" t="str">
        <f>_xlfn.IFS(J1348&gt;=8,"Hit",J1348&gt;=6,"Average",J1348&lt;6,"Flop")</f>
        <v>Flop</v>
      </c>
      <c r="S1348" s="9" t="str">
        <f>_xlfn.IFS(K1348&gt;=400,"Blockbuster",K1348&gt;=200,"Popular",K1348&lt;200,"Normal")</f>
        <v>Normal</v>
      </c>
      <c r="T1348" s="10" t="str">
        <f>IF(OR(I1348="PG",I1348="G"),"Yes","No")</f>
        <v>Yes</v>
      </c>
      <c r="U1348" s="11" t="str">
        <f>IF(P1348&gt;=100,"High","Low")</f>
        <v>High</v>
      </c>
      <c r="V1348" s="28">
        <f t="shared" si="42"/>
        <v>639.29999999999995</v>
      </c>
      <c r="W1348" s="29">
        <f t="shared" si="43"/>
        <v>461.18644067796606</v>
      </c>
    </row>
    <row r="1349" spans="1:23" x14ac:dyDescent="0.3">
      <c r="A1349" s="1" t="s">
        <v>3819</v>
      </c>
      <c r="B1349" s="1" t="s">
        <v>3820</v>
      </c>
      <c r="C1349" s="1" t="s">
        <v>18</v>
      </c>
      <c r="D1349" s="1" t="s">
        <v>63</v>
      </c>
      <c r="E1349" s="1">
        <v>2001</v>
      </c>
      <c r="F1349" s="1" t="s">
        <v>48</v>
      </c>
      <c r="G1349" s="1" t="s">
        <v>3695</v>
      </c>
      <c r="H1349" s="1">
        <v>99</v>
      </c>
      <c r="I1349" s="1" t="s">
        <v>22</v>
      </c>
      <c r="J1349" s="1">
        <v>8.1</v>
      </c>
      <c r="K1349" s="1">
        <v>527.79999999999995</v>
      </c>
      <c r="L1349" s="1" t="s">
        <v>71</v>
      </c>
      <c r="M1349" s="1" t="s">
        <v>42</v>
      </c>
      <c r="N1349" s="1" t="s">
        <v>91</v>
      </c>
      <c r="O1349" s="1"/>
      <c r="P1349" s="1">
        <v>7</v>
      </c>
      <c r="Q1349" s="1">
        <v>9.1999999999999993</v>
      </c>
      <c r="R1349" s="8" t="str">
        <f>_xlfn.IFS(J1349&gt;=8,"Hit",J1349&gt;=6,"Average",J1349&lt;6,"Flop")</f>
        <v>Hit</v>
      </c>
      <c r="S1349" s="9" t="str">
        <f>_xlfn.IFS(K1349&gt;=400,"Blockbuster",K1349&gt;=200,"Popular",K1349&lt;200,"Normal")</f>
        <v>Blockbuster</v>
      </c>
      <c r="T1349" s="10" t="str">
        <f>IF(OR(I1349="PG",I1349="G"),"Yes","No")</f>
        <v>No</v>
      </c>
      <c r="U1349" s="11" t="str">
        <f>IF(P1349&gt;=100,"High","Low")</f>
        <v>Low</v>
      </c>
      <c r="V1349" s="28">
        <f t="shared" si="42"/>
        <v>2.1999999999999993</v>
      </c>
      <c r="W1349" s="29">
        <f t="shared" si="43"/>
        <v>131.42857142857142</v>
      </c>
    </row>
    <row r="1350" spans="1:23" x14ac:dyDescent="0.3">
      <c r="A1350" s="1" t="s">
        <v>3821</v>
      </c>
      <c r="B1350" s="1" t="s">
        <v>3822</v>
      </c>
      <c r="C1350" s="1" t="s">
        <v>46</v>
      </c>
      <c r="D1350" s="1" t="s">
        <v>117</v>
      </c>
      <c r="E1350" s="1">
        <v>2009</v>
      </c>
      <c r="F1350" s="1" t="s">
        <v>48</v>
      </c>
      <c r="G1350" s="1" t="s">
        <v>3823</v>
      </c>
      <c r="H1350" s="1">
        <v>45</v>
      </c>
      <c r="I1350" s="1" t="s">
        <v>31</v>
      </c>
      <c r="J1350" s="1">
        <v>7.7</v>
      </c>
      <c r="K1350" s="1">
        <v>422.9</v>
      </c>
      <c r="L1350" s="1" t="s">
        <v>90</v>
      </c>
      <c r="M1350" s="1" t="s">
        <v>106</v>
      </c>
      <c r="N1350" s="1" t="s">
        <v>86</v>
      </c>
      <c r="O1350" s="1">
        <v>8</v>
      </c>
      <c r="P1350" s="1">
        <v>116</v>
      </c>
      <c r="Q1350" s="1">
        <v>696.9</v>
      </c>
      <c r="R1350" s="8" t="str">
        <f>_xlfn.IFS(J1350&gt;=8,"Hit",J1350&gt;=6,"Average",J1350&lt;6,"Flop")</f>
        <v>Average</v>
      </c>
      <c r="S1350" s="9" t="str">
        <f>_xlfn.IFS(K1350&gt;=400,"Blockbuster",K1350&gt;=200,"Popular",K1350&lt;200,"Normal")</f>
        <v>Blockbuster</v>
      </c>
      <c r="T1350" s="10" t="str">
        <f>IF(OR(I1350="PG",I1350="G"),"Yes","No")</f>
        <v>No</v>
      </c>
      <c r="U1350" s="11" t="str">
        <f>IF(P1350&gt;=100,"High","Low")</f>
        <v>High</v>
      </c>
      <c r="V1350" s="28">
        <f t="shared" si="42"/>
        <v>580.9</v>
      </c>
      <c r="W1350" s="29">
        <f t="shared" si="43"/>
        <v>600.77586206896547</v>
      </c>
    </row>
    <row r="1351" spans="1:23" x14ac:dyDescent="0.3">
      <c r="A1351" s="1" t="s">
        <v>3824</v>
      </c>
      <c r="B1351" s="1" t="s">
        <v>3825</v>
      </c>
      <c r="C1351" s="1" t="s">
        <v>46</v>
      </c>
      <c r="D1351" s="1" t="s">
        <v>141</v>
      </c>
      <c r="E1351" s="1">
        <v>2017</v>
      </c>
      <c r="F1351" s="1" t="s">
        <v>38</v>
      </c>
      <c r="G1351" s="1" t="s">
        <v>3826</v>
      </c>
      <c r="H1351" s="1">
        <v>54</v>
      </c>
      <c r="I1351" s="1" t="s">
        <v>22</v>
      </c>
      <c r="J1351" s="1">
        <v>8.6</v>
      </c>
      <c r="K1351" s="1">
        <v>161.80000000000001</v>
      </c>
      <c r="L1351" s="1" t="s">
        <v>32</v>
      </c>
      <c r="M1351" s="1" t="s">
        <v>85</v>
      </c>
      <c r="N1351" s="1" t="s">
        <v>55</v>
      </c>
      <c r="O1351" s="1">
        <v>3</v>
      </c>
      <c r="P1351" s="1">
        <v>65</v>
      </c>
      <c r="Q1351" s="1">
        <v>161.80000000000001</v>
      </c>
      <c r="R1351" s="8" t="str">
        <f>_xlfn.IFS(J1351&gt;=8,"Hit",J1351&gt;=6,"Average",J1351&lt;6,"Flop")</f>
        <v>Hit</v>
      </c>
      <c r="S1351" s="9" t="str">
        <f>_xlfn.IFS(K1351&gt;=400,"Blockbuster",K1351&gt;=200,"Popular",K1351&lt;200,"Normal")</f>
        <v>Normal</v>
      </c>
      <c r="T1351" s="10" t="str">
        <f>IF(OR(I1351="PG",I1351="G"),"Yes","No")</f>
        <v>No</v>
      </c>
      <c r="U1351" s="11" t="str">
        <f>IF(P1351&gt;=100,"High","Low")</f>
        <v>Low</v>
      </c>
      <c r="V1351" s="28">
        <f t="shared" si="42"/>
        <v>96.800000000000011</v>
      </c>
      <c r="W1351" s="29">
        <f t="shared" si="43"/>
        <v>248.92307692307693</v>
      </c>
    </row>
    <row r="1352" spans="1:23" x14ac:dyDescent="0.3">
      <c r="A1352" s="1" t="s">
        <v>3827</v>
      </c>
      <c r="B1352" s="1" t="s">
        <v>3828</v>
      </c>
      <c r="C1352" s="1" t="s">
        <v>46</v>
      </c>
      <c r="D1352" s="1" t="s">
        <v>63</v>
      </c>
      <c r="E1352" s="1">
        <v>2004</v>
      </c>
      <c r="F1352" s="1" t="s">
        <v>20</v>
      </c>
      <c r="G1352" s="1" t="s">
        <v>3829</v>
      </c>
      <c r="H1352" s="1">
        <v>41</v>
      </c>
      <c r="I1352" s="1" t="s">
        <v>110</v>
      </c>
      <c r="J1352" s="1">
        <v>5.9</v>
      </c>
      <c r="K1352" s="1">
        <v>506.6</v>
      </c>
      <c r="L1352" s="1" t="s">
        <v>41</v>
      </c>
      <c r="M1352" s="1" t="s">
        <v>124</v>
      </c>
      <c r="N1352" s="1" t="s">
        <v>25</v>
      </c>
      <c r="O1352" s="1">
        <v>1</v>
      </c>
      <c r="P1352" s="1">
        <v>112</v>
      </c>
      <c r="Q1352" s="1">
        <v>280.8</v>
      </c>
      <c r="R1352" s="8" t="str">
        <f>_xlfn.IFS(J1352&gt;=8,"Hit",J1352&gt;=6,"Average",J1352&lt;6,"Flop")</f>
        <v>Flop</v>
      </c>
      <c r="S1352" s="9" t="str">
        <f>_xlfn.IFS(K1352&gt;=400,"Blockbuster",K1352&gt;=200,"Popular",K1352&lt;200,"Normal")</f>
        <v>Blockbuster</v>
      </c>
      <c r="T1352" s="10" t="str">
        <f>IF(OR(I1352="PG",I1352="G"),"Yes","No")</f>
        <v>No</v>
      </c>
      <c r="U1352" s="11" t="str">
        <f>IF(P1352&gt;=100,"High","Low")</f>
        <v>High</v>
      </c>
      <c r="V1352" s="28">
        <f t="shared" si="42"/>
        <v>168.8</v>
      </c>
      <c r="W1352" s="29">
        <f t="shared" si="43"/>
        <v>250.71428571428572</v>
      </c>
    </row>
    <row r="1353" spans="1:23" x14ac:dyDescent="0.3">
      <c r="A1353" s="1" t="s">
        <v>3830</v>
      </c>
      <c r="B1353" s="1" t="s">
        <v>3831</v>
      </c>
      <c r="C1353" s="1" t="s">
        <v>18</v>
      </c>
      <c r="D1353" s="1" t="s">
        <v>58</v>
      </c>
      <c r="E1353" s="1">
        <v>2011</v>
      </c>
      <c r="F1353" s="1" t="s">
        <v>20</v>
      </c>
      <c r="G1353" s="1" t="s">
        <v>3832</v>
      </c>
      <c r="H1353" s="1">
        <v>174</v>
      </c>
      <c r="I1353" s="1" t="s">
        <v>50</v>
      </c>
      <c r="J1353" s="1">
        <v>6.5</v>
      </c>
      <c r="K1353" s="1">
        <v>86.6</v>
      </c>
      <c r="L1353" s="1" t="s">
        <v>32</v>
      </c>
      <c r="M1353" s="1" t="s">
        <v>132</v>
      </c>
      <c r="N1353" s="1" t="s">
        <v>158</v>
      </c>
      <c r="O1353" s="1"/>
      <c r="P1353" s="1">
        <v>180</v>
      </c>
      <c r="Q1353" s="1">
        <v>741.6</v>
      </c>
      <c r="R1353" s="8" t="str">
        <f>_xlfn.IFS(J1353&gt;=8,"Hit",J1353&gt;=6,"Average",J1353&lt;6,"Flop")</f>
        <v>Average</v>
      </c>
      <c r="S1353" s="9" t="str">
        <f>_xlfn.IFS(K1353&gt;=400,"Blockbuster",K1353&gt;=200,"Popular",K1353&lt;200,"Normal")</f>
        <v>Normal</v>
      </c>
      <c r="T1353" s="10" t="str">
        <f>IF(OR(I1353="PG",I1353="G"),"Yes","No")</f>
        <v>Yes</v>
      </c>
      <c r="U1353" s="11" t="str">
        <f>IF(P1353&gt;=100,"High","Low")</f>
        <v>High</v>
      </c>
      <c r="V1353" s="28">
        <f t="shared" si="42"/>
        <v>561.6</v>
      </c>
      <c r="W1353" s="29">
        <f t="shared" si="43"/>
        <v>412</v>
      </c>
    </row>
    <row r="1354" spans="1:23" x14ac:dyDescent="0.3">
      <c r="A1354" s="1" t="s">
        <v>3833</v>
      </c>
      <c r="B1354" s="1" t="s">
        <v>3834</v>
      </c>
      <c r="C1354" s="1" t="s">
        <v>46</v>
      </c>
      <c r="D1354" s="1" t="s">
        <v>141</v>
      </c>
      <c r="E1354" s="1">
        <v>2020</v>
      </c>
      <c r="F1354" s="1" t="s">
        <v>181</v>
      </c>
      <c r="G1354" s="1" t="s">
        <v>3835</v>
      </c>
      <c r="H1354" s="1">
        <v>42</v>
      </c>
      <c r="I1354" s="1" t="s">
        <v>40</v>
      </c>
      <c r="J1354" s="1">
        <v>9.4</v>
      </c>
      <c r="K1354" s="1">
        <v>122.8</v>
      </c>
      <c r="L1354" s="1" t="s">
        <v>41</v>
      </c>
      <c r="M1354" s="1" t="s">
        <v>24</v>
      </c>
      <c r="N1354" s="1" t="s">
        <v>55</v>
      </c>
      <c r="O1354" s="1">
        <v>6</v>
      </c>
      <c r="P1354" s="1">
        <v>72</v>
      </c>
      <c r="Q1354" s="1">
        <v>386.4</v>
      </c>
      <c r="R1354" s="8" t="str">
        <f>_xlfn.IFS(J1354&gt;=8,"Hit",J1354&gt;=6,"Average",J1354&lt;6,"Flop")</f>
        <v>Hit</v>
      </c>
      <c r="S1354" s="9" t="str">
        <f>_xlfn.IFS(K1354&gt;=400,"Blockbuster",K1354&gt;=200,"Popular",K1354&lt;200,"Normal")</f>
        <v>Normal</v>
      </c>
      <c r="T1354" s="10" t="str">
        <f>IF(OR(I1354="PG",I1354="G"),"Yes","No")</f>
        <v>Yes</v>
      </c>
      <c r="U1354" s="11" t="str">
        <f>IF(P1354&gt;=100,"High","Low")</f>
        <v>Low</v>
      </c>
      <c r="V1354" s="28">
        <f t="shared" si="42"/>
        <v>314.39999999999998</v>
      </c>
      <c r="W1354" s="29">
        <f t="shared" si="43"/>
        <v>536.66666666666663</v>
      </c>
    </row>
    <row r="1355" spans="1:23" x14ac:dyDescent="0.3">
      <c r="A1355" s="1" t="s">
        <v>3836</v>
      </c>
      <c r="B1355" s="1" t="s">
        <v>3837</v>
      </c>
      <c r="C1355" s="1" t="s">
        <v>46</v>
      </c>
      <c r="D1355" s="1" t="s">
        <v>63</v>
      </c>
      <c r="E1355" s="1">
        <v>2023</v>
      </c>
      <c r="F1355" s="1" t="s">
        <v>100</v>
      </c>
      <c r="G1355" s="1" t="s">
        <v>3838</v>
      </c>
      <c r="H1355" s="1">
        <v>50</v>
      </c>
      <c r="I1355" s="1" t="s">
        <v>50</v>
      </c>
      <c r="J1355" s="1">
        <v>5.5</v>
      </c>
      <c r="K1355" s="1">
        <v>278.8</v>
      </c>
      <c r="L1355" s="1" t="s">
        <v>23</v>
      </c>
      <c r="M1355" s="1" t="s">
        <v>78</v>
      </c>
      <c r="N1355" s="1" t="s">
        <v>25</v>
      </c>
      <c r="O1355" s="1">
        <v>1</v>
      </c>
      <c r="P1355" s="1">
        <v>182</v>
      </c>
      <c r="Q1355" s="1">
        <v>406.3</v>
      </c>
      <c r="R1355" s="8" t="str">
        <f>_xlfn.IFS(J1355&gt;=8,"Hit",J1355&gt;=6,"Average",J1355&lt;6,"Flop")</f>
        <v>Flop</v>
      </c>
      <c r="S1355" s="9" t="str">
        <f>_xlfn.IFS(K1355&gt;=400,"Blockbuster",K1355&gt;=200,"Popular",K1355&lt;200,"Normal")</f>
        <v>Popular</v>
      </c>
      <c r="T1355" s="10" t="str">
        <f>IF(OR(I1355="PG",I1355="G"),"Yes","No")</f>
        <v>Yes</v>
      </c>
      <c r="U1355" s="11" t="str">
        <f>IF(P1355&gt;=100,"High","Low")</f>
        <v>High</v>
      </c>
      <c r="V1355" s="28">
        <f t="shared" si="42"/>
        <v>224.3</v>
      </c>
      <c r="W1355" s="29">
        <f t="shared" si="43"/>
        <v>223.24175824175825</v>
      </c>
    </row>
    <row r="1356" spans="1:23" x14ac:dyDescent="0.3">
      <c r="A1356" s="1" t="s">
        <v>3839</v>
      </c>
      <c r="B1356" s="1" t="s">
        <v>3840</v>
      </c>
      <c r="C1356" s="1" t="s">
        <v>46</v>
      </c>
      <c r="D1356" s="1" t="s">
        <v>94</v>
      </c>
      <c r="E1356" s="1">
        <v>2022</v>
      </c>
      <c r="F1356" s="1" t="s">
        <v>20</v>
      </c>
      <c r="G1356" s="1" t="s">
        <v>3841</v>
      </c>
      <c r="H1356" s="1">
        <v>31</v>
      </c>
      <c r="I1356" s="1" t="s">
        <v>22</v>
      </c>
      <c r="J1356" s="1">
        <v>7</v>
      </c>
      <c r="K1356" s="1">
        <v>362.5</v>
      </c>
      <c r="L1356" s="1" t="s">
        <v>65</v>
      </c>
      <c r="M1356" s="1" t="s">
        <v>54</v>
      </c>
      <c r="N1356" s="1" t="s">
        <v>119</v>
      </c>
      <c r="O1356" s="1">
        <v>3</v>
      </c>
      <c r="P1356" s="1">
        <v>73</v>
      </c>
      <c r="Q1356" s="1">
        <v>306.10000000000002</v>
      </c>
      <c r="R1356" s="8" t="str">
        <f>_xlfn.IFS(J1356&gt;=8,"Hit",J1356&gt;=6,"Average",J1356&lt;6,"Flop")</f>
        <v>Average</v>
      </c>
      <c r="S1356" s="9" t="str">
        <f>_xlfn.IFS(K1356&gt;=400,"Blockbuster",K1356&gt;=200,"Popular",K1356&lt;200,"Normal")</f>
        <v>Popular</v>
      </c>
      <c r="T1356" s="10" t="str">
        <f>IF(OR(I1356="PG",I1356="G"),"Yes","No")</f>
        <v>No</v>
      </c>
      <c r="U1356" s="11" t="str">
        <f>IF(P1356&gt;=100,"High","Low")</f>
        <v>Low</v>
      </c>
      <c r="V1356" s="28">
        <f t="shared" si="42"/>
        <v>233.10000000000002</v>
      </c>
      <c r="W1356" s="29">
        <f t="shared" si="43"/>
        <v>419.3150684931507</v>
      </c>
    </row>
    <row r="1357" spans="1:23" x14ac:dyDescent="0.3">
      <c r="A1357" s="1" t="s">
        <v>3842</v>
      </c>
      <c r="B1357" s="1" t="s">
        <v>3843</v>
      </c>
      <c r="C1357" s="1" t="s">
        <v>18</v>
      </c>
      <c r="D1357" s="1" t="s">
        <v>47</v>
      </c>
      <c r="E1357" s="1">
        <v>2024</v>
      </c>
      <c r="F1357" s="1" t="s">
        <v>181</v>
      </c>
      <c r="G1357" s="1" t="s">
        <v>2295</v>
      </c>
      <c r="H1357" s="1">
        <v>178</v>
      </c>
      <c r="I1357" s="1" t="s">
        <v>31</v>
      </c>
      <c r="J1357" s="1">
        <v>6.8</v>
      </c>
      <c r="K1357" s="1">
        <v>595.20000000000005</v>
      </c>
      <c r="L1357" s="1" t="s">
        <v>41</v>
      </c>
      <c r="M1357" s="1" t="s">
        <v>72</v>
      </c>
      <c r="N1357" s="1" t="s">
        <v>178</v>
      </c>
      <c r="O1357" s="1"/>
      <c r="P1357" s="1">
        <v>48</v>
      </c>
      <c r="Q1357" s="1">
        <v>135.80000000000001</v>
      </c>
      <c r="R1357" s="8" t="str">
        <f>_xlfn.IFS(J1357&gt;=8,"Hit",J1357&gt;=6,"Average",J1357&lt;6,"Flop")</f>
        <v>Average</v>
      </c>
      <c r="S1357" s="9" t="str">
        <f>_xlfn.IFS(K1357&gt;=400,"Blockbuster",K1357&gt;=200,"Popular",K1357&lt;200,"Normal")</f>
        <v>Blockbuster</v>
      </c>
      <c r="T1357" s="10" t="str">
        <f>IF(OR(I1357="PG",I1357="G"),"Yes","No")</f>
        <v>No</v>
      </c>
      <c r="U1357" s="11" t="str">
        <f>IF(P1357&gt;=100,"High","Low")</f>
        <v>Low</v>
      </c>
      <c r="V1357" s="28">
        <f t="shared" si="42"/>
        <v>87.800000000000011</v>
      </c>
      <c r="W1357" s="29">
        <f t="shared" si="43"/>
        <v>282.91666666666669</v>
      </c>
    </row>
    <row r="1358" spans="1:23" x14ac:dyDescent="0.3">
      <c r="A1358" s="1" t="s">
        <v>3844</v>
      </c>
      <c r="B1358" s="1" t="s">
        <v>3845</v>
      </c>
      <c r="C1358" s="1" t="s">
        <v>46</v>
      </c>
      <c r="D1358" s="1" t="s">
        <v>63</v>
      </c>
      <c r="E1358" s="1">
        <v>2019</v>
      </c>
      <c r="F1358" s="1" t="s">
        <v>122</v>
      </c>
      <c r="G1358" s="1" t="s">
        <v>1933</v>
      </c>
      <c r="H1358" s="1">
        <v>55</v>
      </c>
      <c r="I1358" s="1" t="s">
        <v>110</v>
      </c>
      <c r="J1358" s="1">
        <v>7.7</v>
      </c>
      <c r="K1358" s="1">
        <v>56.1</v>
      </c>
      <c r="L1358" s="1" t="s">
        <v>41</v>
      </c>
      <c r="M1358" s="1" t="s">
        <v>24</v>
      </c>
      <c r="N1358" s="1" t="s">
        <v>67</v>
      </c>
      <c r="O1358" s="1">
        <v>6</v>
      </c>
      <c r="P1358" s="1">
        <v>134</v>
      </c>
      <c r="Q1358" s="1">
        <v>816.1</v>
      </c>
      <c r="R1358" s="8" t="str">
        <f>_xlfn.IFS(J1358&gt;=8,"Hit",J1358&gt;=6,"Average",J1358&lt;6,"Flop")</f>
        <v>Average</v>
      </c>
      <c r="S1358" s="9" t="str">
        <f>_xlfn.IFS(K1358&gt;=400,"Blockbuster",K1358&gt;=200,"Popular",K1358&lt;200,"Normal")</f>
        <v>Normal</v>
      </c>
      <c r="T1358" s="10" t="str">
        <f>IF(OR(I1358="PG",I1358="G"),"Yes","No")</f>
        <v>No</v>
      </c>
      <c r="U1358" s="11" t="str">
        <f>IF(P1358&gt;=100,"High","Low")</f>
        <v>High</v>
      </c>
      <c r="V1358" s="28">
        <f t="shared" si="42"/>
        <v>682.1</v>
      </c>
      <c r="W1358" s="29">
        <f t="shared" si="43"/>
        <v>609.02985074626872</v>
      </c>
    </row>
    <row r="1359" spans="1:23" x14ac:dyDescent="0.3">
      <c r="A1359" s="1" t="s">
        <v>3846</v>
      </c>
      <c r="B1359" s="1" t="s">
        <v>3847</v>
      </c>
      <c r="C1359" s="1" t="s">
        <v>18</v>
      </c>
      <c r="D1359" s="1" t="s">
        <v>37</v>
      </c>
      <c r="E1359" s="1">
        <v>2003</v>
      </c>
      <c r="F1359" s="1" t="s">
        <v>181</v>
      </c>
      <c r="G1359" s="1" t="s">
        <v>2612</v>
      </c>
      <c r="H1359" s="1">
        <v>137</v>
      </c>
      <c r="I1359" s="1" t="s">
        <v>110</v>
      </c>
      <c r="J1359" s="1">
        <v>6.3</v>
      </c>
      <c r="K1359" s="1">
        <v>318.7</v>
      </c>
      <c r="L1359" s="1" t="s">
        <v>41</v>
      </c>
      <c r="M1359" s="1" t="s">
        <v>97</v>
      </c>
      <c r="N1359" s="1" t="s">
        <v>34</v>
      </c>
      <c r="O1359" s="1"/>
      <c r="P1359" s="1">
        <v>38</v>
      </c>
      <c r="Q1359" s="1">
        <v>185.3</v>
      </c>
      <c r="R1359" s="8" t="str">
        <f>_xlfn.IFS(J1359&gt;=8,"Hit",J1359&gt;=6,"Average",J1359&lt;6,"Flop")</f>
        <v>Average</v>
      </c>
      <c r="S1359" s="9" t="str">
        <f>_xlfn.IFS(K1359&gt;=400,"Blockbuster",K1359&gt;=200,"Popular",K1359&lt;200,"Normal")</f>
        <v>Popular</v>
      </c>
      <c r="T1359" s="10" t="str">
        <f>IF(OR(I1359="PG",I1359="G"),"Yes","No")</f>
        <v>No</v>
      </c>
      <c r="U1359" s="11" t="str">
        <f>IF(P1359&gt;=100,"High","Low")</f>
        <v>Low</v>
      </c>
      <c r="V1359" s="28">
        <f t="shared" si="42"/>
        <v>147.30000000000001</v>
      </c>
      <c r="W1359" s="29">
        <f t="shared" si="43"/>
        <v>487.63157894736844</v>
      </c>
    </row>
    <row r="1360" spans="1:23" x14ac:dyDescent="0.3">
      <c r="A1360" s="1" t="s">
        <v>3848</v>
      </c>
      <c r="B1360" s="1" t="s">
        <v>3849</v>
      </c>
      <c r="C1360" s="1" t="s">
        <v>46</v>
      </c>
      <c r="D1360" s="1" t="s">
        <v>94</v>
      </c>
      <c r="E1360" s="1">
        <v>2007</v>
      </c>
      <c r="F1360" s="1" t="s">
        <v>48</v>
      </c>
      <c r="G1360" s="1" t="s">
        <v>3850</v>
      </c>
      <c r="H1360" s="1">
        <v>58</v>
      </c>
      <c r="I1360" s="1" t="s">
        <v>31</v>
      </c>
      <c r="J1360" s="1">
        <v>7.8</v>
      </c>
      <c r="K1360" s="1">
        <v>264</v>
      </c>
      <c r="L1360" s="1" t="s">
        <v>171</v>
      </c>
      <c r="M1360" s="1" t="s">
        <v>85</v>
      </c>
      <c r="N1360" s="1" t="s">
        <v>102</v>
      </c>
      <c r="O1360" s="1">
        <v>4</v>
      </c>
      <c r="P1360" s="1">
        <v>97</v>
      </c>
      <c r="Q1360" s="1">
        <v>354.5</v>
      </c>
      <c r="R1360" s="8" t="str">
        <f>_xlfn.IFS(J1360&gt;=8,"Hit",J1360&gt;=6,"Average",J1360&lt;6,"Flop")</f>
        <v>Average</v>
      </c>
      <c r="S1360" s="9" t="str">
        <f>_xlfn.IFS(K1360&gt;=400,"Blockbuster",K1360&gt;=200,"Popular",K1360&lt;200,"Normal")</f>
        <v>Popular</v>
      </c>
      <c r="T1360" s="10" t="str">
        <f>IF(OR(I1360="PG",I1360="G"),"Yes","No")</f>
        <v>No</v>
      </c>
      <c r="U1360" s="11" t="str">
        <f>IF(P1360&gt;=100,"High","Low")</f>
        <v>Low</v>
      </c>
      <c r="V1360" s="28">
        <f t="shared" si="42"/>
        <v>257.5</v>
      </c>
      <c r="W1360" s="29">
        <f t="shared" si="43"/>
        <v>365.46391752577318</v>
      </c>
    </row>
    <row r="1361" spans="1:23" x14ac:dyDescent="0.3">
      <c r="A1361" s="1" t="s">
        <v>3851</v>
      </c>
      <c r="B1361" s="1" t="s">
        <v>3852</v>
      </c>
      <c r="C1361" s="1" t="s">
        <v>18</v>
      </c>
      <c r="D1361" s="1" t="s">
        <v>82</v>
      </c>
      <c r="E1361" s="1">
        <v>2006</v>
      </c>
      <c r="F1361" s="1" t="s">
        <v>29</v>
      </c>
      <c r="G1361" s="1" t="s">
        <v>3853</v>
      </c>
      <c r="H1361" s="1">
        <v>176</v>
      </c>
      <c r="I1361" s="1" t="s">
        <v>40</v>
      </c>
      <c r="J1361" s="1">
        <v>7.6</v>
      </c>
      <c r="K1361" s="1">
        <v>421.6</v>
      </c>
      <c r="L1361" s="1" t="s">
        <v>32</v>
      </c>
      <c r="M1361" s="1" t="s">
        <v>97</v>
      </c>
      <c r="N1361" s="1" t="s">
        <v>43</v>
      </c>
      <c r="O1361" s="1"/>
      <c r="P1361" s="1">
        <v>150</v>
      </c>
      <c r="Q1361" s="1">
        <v>626.5</v>
      </c>
      <c r="R1361" s="8" t="str">
        <f>_xlfn.IFS(J1361&gt;=8,"Hit",J1361&gt;=6,"Average",J1361&lt;6,"Flop")</f>
        <v>Average</v>
      </c>
      <c r="S1361" s="9" t="str">
        <f>_xlfn.IFS(K1361&gt;=400,"Blockbuster",K1361&gt;=200,"Popular",K1361&lt;200,"Normal")</f>
        <v>Blockbuster</v>
      </c>
      <c r="T1361" s="10" t="str">
        <f>IF(OR(I1361="PG",I1361="G"),"Yes","No")</f>
        <v>Yes</v>
      </c>
      <c r="U1361" s="11" t="str">
        <f>IF(P1361&gt;=100,"High","Low")</f>
        <v>High</v>
      </c>
      <c r="V1361" s="28">
        <f t="shared" si="42"/>
        <v>476.5</v>
      </c>
      <c r="W1361" s="29">
        <f t="shared" si="43"/>
        <v>417.66666666666669</v>
      </c>
    </row>
    <row r="1362" spans="1:23" x14ac:dyDescent="0.3">
      <c r="A1362" s="1" t="s">
        <v>3854</v>
      </c>
      <c r="B1362" s="1" t="s">
        <v>3855</v>
      </c>
      <c r="C1362" s="1" t="s">
        <v>18</v>
      </c>
      <c r="D1362" s="1" t="s">
        <v>37</v>
      </c>
      <c r="E1362" s="1">
        <v>2018</v>
      </c>
      <c r="F1362" s="1" t="s">
        <v>83</v>
      </c>
      <c r="G1362" s="1" t="s">
        <v>3856</v>
      </c>
      <c r="H1362" s="1">
        <v>175</v>
      </c>
      <c r="I1362" s="1" t="s">
        <v>22</v>
      </c>
      <c r="J1362" s="1">
        <v>4.8</v>
      </c>
      <c r="K1362" s="1">
        <v>558.6</v>
      </c>
      <c r="L1362" s="1" t="s">
        <v>32</v>
      </c>
      <c r="M1362" s="1" t="s">
        <v>157</v>
      </c>
      <c r="N1362" s="1" t="s">
        <v>86</v>
      </c>
      <c r="O1362" s="1"/>
      <c r="P1362" s="1">
        <v>88</v>
      </c>
      <c r="Q1362" s="1">
        <v>509.4</v>
      </c>
      <c r="R1362" s="8" t="str">
        <f>_xlfn.IFS(J1362&gt;=8,"Hit",J1362&gt;=6,"Average",J1362&lt;6,"Flop")</f>
        <v>Flop</v>
      </c>
      <c r="S1362" s="9" t="str">
        <f>_xlfn.IFS(K1362&gt;=400,"Blockbuster",K1362&gt;=200,"Popular",K1362&lt;200,"Normal")</f>
        <v>Blockbuster</v>
      </c>
      <c r="T1362" s="10" t="str">
        <f>IF(OR(I1362="PG",I1362="G"),"Yes","No")</f>
        <v>No</v>
      </c>
      <c r="U1362" s="11" t="str">
        <f>IF(P1362&gt;=100,"High","Low")</f>
        <v>Low</v>
      </c>
      <c r="V1362" s="28">
        <f t="shared" si="42"/>
        <v>421.4</v>
      </c>
      <c r="W1362" s="29">
        <f t="shared" si="43"/>
        <v>578.86363636363626</v>
      </c>
    </row>
    <row r="1363" spans="1:23" x14ac:dyDescent="0.3">
      <c r="A1363" s="1" t="s">
        <v>3857</v>
      </c>
      <c r="B1363" s="1" t="s">
        <v>3858</v>
      </c>
      <c r="C1363" s="1" t="s">
        <v>46</v>
      </c>
      <c r="D1363" s="1" t="s">
        <v>94</v>
      </c>
      <c r="E1363" s="1">
        <v>2011</v>
      </c>
      <c r="F1363" s="1" t="s">
        <v>76</v>
      </c>
      <c r="G1363" s="1" t="s">
        <v>3859</v>
      </c>
      <c r="H1363" s="1">
        <v>52</v>
      </c>
      <c r="I1363" s="1" t="s">
        <v>22</v>
      </c>
      <c r="J1363" s="1">
        <v>4.8</v>
      </c>
      <c r="K1363" s="1">
        <v>534.20000000000005</v>
      </c>
      <c r="L1363" s="1" t="s">
        <v>171</v>
      </c>
      <c r="M1363" s="1" t="s">
        <v>42</v>
      </c>
      <c r="N1363" s="1" t="s">
        <v>60</v>
      </c>
      <c r="O1363" s="1">
        <v>4</v>
      </c>
      <c r="P1363" s="1">
        <v>141</v>
      </c>
      <c r="Q1363" s="1">
        <v>342.6</v>
      </c>
      <c r="R1363" s="8" t="str">
        <f>_xlfn.IFS(J1363&gt;=8,"Hit",J1363&gt;=6,"Average",J1363&lt;6,"Flop")</f>
        <v>Flop</v>
      </c>
      <c r="S1363" s="9" t="str">
        <f>_xlfn.IFS(K1363&gt;=400,"Blockbuster",K1363&gt;=200,"Popular",K1363&lt;200,"Normal")</f>
        <v>Blockbuster</v>
      </c>
      <c r="T1363" s="10" t="str">
        <f>IF(OR(I1363="PG",I1363="G"),"Yes","No")</f>
        <v>No</v>
      </c>
      <c r="U1363" s="11" t="str">
        <f>IF(P1363&gt;=100,"High","Low")</f>
        <v>High</v>
      </c>
      <c r="V1363" s="28">
        <f t="shared" si="42"/>
        <v>201.60000000000002</v>
      </c>
      <c r="W1363" s="29">
        <f t="shared" si="43"/>
        <v>242.97872340425533</v>
      </c>
    </row>
    <row r="1364" spans="1:23" x14ac:dyDescent="0.3">
      <c r="A1364" s="1" t="s">
        <v>3860</v>
      </c>
      <c r="B1364" s="1" t="s">
        <v>3861</v>
      </c>
      <c r="C1364" s="1" t="s">
        <v>46</v>
      </c>
      <c r="D1364" s="1" t="s">
        <v>82</v>
      </c>
      <c r="E1364" s="1">
        <v>2009</v>
      </c>
      <c r="F1364" s="1" t="s">
        <v>122</v>
      </c>
      <c r="G1364" s="1" t="s">
        <v>3862</v>
      </c>
      <c r="H1364" s="1">
        <v>56</v>
      </c>
      <c r="I1364" s="1" t="s">
        <v>110</v>
      </c>
      <c r="J1364" s="1">
        <v>5.4</v>
      </c>
      <c r="K1364" s="1">
        <v>298.39999999999998</v>
      </c>
      <c r="L1364" s="1" t="s">
        <v>23</v>
      </c>
      <c r="M1364" s="1" t="s">
        <v>66</v>
      </c>
      <c r="N1364" s="1" t="s">
        <v>128</v>
      </c>
      <c r="O1364" s="1">
        <v>2</v>
      </c>
      <c r="P1364" s="1">
        <v>19</v>
      </c>
      <c r="Q1364" s="1">
        <v>48.3</v>
      </c>
      <c r="R1364" s="8" t="str">
        <f>_xlfn.IFS(J1364&gt;=8,"Hit",J1364&gt;=6,"Average",J1364&lt;6,"Flop")</f>
        <v>Flop</v>
      </c>
      <c r="S1364" s="9" t="str">
        <f>_xlfn.IFS(K1364&gt;=400,"Blockbuster",K1364&gt;=200,"Popular",K1364&lt;200,"Normal")</f>
        <v>Popular</v>
      </c>
      <c r="T1364" s="10" t="str">
        <f>IF(OR(I1364="PG",I1364="G"),"Yes","No")</f>
        <v>No</v>
      </c>
      <c r="U1364" s="11" t="str">
        <f>IF(P1364&gt;=100,"High","Low")</f>
        <v>Low</v>
      </c>
      <c r="V1364" s="28">
        <f t="shared" si="42"/>
        <v>29.299999999999997</v>
      </c>
      <c r="W1364" s="29">
        <f t="shared" si="43"/>
        <v>254.21052631578945</v>
      </c>
    </row>
    <row r="1365" spans="1:23" x14ac:dyDescent="0.3">
      <c r="A1365" s="1" t="s">
        <v>3863</v>
      </c>
      <c r="B1365" s="1" t="s">
        <v>3864</v>
      </c>
      <c r="C1365" s="1" t="s">
        <v>46</v>
      </c>
      <c r="D1365" s="1" t="s">
        <v>75</v>
      </c>
      <c r="E1365" s="1">
        <v>2003</v>
      </c>
      <c r="F1365" s="1" t="s">
        <v>122</v>
      </c>
      <c r="G1365" s="1" t="s">
        <v>3865</v>
      </c>
      <c r="H1365" s="1">
        <v>56</v>
      </c>
      <c r="I1365" s="1" t="s">
        <v>110</v>
      </c>
      <c r="J1365" s="1">
        <v>8.1999999999999993</v>
      </c>
      <c r="K1365" s="1">
        <v>140.80000000000001</v>
      </c>
      <c r="L1365" s="1" t="s">
        <v>171</v>
      </c>
      <c r="M1365" s="1" t="s">
        <v>111</v>
      </c>
      <c r="N1365" s="1" t="s">
        <v>86</v>
      </c>
      <c r="O1365" s="1">
        <v>7</v>
      </c>
      <c r="P1365" s="1">
        <v>37</v>
      </c>
      <c r="Q1365" s="1">
        <v>140.1</v>
      </c>
      <c r="R1365" s="8" t="str">
        <f>_xlfn.IFS(J1365&gt;=8,"Hit",J1365&gt;=6,"Average",J1365&lt;6,"Flop")</f>
        <v>Hit</v>
      </c>
      <c r="S1365" s="9" t="str">
        <f>_xlfn.IFS(K1365&gt;=400,"Blockbuster",K1365&gt;=200,"Popular",K1365&lt;200,"Normal")</f>
        <v>Normal</v>
      </c>
      <c r="T1365" s="10" t="str">
        <f>IF(OR(I1365="PG",I1365="G"),"Yes","No")</f>
        <v>No</v>
      </c>
      <c r="U1365" s="11" t="str">
        <f>IF(P1365&gt;=100,"High","Low")</f>
        <v>Low</v>
      </c>
      <c r="V1365" s="28">
        <f t="shared" si="42"/>
        <v>103.1</v>
      </c>
      <c r="W1365" s="29">
        <f t="shared" si="43"/>
        <v>378.64864864864865</v>
      </c>
    </row>
    <row r="1366" spans="1:23" x14ac:dyDescent="0.3">
      <c r="A1366" s="1" t="s">
        <v>3866</v>
      </c>
      <c r="B1366" s="1" t="s">
        <v>3867</v>
      </c>
      <c r="C1366" s="1" t="s">
        <v>18</v>
      </c>
      <c r="D1366" s="1" t="s">
        <v>58</v>
      </c>
      <c r="E1366" s="1">
        <v>2001</v>
      </c>
      <c r="F1366" s="1" t="s">
        <v>29</v>
      </c>
      <c r="G1366" s="1" t="s">
        <v>3665</v>
      </c>
      <c r="H1366" s="1">
        <v>103</v>
      </c>
      <c r="I1366" s="1" t="s">
        <v>40</v>
      </c>
      <c r="J1366" s="1">
        <v>5.3</v>
      </c>
      <c r="K1366" s="1">
        <v>172.6</v>
      </c>
      <c r="L1366" s="1" t="s">
        <v>65</v>
      </c>
      <c r="M1366" s="1" t="s">
        <v>66</v>
      </c>
      <c r="N1366" s="1" t="s">
        <v>34</v>
      </c>
      <c r="O1366" s="1"/>
      <c r="P1366" s="1">
        <v>11</v>
      </c>
      <c r="Q1366" s="1">
        <v>46.1</v>
      </c>
      <c r="R1366" s="8" t="str">
        <f>_xlfn.IFS(J1366&gt;=8,"Hit",J1366&gt;=6,"Average",J1366&lt;6,"Flop")</f>
        <v>Flop</v>
      </c>
      <c r="S1366" s="9" t="str">
        <f>_xlfn.IFS(K1366&gt;=400,"Blockbuster",K1366&gt;=200,"Popular",K1366&lt;200,"Normal")</f>
        <v>Normal</v>
      </c>
      <c r="T1366" s="10" t="str">
        <f>IF(OR(I1366="PG",I1366="G"),"Yes","No")</f>
        <v>Yes</v>
      </c>
      <c r="U1366" s="11" t="str">
        <f>IF(P1366&gt;=100,"High","Low")</f>
        <v>Low</v>
      </c>
      <c r="V1366" s="28">
        <f t="shared" si="42"/>
        <v>35.1</v>
      </c>
      <c r="W1366" s="29">
        <f t="shared" si="43"/>
        <v>419.09090909090912</v>
      </c>
    </row>
    <row r="1367" spans="1:23" x14ac:dyDescent="0.3">
      <c r="A1367" s="1" t="s">
        <v>3868</v>
      </c>
      <c r="B1367" s="1" t="s">
        <v>3869</v>
      </c>
      <c r="C1367" s="1" t="s">
        <v>46</v>
      </c>
      <c r="D1367" s="1" t="s">
        <v>37</v>
      </c>
      <c r="E1367" s="1">
        <v>2014</v>
      </c>
      <c r="F1367" s="1" t="s">
        <v>100</v>
      </c>
      <c r="G1367" s="1" t="s">
        <v>3870</v>
      </c>
      <c r="H1367" s="1">
        <v>46</v>
      </c>
      <c r="I1367" s="1" t="s">
        <v>110</v>
      </c>
      <c r="J1367" s="1">
        <v>6</v>
      </c>
      <c r="K1367" s="1">
        <v>327.7</v>
      </c>
      <c r="L1367" s="1" t="s">
        <v>71</v>
      </c>
      <c r="M1367" s="1" t="s">
        <v>106</v>
      </c>
      <c r="N1367" s="1" t="s">
        <v>102</v>
      </c>
      <c r="O1367" s="1">
        <v>3</v>
      </c>
      <c r="P1367" s="1">
        <v>185</v>
      </c>
      <c r="Q1367" s="1">
        <v>945.5</v>
      </c>
      <c r="R1367" s="8" t="str">
        <f>_xlfn.IFS(J1367&gt;=8,"Hit",J1367&gt;=6,"Average",J1367&lt;6,"Flop")</f>
        <v>Average</v>
      </c>
      <c r="S1367" s="9" t="str">
        <f>_xlfn.IFS(K1367&gt;=400,"Blockbuster",K1367&gt;=200,"Popular",K1367&lt;200,"Normal")</f>
        <v>Popular</v>
      </c>
      <c r="T1367" s="10" t="str">
        <f>IF(OR(I1367="PG",I1367="G"),"Yes","No")</f>
        <v>No</v>
      </c>
      <c r="U1367" s="11" t="str">
        <f>IF(P1367&gt;=100,"High","Low")</f>
        <v>High</v>
      </c>
      <c r="V1367" s="28">
        <f t="shared" si="42"/>
        <v>760.5</v>
      </c>
      <c r="W1367" s="29">
        <f t="shared" si="43"/>
        <v>511.08108108108115</v>
      </c>
    </row>
    <row r="1368" spans="1:23" x14ac:dyDescent="0.3">
      <c r="A1368" s="1" t="s">
        <v>3871</v>
      </c>
      <c r="B1368" s="1" t="s">
        <v>3872</v>
      </c>
      <c r="C1368" s="1" t="s">
        <v>18</v>
      </c>
      <c r="D1368" s="1" t="s">
        <v>47</v>
      </c>
      <c r="E1368" s="1">
        <v>2022</v>
      </c>
      <c r="F1368" s="1" t="s">
        <v>122</v>
      </c>
      <c r="G1368" s="1" t="s">
        <v>1992</v>
      </c>
      <c r="H1368" s="1">
        <v>125</v>
      </c>
      <c r="I1368" s="1" t="s">
        <v>22</v>
      </c>
      <c r="J1368" s="1">
        <v>5.0999999999999996</v>
      </c>
      <c r="K1368" s="1">
        <v>409.1</v>
      </c>
      <c r="L1368" s="1" t="s">
        <v>41</v>
      </c>
      <c r="M1368" s="1" t="s">
        <v>66</v>
      </c>
      <c r="N1368" s="1" t="s">
        <v>25</v>
      </c>
      <c r="O1368" s="1"/>
      <c r="P1368" s="1">
        <v>41</v>
      </c>
      <c r="Q1368" s="1">
        <v>148.1</v>
      </c>
      <c r="R1368" s="8" t="str">
        <f>_xlfn.IFS(J1368&gt;=8,"Hit",J1368&gt;=6,"Average",J1368&lt;6,"Flop")</f>
        <v>Flop</v>
      </c>
      <c r="S1368" s="9" t="str">
        <f>_xlfn.IFS(K1368&gt;=400,"Blockbuster",K1368&gt;=200,"Popular",K1368&lt;200,"Normal")</f>
        <v>Blockbuster</v>
      </c>
      <c r="T1368" s="10" t="str">
        <f>IF(OR(I1368="PG",I1368="G"),"Yes","No")</f>
        <v>No</v>
      </c>
      <c r="U1368" s="11" t="str">
        <f>IF(P1368&gt;=100,"High","Low")</f>
        <v>Low</v>
      </c>
      <c r="V1368" s="28">
        <f t="shared" si="42"/>
        <v>107.1</v>
      </c>
      <c r="W1368" s="29">
        <f t="shared" si="43"/>
        <v>361.21951219512192</v>
      </c>
    </row>
    <row r="1369" spans="1:23" x14ac:dyDescent="0.3">
      <c r="A1369" s="1" t="s">
        <v>3873</v>
      </c>
      <c r="B1369" s="1" t="s">
        <v>3874</v>
      </c>
      <c r="C1369" s="1" t="s">
        <v>46</v>
      </c>
      <c r="D1369" s="1" t="s">
        <v>75</v>
      </c>
      <c r="E1369" s="1">
        <v>2009</v>
      </c>
      <c r="F1369" s="1" t="s">
        <v>29</v>
      </c>
      <c r="G1369" s="1" t="s">
        <v>3875</v>
      </c>
      <c r="H1369" s="1">
        <v>59</v>
      </c>
      <c r="I1369" s="1" t="s">
        <v>22</v>
      </c>
      <c r="J1369" s="1">
        <v>5.4</v>
      </c>
      <c r="K1369" s="1">
        <v>192.3</v>
      </c>
      <c r="L1369" s="1" t="s">
        <v>23</v>
      </c>
      <c r="M1369" s="1" t="s">
        <v>106</v>
      </c>
      <c r="N1369" s="1" t="s">
        <v>86</v>
      </c>
      <c r="O1369" s="1">
        <v>5</v>
      </c>
      <c r="P1369" s="1">
        <v>196</v>
      </c>
      <c r="Q1369" s="1">
        <v>867.7</v>
      </c>
      <c r="R1369" s="8" t="str">
        <f>_xlfn.IFS(J1369&gt;=8,"Hit",J1369&gt;=6,"Average",J1369&lt;6,"Flop")</f>
        <v>Flop</v>
      </c>
      <c r="S1369" s="9" t="str">
        <f>_xlfn.IFS(K1369&gt;=400,"Blockbuster",K1369&gt;=200,"Popular",K1369&lt;200,"Normal")</f>
        <v>Normal</v>
      </c>
      <c r="T1369" s="10" t="str">
        <f>IF(OR(I1369="PG",I1369="G"),"Yes","No")</f>
        <v>No</v>
      </c>
      <c r="U1369" s="11" t="str">
        <f>IF(P1369&gt;=100,"High","Low")</f>
        <v>High</v>
      </c>
      <c r="V1369" s="28">
        <f t="shared" si="42"/>
        <v>671.7</v>
      </c>
      <c r="W1369" s="29">
        <f t="shared" si="43"/>
        <v>442.70408163265307</v>
      </c>
    </row>
    <row r="1370" spans="1:23" x14ac:dyDescent="0.3">
      <c r="A1370" s="1" t="s">
        <v>3876</v>
      </c>
      <c r="B1370" s="1" t="s">
        <v>3877</v>
      </c>
      <c r="C1370" s="1" t="s">
        <v>46</v>
      </c>
      <c r="D1370" s="1" t="s">
        <v>37</v>
      </c>
      <c r="E1370" s="1">
        <v>2022</v>
      </c>
      <c r="F1370" s="1" t="s">
        <v>48</v>
      </c>
      <c r="G1370" s="1" t="s">
        <v>686</v>
      </c>
      <c r="H1370" s="1">
        <v>48</v>
      </c>
      <c r="I1370" s="1" t="s">
        <v>40</v>
      </c>
      <c r="J1370" s="1">
        <v>9.1</v>
      </c>
      <c r="K1370" s="1">
        <v>60.6</v>
      </c>
      <c r="L1370" s="1" t="s">
        <v>90</v>
      </c>
      <c r="M1370" s="1" t="s">
        <v>78</v>
      </c>
      <c r="N1370" s="1" t="s">
        <v>86</v>
      </c>
      <c r="O1370" s="1">
        <v>3</v>
      </c>
      <c r="P1370" s="1">
        <v>56</v>
      </c>
      <c r="Q1370" s="1">
        <v>259.89999999999998</v>
      </c>
      <c r="R1370" s="8" t="str">
        <f>_xlfn.IFS(J1370&gt;=8,"Hit",J1370&gt;=6,"Average",J1370&lt;6,"Flop")</f>
        <v>Hit</v>
      </c>
      <c r="S1370" s="9" t="str">
        <f>_xlfn.IFS(K1370&gt;=400,"Blockbuster",K1370&gt;=200,"Popular",K1370&lt;200,"Normal")</f>
        <v>Normal</v>
      </c>
      <c r="T1370" s="10" t="str">
        <f>IF(OR(I1370="PG",I1370="G"),"Yes","No")</f>
        <v>Yes</v>
      </c>
      <c r="U1370" s="11" t="str">
        <f>IF(P1370&gt;=100,"High","Low")</f>
        <v>Low</v>
      </c>
      <c r="V1370" s="28">
        <f t="shared" si="42"/>
        <v>203.89999999999998</v>
      </c>
      <c r="W1370" s="29">
        <f t="shared" si="43"/>
        <v>464.10714285714283</v>
      </c>
    </row>
    <row r="1371" spans="1:23" x14ac:dyDescent="0.3">
      <c r="A1371" s="1" t="s">
        <v>3878</v>
      </c>
      <c r="B1371" s="1" t="s">
        <v>3879</v>
      </c>
      <c r="C1371" s="1" t="s">
        <v>18</v>
      </c>
      <c r="D1371" s="1" t="s">
        <v>94</v>
      </c>
      <c r="E1371" s="1">
        <v>2007</v>
      </c>
      <c r="F1371" s="1" t="s">
        <v>20</v>
      </c>
      <c r="G1371" s="1" t="s">
        <v>3880</v>
      </c>
      <c r="H1371" s="1">
        <v>135</v>
      </c>
      <c r="I1371" s="1" t="s">
        <v>22</v>
      </c>
      <c r="J1371" s="1">
        <v>6.1</v>
      </c>
      <c r="K1371" s="1">
        <v>59.4</v>
      </c>
      <c r="L1371" s="1" t="s">
        <v>32</v>
      </c>
      <c r="M1371" s="1" t="s">
        <v>111</v>
      </c>
      <c r="N1371" s="1" t="s">
        <v>86</v>
      </c>
      <c r="O1371" s="1"/>
      <c r="P1371" s="1">
        <v>173</v>
      </c>
      <c r="Q1371" s="1">
        <v>284.60000000000002</v>
      </c>
      <c r="R1371" s="8" t="str">
        <f>_xlfn.IFS(J1371&gt;=8,"Hit",J1371&gt;=6,"Average",J1371&lt;6,"Flop")</f>
        <v>Average</v>
      </c>
      <c r="S1371" s="9" t="str">
        <f>_xlfn.IFS(K1371&gt;=400,"Blockbuster",K1371&gt;=200,"Popular",K1371&lt;200,"Normal")</f>
        <v>Normal</v>
      </c>
      <c r="T1371" s="10" t="str">
        <f>IF(OR(I1371="PG",I1371="G"),"Yes","No")</f>
        <v>No</v>
      </c>
      <c r="U1371" s="11" t="str">
        <f>IF(P1371&gt;=100,"High","Low")</f>
        <v>High</v>
      </c>
      <c r="V1371" s="28">
        <f t="shared" si="42"/>
        <v>111.60000000000002</v>
      </c>
      <c r="W1371" s="29">
        <f t="shared" si="43"/>
        <v>164.50867052023125</v>
      </c>
    </row>
    <row r="1372" spans="1:23" x14ac:dyDescent="0.3">
      <c r="A1372" s="1" t="s">
        <v>3881</v>
      </c>
      <c r="B1372" s="1" t="s">
        <v>3882</v>
      </c>
      <c r="C1372" s="1" t="s">
        <v>46</v>
      </c>
      <c r="D1372" s="1" t="s">
        <v>37</v>
      </c>
      <c r="E1372" s="1">
        <v>2006</v>
      </c>
      <c r="F1372" s="1" t="s">
        <v>95</v>
      </c>
      <c r="G1372" s="1" t="s">
        <v>3883</v>
      </c>
      <c r="H1372" s="1">
        <v>55</v>
      </c>
      <c r="I1372" s="1" t="s">
        <v>50</v>
      </c>
      <c r="J1372" s="1">
        <v>9.6</v>
      </c>
      <c r="K1372" s="1">
        <v>231.2</v>
      </c>
      <c r="L1372" s="1" t="s">
        <v>41</v>
      </c>
      <c r="M1372" s="1" t="s">
        <v>146</v>
      </c>
      <c r="N1372" s="1" t="s">
        <v>128</v>
      </c>
      <c r="O1372" s="1">
        <v>3</v>
      </c>
      <c r="P1372" s="1">
        <v>48</v>
      </c>
      <c r="Q1372" s="1">
        <v>293.7</v>
      </c>
      <c r="R1372" s="8" t="str">
        <f>_xlfn.IFS(J1372&gt;=8,"Hit",J1372&gt;=6,"Average",J1372&lt;6,"Flop")</f>
        <v>Hit</v>
      </c>
      <c r="S1372" s="9" t="str">
        <f>_xlfn.IFS(K1372&gt;=400,"Blockbuster",K1372&gt;=200,"Popular",K1372&lt;200,"Normal")</f>
        <v>Popular</v>
      </c>
      <c r="T1372" s="10" t="str">
        <f>IF(OR(I1372="PG",I1372="G"),"Yes","No")</f>
        <v>Yes</v>
      </c>
      <c r="U1372" s="11" t="str">
        <f>IF(P1372&gt;=100,"High","Low")</f>
        <v>Low</v>
      </c>
      <c r="V1372" s="28">
        <f t="shared" si="42"/>
        <v>245.7</v>
      </c>
      <c r="W1372" s="29">
        <f t="shared" si="43"/>
        <v>611.875</v>
      </c>
    </row>
    <row r="1373" spans="1:23" x14ac:dyDescent="0.3">
      <c r="A1373" s="1" t="s">
        <v>3884</v>
      </c>
      <c r="B1373" s="1" t="s">
        <v>3885</v>
      </c>
      <c r="C1373" s="1" t="s">
        <v>46</v>
      </c>
      <c r="D1373" s="1" t="s">
        <v>58</v>
      </c>
      <c r="E1373" s="1">
        <v>2024</v>
      </c>
      <c r="F1373" s="1" t="s">
        <v>20</v>
      </c>
      <c r="G1373" s="1" t="s">
        <v>3466</v>
      </c>
      <c r="H1373" s="1">
        <v>44</v>
      </c>
      <c r="I1373" s="1" t="s">
        <v>40</v>
      </c>
      <c r="J1373" s="1">
        <v>5.0999999999999996</v>
      </c>
      <c r="K1373" s="1">
        <v>585</v>
      </c>
      <c r="L1373" s="1" t="s">
        <v>23</v>
      </c>
      <c r="M1373" s="1" t="s">
        <v>106</v>
      </c>
      <c r="N1373" s="1" t="s">
        <v>79</v>
      </c>
      <c r="O1373" s="1">
        <v>1</v>
      </c>
      <c r="P1373" s="1">
        <v>158</v>
      </c>
      <c r="Q1373" s="1">
        <v>579.20000000000005</v>
      </c>
      <c r="R1373" s="8" t="str">
        <f>_xlfn.IFS(J1373&gt;=8,"Hit",J1373&gt;=6,"Average",J1373&lt;6,"Flop")</f>
        <v>Flop</v>
      </c>
      <c r="S1373" s="9" t="str">
        <f>_xlfn.IFS(K1373&gt;=400,"Blockbuster",K1373&gt;=200,"Popular",K1373&lt;200,"Normal")</f>
        <v>Blockbuster</v>
      </c>
      <c r="T1373" s="10" t="str">
        <f>IF(OR(I1373="PG",I1373="G"),"Yes","No")</f>
        <v>Yes</v>
      </c>
      <c r="U1373" s="11" t="str">
        <f>IF(P1373&gt;=100,"High","Low")</f>
        <v>High</v>
      </c>
      <c r="V1373" s="28">
        <f t="shared" si="42"/>
        <v>421.20000000000005</v>
      </c>
      <c r="W1373" s="29">
        <f t="shared" si="43"/>
        <v>366.58227848101268</v>
      </c>
    </row>
    <row r="1374" spans="1:23" x14ac:dyDescent="0.3">
      <c r="A1374" s="1" t="s">
        <v>3886</v>
      </c>
      <c r="B1374" s="1" t="s">
        <v>3887</v>
      </c>
      <c r="C1374" s="1" t="s">
        <v>18</v>
      </c>
      <c r="D1374" s="1" t="s">
        <v>94</v>
      </c>
      <c r="E1374" s="1">
        <v>2020</v>
      </c>
      <c r="F1374" s="1" t="s">
        <v>122</v>
      </c>
      <c r="G1374" s="1" t="s">
        <v>3888</v>
      </c>
      <c r="H1374" s="1">
        <v>122</v>
      </c>
      <c r="I1374" s="1" t="s">
        <v>31</v>
      </c>
      <c r="J1374" s="1">
        <v>8.1999999999999993</v>
      </c>
      <c r="K1374" s="1">
        <v>299.3</v>
      </c>
      <c r="L1374" s="1" t="s">
        <v>32</v>
      </c>
      <c r="M1374" s="1" t="s">
        <v>146</v>
      </c>
      <c r="N1374" s="1" t="s">
        <v>153</v>
      </c>
      <c r="O1374" s="1"/>
      <c r="P1374" s="1">
        <v>148</v>
      </c>
      <c r="Q1374" s="1">
        <v>351.1</v>
      </c>
      <c r="R1374" s="8" t="str">
        <f>_xlfn.IFS(J1374&gt;=8,"Hit",J1374&gt;=6,"Average",J1374&lt;6,"Flop")</f>
        <v>Hit</v>
      </c>
      <c r="S1374" s="9" t="str">
        <f>_xlfn.IFS(K1374&gt;=400,"Blockbuster",K1374&gt;=200,"Popular",K1374&lt;200,"Normal")</f>
        <v>Popular</v>
      </c>
      <c r="T1374" s="10" t="str">
        <f>IF(OR(I1374="PG",I1374="G"),"Yes","No")</f>
        <v>No</v>
      </c>
      <c r="U1374" s="11" t="str">
        <f>IF(P1374&gt;=100,"High","Low")</f>
        <v>High</v>
      </c>
      <c r="V1374" s="28">
        <f t="shared" si="42"/>
        <v>203.10000000000002</v>
      </c>
      <c r="W1374" s="29">
        <f t="shared" si="43"/>
        <v>237.22972972972974</v>
      </c>
    </row>
    <row r="1375" spans="1:23" x14ac:dyDescent="0.3">
      <c r="A1375" s="1" t="s">
        <v>3889</v>
      </c>
      <c r="B1375" s="1" t="s">
        <v>3890</v>
      </c>
      <c r="C1375" s="1" t="s">
        <v>46</v>
      </c>
      <c r="D1375" s="1" t="s">
        <v>75</v>
      </c>
      <c r="E1375" s="1">
        <v>2016</v>
      </c>
      <c r="F1375" s="1" t="s">
        <v>38</v>
      </c>
      <c r="G1375" s="1" t="s">
        <v>1288</v>
      </c>
      <c r="H1375" s="1">
        <v>46</v>
      </c>
      <c r="I1375" s="1" t="s">
        <v>40</v>
      </c>
      <c r="J1375" s="1">
        <v>6.7</v>
      </c>
      <c r="K1375" s="1">
        <v>79.400000000000006</v>
      </c>
      <c r="L1375" s="1" t="s">
        <v>171</v>
      </c>
      <c r="M1375" s="1" t="s">
        <v>42</v>
      </c>
      <c r="N1375" s="1" t="s">
        <v>34</v>
      </c>
      <c r="O1375" s="1">
        <v>5</v>
      </c>
      <c r="P1375" s="1">
        <v>197</v>
      </c>
      <c r="Q1375" s="1">
        <v>424.8</v>
      </c>
      <c r="R1375" s="8" t="str">
        <f>_xlfn.IFS(J1375&gt;=8,"Hit",J1375&gt;=6,"Average",J1375&lt;6,"Flop")</f>
        <v>Average</v>
      </c>
      <c r="S1375" s="9" t="str">
        <f>_xlfn.IFS(K1375&gt;=400,"Blockbuster",K1375&gt;=200,"Popular",K1375&lt;200,"Normal")</f>
        <v>Normal</v>
      </c>
      <c r="T1375" s="10" t="str">
        <f>IF(OR(I1375="PG",I1375="G"),"Yes","No")</f>
        <v>Yes</v>
      </c>
      <c r="U1375" s="11" t="str">
        <f>IF(P1375&gt;=100,"High","Low")</f>
        <v>High</v>
      </c>
      <c r="V1375" s="28">
        <f t="shared" si="42"/>
        <v>227.8</v>
      </c>
      <c r="W1375" s="29">
        <f t="shared" si="43"/>
        <v>215.63451776649748</v>
      </c>
    </row>
    <row r="1376" spans="1:23" x14ac:dyDescent="0.3">
      <c r="A1376" s="1" t="s">
        <v>3891</v>
      </c>
      <c r="B1376" s="1" t="s">
        <v>3892</v>
      </c>
      <c r="C1376" s="1" t="s">
        <v>18</v>
      </c>
      <c r="D1376" s="1" t="s">
        <v>58</v>
      </c>
      <c r="E1376" s="1">
        <v>2025</v>
      </c>
      <c r="F1376" s="1" t="s">
        <v>95</v>
      </c>
      <c r="G1376" s="1" t="s">
        <v>2218</v>
      </c>
      <c r="H1376" s="1">
        <v>123</v>
      </c>
      <c r="I1376" s="1" t="s">
        <v>50</v>
      </c>
      <c r="J1376" s="1">
        <v>5.4</v>
      </c>
      <c r="K1376" s="1">
        <v>563.1</v>
      </c>
      <c r="L1376" s="1" t="s">
        <v>32</v>
      </c>
      <c r="M1376" s="1" t="s">
        <v>97</v>
      </c>
      <c r="N1376" s="1" t="s">
        <v>43</v>
      </c>
      <c r="O1376" s="1"/>
      <c r="P1376" s="1">
        <v>169</v>
      </c>
      <c r="Q1376" s="1">
        <v>1026.7</v>
      </c>
      <c r="R1376" s="8" t="str">
        <f>_xlfn.IFS(J1376&gt;=8,"Hit",J1376&gt;=6,"Average",J1376&lt;6,"Flop")</f>
        <v>Flop</v>
      </c>
      <c r="S1376" s="9" t="str">
        <f>_xlfn.IFS(K1376&gt;=400,"Blockbuster",K1376&gt;=200,"Popular",K1376&lt;200,"Normal")</f>
        <v>Blockbuster</v>
      </c>
      <c r="T1376" s="10" t="str">
        <f>IF(OR(I1376="PG",I1376="G"),"Yes","No")</f>
        <v>Yes</v>
      </c>
      <c r="U1376" s="11" t="str">
        <f>IF(P1376&gt;=100,"High","Low")</f>
        <v>High</v>
      </c>
      <c r="V1376" s="28">
        <f t="shared" si="42"/>
        <v>857.7</v>
      </c>
      <c r="W1376" s="29">
        <f t="shared" si="43"/>
        <v>607.51479289940823</v>
      </c>
    </row>
    <row r="1377" spans="1:23" x14ac:dyDescent="0.3">
      <c r="A1377" s="1" t="s">
        <v>3893</v>
      </c>
      <c r="B1377" s="1" t="s">
        <v>3894</v>
      </c>
      <c r="C1377" s="1" t="s">
        <v>46</v>
      </c>
      <c r="D1377" s="1" t="s">
        <v>63</v>
      </c>
      <c r="E1377" s="1">
        <v>2019</v>
      </c>
      <c r="F1377" s="1" t="s">
        <v>83</v>
      </c>
      <c r="G1377" s="1" t="s">
        <v>3895</v>
      </c>
      <c r="H1377" s="1">
        <v>44</v>
      </c>
      <c r="I1377" s="1" t="s">
        <v>22</v>
      </c>
      <c r="J1377" s="1">
        <v>9.1</v>
      </c>
      <c r="K1377" s="1">
        <v>479.6</v>
      </c>
      <c r="L1377" s="1" t="s">
        <v>41</v>
      </c>
      <c r="M1377" s="1" t="s">
        <v>78</v>
      </c>
      <c r="N1377" s="1" t="s">
        <v>153</v>
      </c>
      <c r="O1377" s="1">
        <v>6</v>
      </c>
      <c r="P1377" s="1">
        <v>138</v>
      </c>
      <c r="Q1377" s="1">
        <v>457</v>
      </c>
      <c r="R1377" s="8" t="str">
        <f>_xlfn.IFS(J1377&gt;=8,"Hit",J1377&gt;=6,"Average",J1377&lt;6,"Flop")</f>
        <v>Hit</v>
      </c>
      <c r="S1377" s="9" t="str">
        <f>_xlfn.IFS(K1377&gt;=400,"Blockbuster",K1377&gt;=200,"Popular",K1377&lt;200,"Normal")</f>
        <v>Blockbuster</v>
      </c>
      <c r="T1377" s="10" t="str">
        <f>IF(OR(I1377="PG",I1377="G"),"Yes","No")</f>
        <v>No</v>
      </c>
      <c r="U1377" s="11" t="str">
        <f>IF(P1377&gt;=100,"High","Low")</f>
        <v>High</v>
      </c>
      <c r="V1377" s="28">
        <f t="shared" si="42"/>
        <v>319</v>
      </c>
      <c r="W1377" s="29">
        <f t="shared" si="43"/>
        <v>331.15942028985506</v>
      </c>
    </row>
    <row r="1378" spans="1:23" x14ac:dyDescent="0.3">
      <c r="A1378" s="1" t="s">
        <v>3896</v>
      </c>
      <c r="B1378" s="1" t="s">
        <v>3897</v>
      </c>
      <c r="C1378" s="1" t="s">
        <v>46</v>
      </c>
      <c r="D1378" s="1" t="s">
        <v>28</v>
      </c>
      <c r="E1378" s="1">
        <v>2015</v>
      </c>
      <c r="F1378" s="1" t="s">
        <v>20</v>
      </c>
      <c r="G1378" s="1" t="s">
        <v>1270</v>
      </c>
      <c r="H1378" s="1">
        <v>47</v>
      </c>
      <c r="I1378" s="1" t="s">
        <v>110</v>
      </c>
      <c r="J1378" s="1">
        <v>5.3</v>
      </c>
      <c r="K1378" s="1">
        <v>101.2</v>
      </c>
      <c r="L1378" s="1" t="s">
        <v>90</v>
      </c>
      <c r="M1378" s="1" t="s">
        <v>78</v>
      </c>
      <c r="N1378" s="1" t="s">
        <v>43</v>
      </c>
      <c r="O1378" s="1">
        <v>8</v>
      </c>
      <c r="P1378" s="1">
        <v>72</v>
      </c>
      <c r="Q1378" s="1">
        <v>335.5</v>
      </c>
      <c r="R1378" s="8" t="str">
        <f>_xlfn.IFS(J1378&gt;=8,"Hit",J1378&gt;=6,"Average",J1378&lt;6,"Flop")</f>
        <v>Flop</v>
      </c>
      <c r="S1378" s="9" t="str">
        <f>_xlfn.IFS(K1378&gt;=400,"Blockbuster",K1378&gt;=200,"Popular",K1378&lt;200,"Normal")</f>
        <v>Normal</v>
      </c>
      <c r="T1378" s="10" t="str">
        <f>IF(OR(I1378="PG",I1378="G"),"Yes","No")</f>
        <v>No</v>
      </c>
      <c r="U1378" s="11" t="str">
        <f>IF(P1378&gt;=100,"High","Low")</f>
        <v>Low</v>
      </c>
      <c r="V1378" s="28">
        <f t="shared" si="42"/>
        <v>263.5</v>
      </c>
      <c r="W1378" s="29">
        <f t="shared" si="43"/>
        <v>465.97222222222223</v>
      </c>
    </row>
    <row r="1379" spans="1:23" x14ac:dyDescent="0.3">
      <c r="A1379" s="1" t="s">
        <v>3898</v>
      </c>
      <c r="B1379" s="1" t="s">
        <v>3899</v>
      </c>
      <c r="C1379" s="1" t="s">
        <v>46</v>
      </c>
      <c r="D1379" s="1" t="s">
        <v>28</v>
      </c>
      <c r="E1379" s="1">
        <v>2018</v>
      </c>
      <c r="F1379" s="1" t="s">
        <v>29</v>
      </c>
      <c r="G1379" s="1" t="s">
        <v>3900</v>
      </c>
      <c r="H1379" s="1">
        <v>50</v>
      </c>
      <c r="I1379" s="1" t="s">
        <v>31</v>
      </c>
      <c r="J1379" s="1">
        <v>6.2</v>
      </c>
      <c r="K1379" s="1">
        <v>254.3</v>
      </c>
      <c r="L1379" s="1" t="s">
        <v>65</v>
      </c>
      <c r="M1379" s="1" t="s">
        <v>24</v>
      </c>
      <c r="N1379" s="1" t="s">
        <v>153</v>
      </c>
      <c r="O1379" s="1">
        <v>4</v>
      </c>
      <c r="P1379" s="1">
        <v>188</v>
      </c>
      <c r="Q1379" s="1">
        <v>1032.8</v>
      </c>
      <c r="R1379" s="8" t="str">
        <f>_xlfn.IFS(J1379&gt;=8,"Hit",J1379&gt;=6,"Average",J1379&lt;6,"Flop")</f>
        <v>Average</v>
      </c>
      <c r="S1379" s="9" t="str">
        <f>_xlfn.IFS(K1379&gt;=400,"Blockbuster",K1379&gt;=200,"Popular",K1379&lt;200,"Normal")</f>
        <v>Popular</v>
      </c>
      <c r="T1379" s="10" t="str">
        <f>IF(OR(I1379="PG",I1379="G"),"Yes","No")</f>
        <v>No</v>
      </c>
      <c r="U1379" s="11" t="str">
        <f>IF(P1379&gt;=100,"High","Low")</f>
        <v>High</v>
      </c>
      <c r="V1379" s="28">
        <f t="shared" si="42"/>
        <v>844.8</v>
      </c>
      <c r="W1379" s="29">
        <f t="shared" si="43"/>
        <v>549.36170212765956</v>
      </c>
    </row>
    <row r="1380" spans="1:23" x14ac:dyDescent="0.3">
      <c r="A1380" s="1" t="s">
        <v>3901</v>
      </c>
      <c r="B1380" s="1" t="s">
        <v>3902</v>
      </c>
      <c r="C1380" s="1" t="s">
        <v>46</v>
      </c>
      <c r="D1380" s="1" t="s">
        <v>28</v>
      </c>
      <c r="E1380" s="1">
        <v>2017</v>
      </c>
      <c r="F1380" s="1" t="s">
        <v>100</v>
      </c>
      <c r="G1380" s="1" t="s">
        <v>3903</v>
      </c>
      <c r="H1380" s="1">
        <v>40</v>
      </c>
      <c r="I1380" s="1" t="s">
        <v>110</v>
      </c>
      <c r="J1380" s="1">
        <v>9.1</v>
      </c>
      <c r="K1380" s="1">
        <v>78.900000000000006</v>
      </c>
      <c r="L1380" s="1" t="s">
        <v>65</v>
      </c>
      <c r="M1380" s="1" t="s">
        <v>146</v>
      </c>
      <c r="N1380" s="1" t="s">
        <v>34</v>
      </c>
      <c r="O1380" s="1">
        <v>1</v>
      </c>
      <c r="P1380" s="1">
        <v>122</v>
      </c>
      <c r="Q1380" s="1">
        <v>425</v>
      </c>
      <c r="R1380" s="8" t="str">
        <f>_xlfn.IFS(J1380&gt;=8,"Hit",J1380&gt;=6,"Average",J1380&lt;6,"Flop")</f>
        <v>Hit</v>
      </c>
      <c r="S1380" s="9" t="str">
        <f>_xlfn.IFS(K1380&gt;=400,"Blockbuster",K1380&gt;=200,"Popular",K1380&lt;200,"Normal")</f>
        <v>Normal</v>
      </c>
      <c r="T1380" s="10" t="str">
        <f>IF(OR(I1380="PG",I1380="G"),"Yes","No")</f>
        <v>No</v>
      </c>
      <c r="U1380" s="11" t="str">
        <f>IF(P1380&gt;=100,"High","Low")</f>
        <v>High</v>
      </c>
      <c r="V1380" s="28">
        <f t="shared" si="42"/>
        <v>303</v>
      </c>
      <c r="W1380" s="29">
        <f t="shared" si="43"/>
        <v>348.36065573770492</v>
      </c>
    </row>
    <row r="1381" spans="1:23" x14ac:dyDescent="0.3">
      <c r="A1381" s="1" t="s">
        <v>3904</v>
      </c>
      <c r="B1381" s="1" t="s">
        <v>3905</v>
      </c>
      <c r="C1381" s="1" t="s">
        <v>46</v>
      </c>
      <c r="D1381" s="1" t="s">
        <v>75</v>
      </c>
      <c r="E1381" s="1">
        <v>2022</v>
      </c>
      <c r="F1381" s="1" t="s">
        <v>122</v>
      </c>
      <c r="G1381" s="1" t="s">
        <v>3906</v>
      </c>
      <c r="H1381" s="1">
        <v>50</v>
      </c>
      <c r="I1381" s="1" t="s">
        <v>22</v>
      </c>
      <c r="J1381" s="1">
        <v>8.6</v>
      </c>
      <c r="K1381" s="1">
        <v>146.69999999999999</v>
      </c>
      <c r="L1381" s="1" t="s">
        <v>171</v>
      </c>
      <c r="M1381" s="1" t="s">
        <v>146</v>
      </c>
      <c r="N1381" s="1" t="s">
        <v>79</v>
      </c>
      <c r="O1381" s="1">
        <v>2</v>
      </c>
      <c r="P1381" s="1">
        <v>73</v>
      </c>
      <c r="Q1381" s="1">
        <v>323.60000000000002</v>
      </c>
      <c r="R1381" s="8" t="str">
        <f>_xlfn.IFS(J1381&gt;=8,"Hit",J1381&gt;=6,"Average",J1381&lt;6,"Flop")</f>
        <v>Hit</v>
      </c>
      <c r="S1381" s="9" t="str">
        <f>_xlfn.IFS(K1381&gt;=400,"Blockbuster",K1381&gt;=200,"Popular",K1381&lt;200,"Normal")</f>
        <v>Normal</v>
      </c>
      <c r="T1381" s="10" t="str">
        <f>IF(OR(I1381="PG",I1381="G"),"Yes","No")</f>
        <v>No</v>
      </c>
      <c r="U1381" s="11" t="str">
        <f>IF(P1381&gt;=100,"High","Low")</f>
        <v>Low</v>
      </c>
      <c r="V1381" s="28">
        <f t="shared" si="42"/>
        <v>250.60000000000002</v>
      </c>
      <c r="W1381" s="29">
        <f t="shared" si="43"/>
        <v>443.28767123287679</v>
      </c>
    </row>
    <row r="1382" spans="1:23" x14ac:dyDescent="0.3">
      <c r="A1382" s="1" t="s">
        <v>3907</v>
      </c>
      <c r="B1382" s="1" t="s">
        <v>3908</v>
      </c>
      <c r="C1382" s="1" t="s">
        <v>46</v>
      </c>
      <c r="D1382" s="1" t="s">
        <v>47</v>
      </c>
      <c r="E1382" s="1">
        <v>2010</v>
      </c>
      <c r="F1382" s="1" t="s">
        <v>83</v>
      </c>
      <c r="G1382" s="1" t="s">
        <v>3539</v>
      </c>
      <c r="H1382" s="1">
        <v>43</v>
      </c>
      <c r="I1382" s="1" t="s">
        <v>40</v>
      </c>
      <c r="J1382" s="1">
        <v>5.2</v>
      </c>
      <c r="K1382" s="1">
        <v>312.3</v>
      </c>
      <c r="L1382" s="1" t="s">
        <v>65</v>
      </c>
      <c r="M1382" s="1" t="s">
        <v>42</v>
      </c>
      <c r="N1382" s="1" t="s">
        <v>178</v>
      </c>
      <c r="O1382" s="1">
        <v>5</v>
      </c>
      <c r="P1382" s="1">
        <v>34</v>
      </c>
      <c r="Q1382" s="1">
        <v>184</v>
      </c>
      <c r="R1382" s="8" t="str">
        <f>_xlfn.IFS(J1382&gt;=8,"Hit",J1382&gt;=6,"Average",J1382&lt;6,"Flop")</f>
        <v>Flop</v>
      </c>
      <c r="S1382" s="9" t="str">
        <f>_xlfn.IFS(K1382&gt;=400,"Blockbuster",K1382&gt;=200,"Popular",K1382&lt;200,"Normal")</f>
        <v>Popular</v>
      </c>
      <c r="T1382" s="10" t="str">
        <f>IF(OR(I1382="PG",I1382="G"),"Yes","No")</f>
        <v>Yes</v>
      </c>
      <c r="U1382" s="11" t="str">
        <f>IF(P1382&gt;=100,"High","Low")</f>
        <v>Low</v>
      </c>
      <c r="V1382" s="28">
        <f t="shared" si="42"/>
        <v>150</v>
      </c>
      <c r="W1382" s="29">
        <f t="shared" si="43"/>
        <v>541.17647058823536</v>
      </c>
    </row>
    <row r="1383" spans="1:23" x14ac:dyDescent="0.3">
      <c r="A1383" s="1" t="s">
        <v>3909</v>
      </c>
      <c r="B1383" s="1" t="s">
        <v>3910</v>
      </c>
      <c r="C1383" s="1" t="s">
        <v>46</v>
      </c>
      <c r="D1383" s="1" t="s">
        <v>94</v>
      </c>
      <c r="E1383" s="1">
        <v>2015</v>
      </c>
      <c r="F1383" s="1" t="s">
        <v>29</v>
      </c>
      <c r="G1383" s="1" t="s">
        <v>1095</v>
      </c>
      <c r="H1383" s="1">
        <v>46</v>
      </c>
      <c r="I1383" s="1" t="s">
        <v>22</v>
      </c>
      <c r="J1383" s="1">
        <v>9.5</v>
      </c>
      <c r="K1383" s="1">
        <v>522.9</v>
      </c>
      <c r="L1383" s="1" t="s">
        <v>171</v>
      </c>
      <c r="M1383" s="1" t="s">
        <v>97</v>
      </c>
      <c r="N1383" s="1" t="s">
        <v>102</v>
      </c>
      <c r="O1383" s="1">
        <v>6</v>
      </c>
      <c r="P1383" s="1">
        <v>176</v>
      </c>
      <c r="Q1383" s="1">
        <v>514.70000000000005</v>
      </c>
      <c r="R1383" s="8" t="str">
        <f>_xlfn.IFS(J1383&gt;=8,"Hit",J1383&gt;=6,"Average",J1383&lt;6,"Flop")</f>
        <v>Hit</v>
      </c>
      <c r="S1383" s="9" t="str">
        <f>_xlfn.IFS(K1383&gt;=400,"Blockbuster",K1383&gt;=200,"Popular",K1383&lt;200,"Normal")</f>
        <v>Blockbuster</v>
      </c>
      <c r="T1383" s="10" t="str">
        <f>IF(OR(I1383="PG",I1383="G"),"Yes","No")</f>
        <v>No</v>
      </c>
      <c r="U1383" s="11" t="str">
        <f>IF(P1383&gt;=100,"High","Low")</f>
        <v>High</v>
      </c>
      <c r="V1383" s="28">
        <f t="shared" si="42"/>
        <v>338.70000000000005</v>
      </c>
      <c r="W1383" s="29">
        <f t="shared" si="43"/>
        <v>292.44318181818187</v>
      </c>
    </row>
    <row r="1384" spans="1:23" x14ac:dyDescent="0.3">
      <c r="A1384" s="1" t="s">
        <v>3911</v>
      </c>
      <c r="B1384" s="1" t="s">
        <v>3912</v>
      </c>
      <c r="C1384" s="1" t="s">
        <v>18</v>
      </c>
      <c r="D1384" s="1" t="s">
        <v>75</v>
      </c>
      <c r="E1384" s="1">
        <v>2014</v>
      </c>
      <c r="F1384" s="1" t="s">
        <v>181</v>
      </c>
      <c r="G1384" s="1" t="s">
        <v>3486</v>
      </c>
      <c r="H1384" s="1">
        <v>156</v>
      </c>
      <c r="I1384" s="1" t="s">
        <v>50</v>
      </c>
      <c r="J1384" s="1">
        <v>7</v>
      </c>
      <c r="K1384" s="1">
        <v>309.89999999999998</v>
      </c>
      <c r="L1384" s="1" t="s">
        <v>71</v>
      </c>
      <c r="M1384" s="1" t="s">
        <v>42</v>
      </c>
      <c r="N1384" s="1" t="s">
        <v>43</v>
      </c>
      <c r="O1384" s="1"/>
      <c r="P1384" s="1">
        <v>86</v>
      </c>
      <c r="Q1384" s="1">
        <v>138</v>
      </c>
      <c r="R1384" s="8" t="str">
        <f>_xlfn.IFS(J1384&gt;=8,"Hit",J1384&gt;=6,"Average",J1384&lt;6,"Flop")</f>
        <v>Average</v>
      </c>
      <c r="S1384" s="9" t="str">
        <f>_xlfn.IFS(K1384&gt;=400,"Blockbuster",K1384&gt;=200,"Popular",K1384&lt;200,"Normal")</f>
        <v>Popular</v>
      </c>
      <c r="T1384" s="10" t="str">
        <f>IF(OR(I1384="PG",I1384="G"),"Yes","No")</f>
        <v>Yes</v>
      </c>
      <c r="U1384" s="11" t="str">
        <f>IF(P1384&gt;=100,"High","Low")</f>
        <v>Low</v>
      </c>
      <c r="V1384" s="28">
        <f t="shared" si="42"/>
        <v>52</v>
      </c>
      <c r="W1384" s="29">
        <f t="shared" si="43"/>
        <v>160.46511627906978</v>
      </c>
    </row>
    <row r="1385" spans="1:23" x14ac:dyDescent="0.3">
      <c r="A1385" s="1" t="s">
        <v>3913</v>
      </c>
      <c r="B1385" s="1" t="s">
        <v>3914</v>
      </c>
      <c r="C1385" s="1" t="s">
        <v>46</v>
      </c>
      <c r="D1385" s="1" t="s">
        <v>58</v>
      </c>
      <c r="E1385" s="1">
        <v>2025</v>
      </c>
      <c r="F1385" s="1" t="s">
        <v>76</v>
      </c>
      <c r="G1385" s="1" t="s">
        <v>3915</v>
      </c>
      <c r="H1385" s="1">
        <v>43</v>
      </c>
      <c r="I1385" s="1" t="s">
        <v>40</v>
      </c>
      <c r="J1385" s="1">
        <v>5.8</v>
      </c>
      <c r="K1385" s="1">
        <v>398.6</v>
      </c>
      <c r="L1385" s="1" t="s">
        <v>41</v>
      </c>
      <c r="M1385" s="1" t="s">
        <v>78</v>
      </c>
      <c r="N1385" s="1" t="s">
        <v>102</v>
      </c>
      <c r="O1385" s="1">
        <v>8</v>
      </c>
      <c r="P1385" s="1">
        <v>175</v>
      </c>
      <c r="Q1385" s="1">
        <v>628.4</v>
      </c>
      <c r="R1385" s="8" t="str">
        <f>_xlfn.IFS(J1385&gt;=8,"Hit",J1385&gt;=6,"Average",J1385&lt;6,"Flop")</f>
        <v>Flop</v>
      </c>
      <c r="S1385" s="9" t="str">
        <f>_xlfn.IFS(K1385&gt;=400,"Blockbuster",K1385&gt;=200,"Popular",K1385&lt;200,"Normal")</f>
        <v>Popular</v>
      </c>
      <c r="T1385" s="10" t="str">
        <f>IF(OR(I1385="PG",I1385="G"),"Yes","No")</f>
        <v>Yes</v>
      </c>
      <c r="U1385" s="11" t="str">
        <f>IF(P1385&gt;=100,"High","Low")</f>
        <v>High</v>
      </c>
      <c r="V1385" s="28">
        <f t="shared" si="42"/>
        <v>453.4</v>
      </c>
      <c r="W1385" s="29">
        <f t="shared" si="43"/>
        <v>359.08571428571429</v>
      </c>
    </row>
    <row r="1386" spans="1:23" x14ac:dyDescent="0.3">
      <c r="A1386" s="1" t="s">
        <v>3916</v>
      </c>
      <c r="B1386" s="1" t="s">
        <v>3917</v>
      </c>
      <c r="C1386" s="1" t="s">
        <v>46</v>
      </c>
      <c r="D1386" s="1" t="s">
        <v>19</v>
      </c>
      <c r="E1386" s="1">
        <v>2008</v>
      </c>
      <c r="F1386" s="1" t="s">
        <v>122</v>
      </c>
      <c r="G1386" s="1" t="s">
        <v>1879</v>
      </c>
      <c r="H1386" s="1">
        <v>55</v>
      </c>
      <c r="I1386" s="1" t="s">
        <v>22</v>
      </c>
      <c r="J1386" s="1">
        <v>9.1999999999999993</v>
      </c>
      <c r="K1386" s="1">
        <v>60.8</v>
      </c>
      <c r="L1386" s="1" t="s">
        <v>90</v>
      </c>
      <c r="M1386" s="1" t="s">
        <v>106</v>
      </c>
      <c r="N1386" s="1" t="s">
        <v>43</v>
      </c>
      <c r="O1386" s="1">
        <v>1</v>
      </c>
      <c r="P1386" s="1">
        <v>43</v>
      </c>
      <c r="Q1386" s="1">
        <v>137.4</v>
      </c>
      <c r="R1386" s="8" t="str">
        <f>_xlfn.IFS(J1386&gt;=8,"Hit",J1386&gt;=6,"Average",J1386&lt;6,"Flop")</f>
        <v>Hit</v>
      </c>
      <c r="S1386" s="9" t="str">
        <f>_xlfn.IFS(K1386&gt;=400,"Blockbuster",K1386&gt;=200,"Popular",K1386&lt;200,"Normal")</f>
        <v>Normal</v>
      </c>
      <c r="T1386" s="10" t="str">
        <f>IF(OR(I1386="PG",I1386="G"),"Yes","No")</f>
        <v>No</v>
      </c>
      <c r="U1386" s="11" t="str">
        <f>IF(P1386&gt;=100,"High","Low")</f>
        <v>Low</v>
      </c>
      <c r="V1386" s="28">
        <f t="shared" si="42"/>
        <v>94.4</v>
      </c>
      <c r="W1386" s="29">
        <f t="shared" si="43"/>
        <v>319.53488372093022</v>
      </c>
    </row>
    <row r="1387" spans="1:23" x14ac:dyDescent="0.3">
      <c r="A1387" s="1" t="s">
        <v>3918</v>
      </c>
      <c r="B1387" s="1" t="s">
        <v>3919</v>
      </c>
      <c r="C1387" s="1" t="s">
        <v>18</v>
      </c>
      <c r="D1387" s="1" t="s">
        <v>117</v>
      </c>
      <c r="E1387" s="1">
        <v>2006</v>
      </c>
      <c r="F1387" s="1" t="s">
        <v>20</v>
      </c>
      <c r="G1387" s="1" t="s">
        <v>1600</v>
      </c>
      <c r="H1387" s="1">
        <v>88</v>
      </c>
      <c r="I1387" s="1" t="s">
        <v>40</v>
      </c>
      <c r="J1387" s="1">
        <v>6.8</v>
      </c>
      <c r="K1387" s="1">
        <v>148</v>
      </c>
      <c r="L1387" s="1" t="s">
        <v>71</v>
      </c>
      <c r="M1387" s="1" t="s">
        <v>111</v>
      </c>
      <c r="N1387" s="1" t="s">
        <v>79</v>
      </c>
      <c r="O1387" s="1"/>
      <c r="P1387" s="1">
        <v>80</v>
      </c>
      <c r="Q1387" s="1">
        <v>397.1</v>
      </c>
      <c r="R1387" s="8" t="str">
        <f>_xlfn.IFS(J1387&gt;=8,"Hit",J1387&gt;=6,"Average",J1387&lt;6,"Flop")</f>
        <v>Average</v>
      </c>
      <c r="S1387" s="9" t="str">
        <f>_xlfn.IFS(K1387&gt;=400,"Blockbuster",K1387&gt;=200,"Popular",K1387&lt;200,"Normal")</f>
        <v>Normal</v>
      </c>
      <c r="T1387" s="10" t="str">
        <f>IF(OR(I1387="PG",I1387="G"),"Yes","No")</f>
        <v>Yes</v>
      </c>
      <c r="U1387" s="11" t="str">
        <f>IF(P1387&gt;=100,"High","Low")</f>
        <v>Low</v>
      </c>
      <c r="V1387" s="28">
        <f t="shared" si="42"/>
        <v>317.10000000000002</v>
      </c>
      <c r="W1387" s="29">
        <f t="shared" si="43"/>
        <v>496.375</v>
      </c>
    </row>
    <row r="1388" spans="1:23" x14ac:dyDescent="0.3">
      <c r="A1388" s="1" t="s">
        <v>3920</v>
      </c>
      <c r="B1388" s="1" t="s">
        <v>3921</v>
      </c>
      <c r="C1388" s="1" t="s">
        <v>46</v>
      </c>
      <c r="D1388" s="1" t="s">
        <v>19</v>
      </c>
      <c r="E1388" s="1">
        <v>2002</v>
      </c>
      <c r="F1388" s="1" t="s">
        <v>38</v>
      </c>
      <c r="G1388" s="1" t="s">
        <v>3922</v>
      </c>
      <c r="H1388" s="1">
        <v>34</v>
      </c>
      <c r="I1388" s="1" t="s">
        <v>110</v>
      </c>
      <c r="J1388" s="1">
        <v>8.8000000000000007</v>
      </c>
      <c r="K1388" s="1">
        <v>502</v>
      </c>
      <c r="L1388" s="1" t="s">
        <v>65</v>
      </c>
      <c r="M1388" s="1" t="s">
        <v>85</v>
      </c>
      <c r="N1388" s="1" t="s">
        <v>91</v>
      </c>
      <c r="O1388" s="1">
        <v>7</v>
      </c>
      <c r="P1388" s="1">
        <v>13</v>
      </c>
      <c r="Q1388" s="1">
        <v>23.9</v>
      </c>
      <c r="R1388" s="8" t="str">
        <f>_xlfn.IFS(J1388&gt;=8,"Hit",J1388&gt;=6,"Average",J1388&lt;6,"Flop")</f>
        <v>Hit</v>
      </c>
      <c r="S1388" s="9" t="str">
        <f>_xlfn.IFS(K1388&gt;=400,"Blockbuster",K1388&gt;=200,"Popular",K1388&lt;200,"Normal")</f>
        <v>Blockbuster</v>
      </c>
      <c r="T1388" s="10" t="str">
        <f>IF(OR(I1388="PG",I1388="G"),"Yes","No")</f>
        <v>No</v>
      </c>
      <c r="U1388" s="11" t="str">
        <f>IF(P1388&gt;=100,"High","Low")</f>
        <v>Low</v>
      </c>
      <c r="V1388" s="28">
        <f t="shared" si="42"/>
        <v>10.899999999999999</v>
      </c>
      <c r="W1388" s="29">
        <f t="shared" si="43"/>
        <v>183.84615384615384</v>
      </c>
    </row>
    <row r="1389" spans="1:23" x14ac:dyDescent="0.3">
      <c r="A1389" s="1" t="s">
        <v>3923</v>
      </c>
      <c r="B1389" s="1" t="s">
        <v>3924</v>
      </c>
      <c r="C1389" s="1" t="s">
        <v>18</v>
      </c>
      <c r="D1389" s="1" t="s">
        <v>19</v>
      </c>
      <c r="E1389" s="1">
        <v>2011</v>
      </c>
      <c r="F1389" s="1" t="s">
        <v>83</v>
      </c>
      <c r="G1389" s="1" t="s">
        <v>3925</v>
      </c>
      <c r="H1389" s="1">
        <v>146</v>
      </c>
      <c r="I1389" s="1" t="s">
        <v>50</v>
      </c>
      <c r="J1389" s="1">
        <v>7.1</v>
      </c>
      <c r="K1389" s="1">
        <v>574.9</v>
      </c>
      <c r="L1389" s="1" t="s">
        <v>71</v>
      </c>
      <c r="M1389" s="1" t="s">
        <v>157</v>
      </c>
      <c r="N1389" s="1" t="s">
        <v>158</v>
      </c>
      <c r="O1389" s="1"/>
      <c r="P1389" s="1">
        <v>9</v>
      </c>
      <c r="Q1389" s="1">
        <v>14.3</v>
      </c>
      <c r="R1389" s="8" t="str">
        <f>_xlfn.IFS(J1389&gt;=8,"Hit",J1389&gt;=6,"Average",J1389&lt;6,"Flop")</f>
        <v>Average</v>
      </c>
      <c r="S1389" s="9" t="str">
        <f>_xlfn.IFS(K1389&gt;=400,"Blockbuster",K1389&gt;=200,"Popular",K1389&lt;200,"Normal")</f>
        <v>Blockbuster</v>
      </c>
      <c r="T1389" s="10" t="str">
        <f>IF(OR(I1389="PG",I1389="G"),"Yes","No")</f>
        <v>Yes</v>
      </c>
      <c r="U1389" s="11" t="str">
        <f>IF(P1389&gt;=100,"High","Low")</f>
        <v>Low</v>
      </c>
      <c r="V1389" s="28">
        <f t="shared" si="42"/>
        <v>5.3000000000000007</v>
      </c>
      <c r="W1389" s="29">
        <f t="shared" si="43"/>
        <v>158.88888888888891</v>
      </c>
    </row>
    <row r="1390" spans="1:23" x14ac:dyDescent="0.3">
      <c r="A1390" s="1" t="s">
        <v>3926</v>
      </c>
      <c r="B1390" s="1" t="s">
        <v>3927</v>
      </c>
      <c r="C1390" s="1" t="s">
        <v>46</v>
      </c>
      <c r="D1390" s="1" t="s">
        <v>58</v>
      </c>
      <c r="E1390" s="1">
        <v>2016</v>
      </c>
      <c r="F1390" s="1" t="s">
        <v>181</v>
      </c>
      <c r="G1390" s="1" t="s">
        <v>3928</v>
      </c>
      <c r="H1390" s="1">
        <v>55</v>
      </c>
      <c r="I1390" s="1" t="s">
        <v>50</v>
      </c>
      <c r="J1390" s="1">
        <v>6.1</v>
      </c>
      <c r="K1390" s="1">
        <v>596.20000000000005</v>
      </c>
      <c r="L1390" s="1" t="s">
        <v>171</v>
      </c>
      <c r="M1390" s="1" t="s">
        <v>146</v>
      </c>
      <c r="N1390" s="1" t="s">
        <v>25</v>
      </c>
      <c r="O1390" s="1">
        <v>6</v>
      </c>
      <c r="P1390" s="1">
        <v>120</v>
      </c>
      <c r="Q1390" s="1">
        <v>679.5</v>
      </c>
      <c r="R1390" s="8" t="str">
        <f>_xlfn.IFS(J1390&gt;=8,"Hit",J1390&gt;=6,"Average",J1390&lt;6,"Flop")</f>
        <v>Average</v>
      </c>
      <c r="S1390" s="9" t="str">
        <f>_xlfn.IFS(K1390&gt;=400,"Blockbuster",K1390&gt;=200,"Popular",K1390&lt;200,"Normal")</f>
        <v>Blockbuster</v>
      </c>
      <c r="T1390" s="10" t="str">
        <f>IF(OR(I1390="PG",I1390="G"),"Yes","No")</f>
        <v>Yes</v>
      </c>
      <c r="U1390" s="11" t="str">
        <f>IF(P1390&gt;=100,"High","Low")</f>
        <v>High</v>
      </c>
      <c r="V1390" s="28">
        <f t="shared" si="42"/>
        <v>559.5</v>
      </c>
      <c r="W1390" s="29">
        <f t="shared" si="43"/>
        <v>566.25</v>
      </c>
    </row>
    <row r="1391" spans="1:23" x14ac:dyDescent="0.3">
      <c r="A1391" s="1" t="s">
        <v>3929</v>
      </c>
      <c r="B1391" s="1" t="s">
        <v>3930</v>
      </c>
      <c r="C1391" s="1" t="s">
        <v>18</v>
      </c>
      <c r="D1391" s="1" t="s">
        <v>75</v>
      </c>
      <c r="E1391" s="1">
        <v>2006</v>
      </c>
      <c r="F1391" s="1" t="s">
        <v>76</v>
      </c>
      <c r="G1391" s="1" t="s">
        <v>3931</v>
      </c>
      <c r="H1391" s="1">
        <v>135</v>
      </c>
      <c r="I1391" s="1" t="s">
        <v>40</v>
      </c>
      <c r="J1391" s="1">
        <v>7.3</v>
      </c>
      <c r="K1391" s="1">
        <v>546</v>
      </c>
      <c r="L1391" s="1" t="s">
        <v>90</v>
      </c>
      <c r="M1391" s="1" t="s">
        <v>106</v>
      </c>
      <c r="N1391" s="1" t="s">
        <v>67</v>
      </c>
      <c r="O1391" s="1"/>
      <c r="P1391" s="1">
        <v>52</v>
      </c>
      <c r="Q1391" s="1">
        <v>128</v>
      </c>
      <c r="R1391" s="8" t="str">
        <f>_xlfn.IFS(J1391&gt;=8,"Hit",J1391&gt;=6,"Average",J1391&lt;6,"Flop")</f>
        <v>Average</v>
      </c>
      <c r="S1391" s="9" t="str">
        <f>_xlfn.IFS(K1391&gt;=400,"Blockbuster",K1391&gt;=200,"Popular",K1391&lt;200,"Normal")</f>
        <v>Blockbuster</v>
      </c>
      <c r="T1391" s="10" t="str">
        <f>IF(OR(I1391="PG",I1391="G"),"Yes","No")</f>
        <v>Yes</v>
      </c>
      <c r="U1391" s="11" t="str">
        <f>IF(P1391&gt;=100,"High","Low")</f>
        <v>Low</v>
      </c>
      <c r="V1391" s="28">
        <f t="shared" si="42"/>
        <v>76</v>
      </c>
      <c r="W1391" s="29">
        <f t="shared" si="43"/>
        <v>246.15384615384616</v>
      </c>
    </row>
    <row r="1392" spans="1:23" x14ac:dyDescent="0.3">
      <c r="A1392" s="1" t="s">
        <v>3932</v>
      </c>
      <c r="B1392" s="1" t="s">
        <v>3933</v>
      </c>
      <c r="C1392" s="1" t="s">
        <v>46</v>
      </c>
      <c r="D1392" s="1" t="s">
        <v>37</v>
      </c>
      <c r="E1392" s="1">
        <v>2024</v>
      </c>
      <c r="F1392" s="1" t="s">
        <v>29</v>
      </c>
      <c r="G1392" s="1" t="s">
        <v>3934</v>
      </c>
      <c r="H1392" s="1">
        <v>53</v>
      </c>
      <c r="I1392" s="1" t="s">
        <v>50</v>
      </c>
      <c r="J1392" s="1">
        <v>5.7</v>
      </c>
      <c r="K1392" s="1">
        <v>199.5</v>
      </c>
      <c r="L1392" s="1" t="s">
        <v>32</v>
      </c>
      <c r="M1392" s="1" t="s">
        <v>124</v>
      </c>
      <c r="N1392" s="1" t="s">
        <v>55</v>
      </c>
      <c r="O1392" s="1">
        <v>5</v>
      </c>
      <c r="P1392" s="1">
        <v>90</v>
      </c>
      <c r="Q1392" s="1">
        <v>425.4</v>
      </c>
      <c r="R1392" s="8" t="str">
        <f>_xlfn.IFS(J1392&gt;=8,"Hit",J1392&gt;=6,"Average",J1392&lt;6,"Flop")</f>
        <v>Flop</v>
      </c>
      <c r="S1392" s="9" t="str">
        <f>_xlfn.IFS(K1392&gt;=400,"Blockbuster",K1392&gt;=200,"Popular",K1392&lt;200,"Normal")</f>
        <v>Normal</v>
      </c>
      <c r="T1392" s="10" t="str">
        <f>IF(OR(I1392="PG",I1392="G"),"Yes","No")</f>
        <v>Yes</v>
      </c>
      <c r="U1392" s="11" t="str">
        <f>IF(P1392&gt;=100,"High","Low")</f>
        <v>Low</v>
      </c>
      <c r="V1392" s="28">
        <f t="shared" si="42"/>
        <v>335.4</v>
      </c>
      <c r="W1392" s="29">
        <f t="shared" si="43"/>
        <v>472.66666666666663</v>
      </c>
    </row>
    <row r="1393" spans="1:23" x14ac:dyDescent="0.3">
      <c r="A1393" s="1" t="s">
        <v>3935</v>
      </c>
      <c r="B1393" s="1" t="s">
        <v>3936</v>
      </c>
      <c r="C1393" s="1" t="s">
        <v>18</v>
      </c>
      <c r="D1393" s="1" t="s">
        <v>94</v>
      </c>
      <c r="E1393" s="1">
        <v>2000</v>
      </c>
      <c r="F1393" s="1" t="s">
        <v>100</v>
      </c>
      <c r="G1393" s="1" t="s">
        <v>3937</v>
      </c>
      <c r="H1393" s="1">
        <v>113</v>
      </c>
      <c r="I1393" s="1" t="s">
        <v>31</v>
      </c>
      <c r="J1393" s="1">
        <v>6.5</v>
      </c>
      <c r="K1393" s="1">
        <v>442.2</v>
      </c>
      <c r="L1393" s="1" t="s">
        <v>32</v>
      </c>
      <c r="M1393" s="1" t="s">
        <v>78</v>
      </c>
      <c r="N1393" s="1" t="s">
        <v>79</v>
      </c>
      <c r="O1393" s="1"/>
      <c r="P1393" s="1">
        <v>191</v>
      </c>
      <c r="Q1393" s="1">
        <v>1047.9000000000001</v>
      </c>
      <c r="R1393" s="8" t="str">
        <f>_xlfn.IFS(J1393&gt;=8,"Hit",J1393&gt;=6,"Average",J1393&lt;6,"Flop")</f>
        <v>Average</v>
      </c>
      <c r="S1393" s="9" t="str">
        <f>_xlfn.IFS(K1393&gt;=400,"Blockbuster",K1393&gt;=200,"Popular",K1393&lt;200,"Normal")</f>
        <v>Blockbuster</v>
      </c>
      <c r="T1393" s="10" t="str">
        <f>IF(OR(I1393="PG",I1393="G"),"Yes","No")</f>
        <v>No</v>
      </c>
      <c r="U1393" s="11" t="str">
        <f>IF(P1393&gt;=100,"High","Low")</f>
        <v>High</v>
      </c>
      <c r="V1393" s="28">
        <f t="shared" si="42"/>
        <v>856.90000000000009</v>
      </c>
      <c r="W1393" s="29">
        <f t="shared" si="43"/>
        <v>548.63874345549743</v>
      </c>
    </row>
    <row r="1394" spans="1:23" x14ac:dyDescent="0.3">
      <c r="A1394" s="1" t="s">
        <v>3938</v>
      </c>
      <c r="B1394" s="1" t="s">
        <v>3939</v>
      </c>
      <c r="C1394" s="1" t="s">
        <v>46</v>
      </c>
      <c r="D1394" s="1" t="s">
        <v>28</v>
      </c>
      <c r="E1394" s="1">
        <v>2007</v>
      </c>
      <c r="F1394" s="1" t="s">
        <v>100</v>
      </c>
      <c r="G1394" s="1" t="s">
        <v>3547</v>
      </c>
      <c r="H1394" s="1">
        <v>48</v>
      </c>
      <c r="I1394" s="1" t="s">
        <v>110</v>
      </c>
      <c r="J1394" s="1">
        <v>6.7</v>
      </c>
      <c r="K1394" s="1">
        <v>566.20000000000005</v>
      </c>
      <c r="L1394" s="1" t="s">
        <v>23</v>
      </c>
      <c r="M1394" s="1" t="s">
        <v>97</v>
      </c>
      <c r="N1394" s="1" t="s">
        <v>60</v>
      </c>
      <c r="O1394" s="1">
        <v>7</v>
      </c>
      <c r="P1394" s="1">
        <v>81</v>
      </c>
      <c r="Q1394" s="1">
        <v>256.2</v>
      </c>
      <c r="R1394" s="8" t="str">
        <f>_xlfn.IFS(J1394&gt;=8,"Hit",J1394&gt;=6,"Average",J1394&lt;6,"Flop")</f>
        <v>Average</v>
      </c>
      <c r="S1394" s="9" t="str">
        <f>_xlfn.IFS(K1394&gt;=400,"Blockbuster",K1394&gt;=200,"Popular",K1394&lt;200,"Normal")</f>
        <v>Blockbuster</v>
      </c>
      <c r="T1394" s="10" t="str">
        <f>IF(OR(I1394="PG",I1394="G"),"Yes","No")</f>
        <v>No</v>
      </c>
      <c r="U1394" s="11" t="str">
        <f>IF(P1394&gt;=100,"High","Low")</f>
        <v>Low</v>
      </c>
      <c r="V1394" s="28">
        <f t="shared" si="42"/>
        <v>175.2</v>
      </c>
      <c r="W1394" s="29">
        <f t="shared" si="43"/>
        <v>316.2962962962963</v>
      </c>
    </row>
    <row r="1395" spans="1:23" x14ac:dyDescent="0.3">
      <c r="A1395" s="1" t="s">
        <v>3940</v>
      </c>
      <c r="B1395" s="1" t="s">
        <v>3941</v>
      </c>
      <c r="C1395" s="1" t="s">
        <v>46</v>
      </c>
      <c r="D1395" s="1" t="s">
        <v>63</v>
      </c>
      <c r="E1395" s="1">
        <v>2024</v>
      </c>
      <c r="F1395" s="1" t="s">
        <v>83</v>
      </c>
      <c r="G1395" s="1" t="s">
        <v>3942</v>
      </c>
      <c r="H1395" s="1">
        <v>58</v>
      </c>
      <c r="I1395" s="1" t="s">
        <v>40</v>
      </c>
      <c r="J1395" s="1">
        <v>6.8</v>
      </c>
      <c r="K1395" s="1">
        <v>550.9</v>
      </c>
      <c r="L1395" s="1" t="s">
        <v>90</v>
      </c>
      <c r="M1395" s="1" t="s">
        <v>106</v>
      </c>
      <c r="N1395" s="1" t="s">
        <v>119</v>
      </c>
      <c r="O1395" s="1">
        <v>5</v>
      </c>
      <c r="P1395" s="1">
        <v>18</v>
      </c>
      <c r="Q1395" s="1">
        <v>56.2</v>
      </c>
      <c r="R1395" s="8" t="str">
        <f>_xlfn.IFS(J1395&gt;=8,"Hit",J1395&gt;=6,"Average",J1395&lt;6,"Flop")</f>
        <v>Average</v>
      </c>
      <c r="S1395" s="9" t="str">
        <f>_xlfn.IFS(K1395&gt;=400,"Blockbuster",K1395&gt;=200,"Popular",K1395&lt;200,"Normal")</f>
        <v>Blockbuster</v>
      </c>
      <c r="T1395" s="10" t="str">
        <f>IF(OR(I1395="PG",I1395="G"),"Yes","No")</f>
        <v>Yes</v>
      </c>
      <c r="U1395" s="11" t="str">
        <f>IF(P1395&gt;=100,"High","Low")</f>
        <v>Low</v>
      </c>
      <c r="V1395" s="28">
        <f t="shared" si="42"/>
        <v>38.200000000000003</v>
      </c>
      <c r="W1395" s="29">
        <f t="shared" si="43"/>
        <v>312.22222222222223</v>
      </c>
    </row>
    <row r="1396" spans="1:23" x14ac:dyDescent="0.3">
      <c r="A1396" s="1" t="s">
        <v>3943</v>
      </c>
      <c r="B1396" s="1" t="s">
        <v>3944</v>
      </c>
      <c r="C1396" s="1" t="s">
        <v>18</v>
      </c>
      <c r="D1396" s="1" t="s">
        <v>82</v>
      </c>
      <c r="E1396" s="1">
        <v>2018</v>
      </c>
      <c r="F1396" s="1" t="s">
        <v>76</v>
      </c>
      <c r="G1396" s="1" t="s">
        <v>3945</v>
      </c>
      <c r="H1396" s="1">
        <v>101</v>
      </c>
      <c r="I1396" s="1" t="s">
        <v>22</v>
      </c>
      <c r="J1396" s="1">
        <v>7.6</v>
      </c>
      <c r="K1396" s="1">
        <v>97.6</v>
      </c>
      <c r="L1396" s="1" t="s">
        <v>71</v>
      </c>
      <c r="M1396" s="1" t="s">
        <v>146</v>
      </c>
      <c r="N1396" s="1" t="s">
        <v>55</v>
      </c>
      <c r="O1396" s="1"/>
      <c r="P1396" s="1">
        <v>9</v>
      </c>
      <c r="Q1396" s="1">
        <v>21.2</v>
      </c>
      <c r="R1396" s="8" t="str">
        <f>_xlfn.IFS(J1396&gt;=8,"Hit",J1396&gt;=6,"Average",J1396&lt;6,"Flop")</f>
        <v>Average</v>
      </c>
      <c r="S1396" s="9" t="str">
        <f>_xlfn.IFS(K1396&gt;=400,"Blockbuster",K1396&gt;=200,"Popular",K1396&lt;200,"Normal")</f>
        <v>Normal</v>
      </c>
      <c r="T1396" s="10" t="str">
        <f>IF(OR(I1396="PG",I1396="G"),"Yes","No")</f>
        <v>No</v>
      </c>
      <c r="U1396" s="11" t="str">
        <f>IF(P1396&gt;=100,"High","Low")</f>
        <v>Low</v>
      </c>
      <c r="V1396" s="28">
        <f t="shared" si="42"/>
        <v>12.2</v>
      </c>
      <c r="W1396" s="29">
        <f t="shared" si="43"/>
        <v>235.55555555555557</v>
      </c>
    </row>
    <row r="1397" spans="1:23" x14ac:dyDescent="0.3">
      <c r="A1397" s="1" t="s">
        <v>3946</v>
      </c>
      <c r="B1397" s="1" t="s">
        <v>3947</v>
      </c>
      <c r="C1397" s="1" t="s">
        <v>18</v>
      </c>
      <c r="D1397" s="1" t="s">
        <v>75</v>
      </c>
      <c r="E1397" s="1">
        <v>2023</v>
      </c>
      <c r="F1397" s="1" t="s">
        <v>48</v>
      </c>
      <c r="G1397" s="1" t="s">
        <v>1882</v>
      </c>
      <c r="H1397" s="1">
        <v>126</v>
      </c>
      <c r="I1397" s="1" t="s">
        <v>40</v>
      </c>
      <c r="J1397" s="1">
        <v>6.2</v>
      </c>
      <c r="K1397" s="1">
        <v>204.9</v>
      </c>
      <c r="L1397" s="1" t="s">
        <v>23</v>
      </c>
      <c r="M1397" s="1" t="s">
        <v>106</v>
      </c>
      <c r="N1397" s="1" t="s">
        <v>25</v>
      </c>
      <c r="O1397" s="1"/>
      <c r="P1397" s="1">
        <v>154</v>
      </c>
      <c r="Q1397" s="1">
        <v>831.4</v>
      </c>
      <c r="R1397" s="8" t="str">
        <f>_xlfn.IFS(J1397&gt;=8,"Hit",J1397&gt;=6,"Average",J1397&lt;6,"Flop")</f>
        <v>Average</v>
      </c>
      <c r="S1397" s="9" t="str">
        <f>_xlfn.IFS(K1397&gt;=400,"Blockbuster",K1397&gt;=200,"Popular",K1397&lt;200,"Normal")</f>
        <v>Popular</v>
      </c>
      <c r="T1397" s="10" t="str">
        <f>IF(OR(I1397="PG",I1397="G"),"Yes","No")</f>
        <v>Yes</v>
      </c>
      <c r="U1397" s="11" t="str">
        <f>IF(P1397&gt;=100,"High","Low")</f>
        <v>High</v>
      </c>
      <c r="V1397" s="28">
        <f t="shared" si="42"/>
        <v>677.4</v>
      </c>
      <c r="W1397" s="29">
        <f t="shared" si="43"/>
        <v>539.87012987012986</v>
      </c>
    </row>
    <row r="1398" spans="1:23" x14ac:dyDescent="0.3">
      <c r="A1398" s="1" t="s">
        <v>3948</v>
      </c>
      <c r="B1398" s="1" t="s">
        <v>3949</v>
      </c>
      <c r="C1398" s="1" t="s">
        <v>46</v>
      </c>
      <c r="D1398" s="1" t="s">
        <v>37</v>
      </c>
      <c r="E1398" s="1">
        <v>2001</v>
      </c>
      <c r="F1398" s="1" t="s">
        <v>181</v>
      </c>
      <c r="G1398" s="1" t="s">
        <v>3950</v>
      </c>
      <c r="H1398" s="1">
        <v>53</v>
      </c>
      <c r="I1398" s="1" t="s">
        <v>40</v>
      </c>
      <c r="J1398" s="1">
        <v>6</v>
      </c>
      <c r="K1398" s="1">
        <v>132</v>
      </c>
      <c r="L1398" s="1" t="s">
        <v>171</v>
      </c>
      <c r="M1398" s="1" t="s">
        <v>132</v>
      </c>
      <c r="N1398" s="1" t="s">
        <v>102</v>
      </c>
      <c r="O1398" s="1">
        <v>6</v>
      </c>
      <c r="P1398" s="1">
        <v>128</v>
      </c>
      <c r="Q1398" s="1">
        <v>365.1</v>
      </c>
      <c r="R1398" s="8" t="str">
        <f>_xlfn.IFS(J1398&gt;=8,"Hit",J1398&gt;=6,"Average",J1398&lt;6,"Flop")</f>
        <v>Average</v>
      </c>
      <c r="S1398" s="9" t="str">
        <f>_xlfn.IFS(K1398&gt;=400,"Blockbuster",K1398&gt;=200,"Popular",K1398&lt;200,"Normal")</f>
        <v>Normal</v>
      </c>
      <c r="T1398" s="10" t="str">
        <f>IF(OR(I1398="PG",I1398="G"),"Yes","No")</f>
        <v>Yes</v>
      </c>
      <c r="U1398" s="11" t="str">
        <f>IF(P1398&gt;=100,"High","Low")</f>
        <v>High</v>
      </c>
      <c r="V1398" s="28">
        <f t="shared" si="42"/>
        <v>237.10000000000002</v>
      </c>
      <c r="W1398" s="29">
        <f t="shared" si="43"/>
        <v>285.234375</v>
      </c>
    </row>
    <row r="1399" spans="1:23" x14ac:dyDescent="0.3">
      <c r="A1399" s="1" t="s">
        <v>3951</v>
      </c>
      <c r="B1399" s="1" t="s">
        <v>3952</v>
      </c>
      <c r="C1399" s="1" t="s">
        <v>46</v>
      </c>
      <c r="D1399" s="1" t="s">
        <v>82</v>
      </c>
      <c r="E1399" s="1">
        <v>2007</v>
      </c>
      <c r="F1399" s="1" t="s">
        <v>83</v>
      </c>
      <c r="G1399" s="1" t="s">
        <v>3953</v>
      </c>
      <c r="H1399" s="1">
        <v>36</v>
      </c>
      <c r="I1399" s="1" t="s">
        <v>40</v>
      </c>
      <c r="J1399" s="1">
        <v>5.0999999999999996</v>
      </c>
      <c r="K1399" s="1">
        <v>561.70000000000005</v>
      </c>
      <c r="L1399" s="1" t="s">
        <v>171</v>
      </c>
      <c r="M1399" s="1" t="s">
        <v>111</v>
      </c>
      <c r="N1399" s="1" t="s">
        <v>119</v>
      </c>
      <c r="O1399" s="1">
        <v>8</v>
      </c>
      <c r="P1399" s="1">
        <v>34</v>
      </c>
      <c r="Q1399" s="1">
        <v>149.19999999999999</v>
      </c>
      <c r="R1399" s="8" t="str">
        <f>_xlfn.IFS(J1399&gt;=8,"Hit",J1399&gt;=6,"Average",J1399&lt;6,"Flop")</f>
        <v>Flop</v>
      </c>
      <c r="S1399" s="9" t="str">
        <f>_xlfn.IFS(K1399&gt;=400,"Blockbuster",K1399&gt;=200,"Popular",K1399&lt;200,"Normal")</f>
        <v>Blockbuster</v>
      </c>
      <c r="T1399" s="10" t="str">
        <f>IF(OR(I1399="PG",I1399="G"),"Yes","No")</f>
        <v>Yes</v>
      </c>
      <c r="U1399" s="11" t="str">
        <f>IF(P1399&gt;=100,"High","Low")</f>
        <v>Low</v>
      </c>
      <c r="V1399" s="28">
        <f t="shared" si="42"/>
        <v>115.19999999999999</v>
      </c>
      <c r="W1399" s="29">
        <f t="shared" si="43"/>
        <v>438.82352941176464</v>
      </c>
    </row>
    <row r="1400" spans="1:23" x14ac:dyDescent="0.3">
      <c r="A1400" s="1" t="s">
        <v>3954</v>
      </c>
      <c r="B1400" s="1" t="s">
        <v>3955</v>
      </c>
      <c r="C1400" s="1" t="s">
        <v>18</v>
      </c>
      <c r="D1400" s="1" t="s">
        <v>58</v>
      </c>
      <c r="E1400" s="1">
        <v>2003</v>
      </c>
      <c r="F1400" s="1" t="s">
        <v>48</v>
      </c>
      <c r="G1400" s="1" t="s">
        <v>3956</v>
      </c>
      <c r="H1400" s="1">
        <v>130</v>
      </c>
      <c r="I1400" s="1" t="s">
        <v>22</v>
      </c>
      <c r="J1400" s="1">
        <v>8.8000000000000007</v>
      </c>
      <c r="K1400" s="1">
        <v>27.7</v>
      </c>
      <c r="L1400" s="1" t="s">
        <v>90</v>
      </c>
      <c r="M1400" s="1" t="s">
        <v>66</v>
      </c>
      <c r="N1400" s="1" t="s">
        <v>102</v>
      </c>
      <c r="O1400" s="1"/>
      <c r="P1400" s="1">
        <v>81</v>
      </c>
      <c r="Q1400" s="1">
        <v>452</v>
      </c>
      <c r="R1400" s="8" t="str">
        <f>_xlfn.IFS(J1400&gt;=8,"Hit",J1400&gt;=6,"Average",J1400&lt;6,"Flop")</f>
        <v>Hit</v>
      </c>
      <c r="S1400" s="9" t="str">
        <f>_xlfn.IFS(K1400&gt;=400,"Blockbuster",K1400&gt;=200,"Popular",K1400&lt;200,"Normal")</f>
        <v>Normal</v>
      </c>
      <c r="T1400" s="10" t="str">
        <f>IF(OR(I1400="PG",I1400="G"),"Yes","No")</f>
        <v>No</v>
      </c>
      <c r="U1400" s="11" t="str">
        <f>IF(P1400&gt;=100,"High","Low")</f>
        <v>Low</v>
      </c>
      <c r="V1400" s="28">
        <f t="shared" si="42"/>
        <v>371</v>
      </c>
      <c r="W1400" s="29">
        <f t="shared" si="43"/>
        <v>558.02469135802471</v>
      </c>
    </row>
    <row r="1401" spans="1:23" x14ac:dyDescent="0.3">
      <c r="A1401" s="1" t="s">
        <v>3957</v>
      </c>
      <c r="B1401" s="1" t="s">
        <v>3958</v>
      </c>
      <c r="C1401" s="1" t="s">
        <v>46</v>
      </c>
      <c r="D1401" s="1" t="s">
        <v>94</v>
      </c>
      <c r="E1401" s="1">
        <v>2001</v>
      </c>
      <c r="F1401" s="1" t="s">
        <v>95</v>
      </c>
      <c r="G1401" s="1" t="s">
        <v>3245</v>
      </c>
      <c r="H1401" s="1">
        <v>55</v>
      </c>
      <c r="I1401" s="1" t="s">
        <v>31</v>
      </c>
      <c r="J1401" s="1">
        <v>6.9</v>
      </c>
      <c r="K1401" s="1">
        <v>500.6</v>
      </c>
      <c r="L1401" s="1" t="s">
        <v>32</v>
      </c>
      <c r="M1401" s="1" t="s">
        <v>111</v>
      </c>
      <c r="N1401" s="1" t="s">
        <v>178</v>
      </c>
      <c r="O1401" s="1">
        <v>8</v>
      </c>
      <c r="P1401" s="1">
        <v>178</v>
      </c>
      <c r="Q1401" s="1">
        <v>263.39999999999998</v>
      </c>
      <c r="R1401" s="8" t="str">
        <f>_xlfn.IFS(J1401&gt;=8,"Hit",J1401&gt;=6,"Average",J1401&lt;6,"Flop")</f>
        <v>Average</v>
      </c>
      <c r="S1401" s="9" t="str">
        <f>_xlfn.IFS(K1401&gt;=400,"Blockbuster",K1401&gt;=200,"Popular",K1401&lt;200,"Normal")</f>
        <v>Blockbuster</v>
      </c>
      <c r="T1401" s="10" t="str">
        <f>IF(OR(I1401="PG",I1401="G"),"Yes","No")</f>
        <v>No</v>
      </c>
      <c r="U1401" s="11" t="str">
        <f>IF(P1401&gt;=100,"High","Low")</f>
        <v>High</v>
      </c>
      <c r="V1401" s="28">
        <f t="shared" si="42"/>
        <v>85.399999999999977</v>
      </c>
      <c r="W1401" s="29">
        <f t="shared" si="43"/>
        <v>147.97752808988761</v>
      </c>
    </row>
    <row r="1402" spans="1:23" x14ac:dyDescent="0.3">
      <c r="A1402" s="1" t="s">
        <v>3959</v>
      </c>
      <c r="B1402" s="1" t="s">
        <v>3960</v>
      </c>
      <c r="C1402" s="1" t="s">
        <v>18</v>
      </c>
      <c r="D1402" s="1" t="s">
        <v>28</v>
      </c>
      <c r="E1402" s="1">
        <v>2022</v>
      </c>
      <c r="F1402" s="1" t="s">
        <v>29</v>
      </c>
      <c r="G1402" s="1" t="s">
        <v>3961</v>
      </c>
      <c r="H1402" s="1">
        <v>80</v>
      </c>
      <c r="I1402" s="1" t="s">
        <v>50</v>
      </c>
      <c r="J1402" s="1">
        <v>8</v>
      </c>
      <c r="K1402" s="1">
        <v>33.700000000000003</v>
      </c>
      <c r="L1402" s="1" t="s">
        <v>90</v>
      </c>
      <c r="M1402" s="1" t="s">
        <v>42</v>
      </c>
      <c r="N1402" s="1" t="s">
        <v>67</v>
      </c>
      <c r="O1402" s="1"/>
      <c r="P1402" s="1">
        <v>93</v>
      </c>
      <c r="Q1402" s="1">
        <v>132.80000000000001</v>
      </c>
      <c r="R1402" s="8" t="str">
        <f>_xlfn.IFS(J1402&gt;=8,"Hit",J1402&gt;=6,"Average",J1402&lt;6,"Flop")</f>
        <v>Hit</v>
      </c>
      <c r="S1402" s="9" t="str">
        <f>_xlfn.IFS(K1402&gt;=400,"Blockbuster",K1402&gt;=200,"Popular",K1402&lt;200,"Normal")</f>
        <v>Normal</v>
      </c>
      <c r="T1402" s="10" t="str">
        <f>IF(OR(I1402="PG",I1402="G"),"Yes","No")</f>
        <v>Yes</v>
      </c>
      <c r="U1402" s="11" t="str">
        <f>IF(P1402&gt;=100,"High","Low")</f>
        <v>Low</v>
      </c>
      <c r="V1402" s="28">
        <f t="shared" si="42"/>
        <v>39.800000000000011</v>
      </c>
      <c r="W1402" s="29">
        <f t="shared" si="43"/>
        <v>142.7956989247312</v>
      </c>
    </row>
    <row r="1403" spans="1:23" x14ac:dyDescent="0.3">
      <c r="A1403" s="1" t="s">
        <v>3962</v>
      </c>
      <c r="B1403" s="1" t="s">
        <v>3963</v>
      </c>
      <c r="C1403" s="1" t="s">
        <v>46</v>
      </c>
      <c r="D1403" s="1" t="s">
        <v>141</v>
      </c>
      <c r="E1403" s="1">
        <v>2003</v>
      </c>
      <c r="F1403" s="1" t="s">
        <v>76</v>
      </c>
      <c r="G1403" s="1" t="s">
        <v>3964</v>
      </c>
      <c r="H1403" s="1">
        <v>54</v>
      </c>
      <c r="I1403" s="1" t="s">
        <v>31</v>
      </c>
      <c r="J1403" s="1">
        <v>5.9</v>
      </c>
      <c r="K1403" s="1">
        <v>111</v>
      </c>
      <c r="L1403" s="1" t="s">
        <v>23</v>
      </c>
      <c r="M1403" s="1" t="s">
        <v>106</v>
      </c>
      <c r="N1403" s="1" t="s">
        <v>158</v>
      </c>
      <c r="O1403" s="1">
        <v>7</v>
      </c>
      <c r="P1403" s="1">
        <v>145</v>
      </c>
      <c r="Q1403" s="1">
        <v>683.5</v>
      </c>
      <c r="R1403" s="8" t="str">
        <f>_xlfn.IFS(J1403&gt;=8,"Hit",J1403&gt;=6,"Average",J1403&lt;6,"Flop")</f>
        <v>Flop</v>
      </c>
      <c r="S1403" s="9" t="str">
        <f>_xlfn.IFS(K1403&gt;=400,"Blockbuster",K1403&gt;=200,"Popular",K1403&lt;200,"Normal")</f>
        <v>Normal</v>
      </c>
      <c r="T1403" s="10" t="str">
        <f>IF(OR(I1403="PG",I1403="G"),"Yes","No")</f>
        <v>No</v>
      </c>
      <c r="U1403" s="11" t="str">
        <f>IF(P1403&gt;=100,"High","Low")</f>
        <v>High</v>
      </c>
      <c r="V1403" s="28">
        <f t="shared" si="42"/>
        <v>538.5</v>
      </c>
      <c r="W1403" s="29">
        <f t="shared" si="43"/>
        <v>471.37931034482756</v>
      </c>
    </row>
    <row r="1404" spans="1:23" x14ac:dyDescent="0.3">
      <c r="A1404" s="1" t="s">
        <v>3965</v>
      </c>
      <c r="B1404" s="1" t="s">
        <v>3966</v>
      </c>
      <c r="C1404" s="1" t="s">
        <v>18</v>
      </c>
      <c r="D1404" s="1" t="s">
        <v>63</v>
      </c>
      <c r="E1404" s="1">
        <v>2008</v>
      </c>
      <c r="F1404" s="1" t="s">
        <v>100</v>
      </c>
      <c r="G1404" s="1" t="s">
        <v>3967</v>
      </c>
      <c r="H1404" s="1">
        <v>148</v>
      </c>
      <c r="I1404" s="1" t="s">
        <v>31</v>
      </c>
      <c r="J1404" s="1">
        <v>8.3000000000000007</v>
      </c>
      <c r="K1404" s="1">
        <v>95.8</v>
      </c>
      <c r="L1404" s="1" t="s">
        <v>171</v>
      </c>
      <c r="M1404" s="1" t="s">
        <v>78</v>
      </c>
      <c r="N1404" s="1" t="s">
        <v>43</v>
      </c>
      <c r="O1404" s="1"/>
      <c r="P1404" s="1">
        <v>196</v>
      </c>
      <c r="Q1404" s="1">
        <v>938.2</v>
      </c>
      <c r="R1404" s="8" t="str">
        <f>_xlfn.IFS(J1404&gt;=8,"Hit",J1404&gt;=6,"Average",J1404&lt;6,"Flop")</f>
        <v>Hit</v>
      </c>
      <c r="S1404" s="9" t="str">
        <f>_xlfn.IFS(K1404&gt;=400,"Blockbuster",K1404&gt;=200,"Popular",K1404&lt;200,"Normal")</f>
        <v>Normal</v>
      </c>
      <c r="T1404" s="10" t="str">
        <f>IF(OR(I1404="PG",I1404="G"),"Yes","No")</f>
        <v>No</v>
      </c>
      <c r="U1404" s="11" t="str">
        <f>IF(P1404&gt;=100,"High","Low")</f>
        <v>High</v>
      </c>
      <c r="V1404" s="28">
        <f t="shared" si="42"/>
        <v>742.2</v>
      </c>
      <c r="W1404" s="29">
        <f t="shared" si="43"/>
        <v>478.67346938775512</v>
      </c>
    </row>
    <row r="1405" spans="1:23" x14ac:dyDescent="0.3">
      <c r="A1405" s="1" t="s">
        <v>3968</v>
      </c>
      <c r="B1405" s="1" t="s">
        <v>3969</v>
      </c>
      <c r="C1405" s="1" t="s">
        <v>46</v>
      </c>
      <c r="D1405" s="1" t="s">
        <v>58</v>
      </c>
      <c r="E1405" s="1">
        <v>2014</v>
      </c>
      <c r="F1405" s="1" t="s">
        <v>29</v>
      </c>
      <c r="G1405" s="1" t="s">
        <v>1609</v>
      </c>
      <c r="H1405" s="1">
        <v>57</v>
      </c>
      <c r="I1405" s="1" t="s">
        <v>50</v>
      </c>
      <c r="J1405" s="1">
        <v>5.0999999999999996</v>
      </c>
      <c r="K1405" s="1">
        <v>156.19999999999999</v>
      </c>
      <c r="L1405" s="1" t="s">
        <v>171</v>
      </c>
      <c r="M1405" s="1" t="s">
        <v>42</v>
      </c>
      <c r="N1405" s="1" t="s">
        <v>158</v>
      </c>
      <c r="O1405" s="1">
        <v>8</v>
      </c>
      <c r="P1405" s="1">
        <v>20</v>
      </c>
      <c r="Q1405" s="1">
        <v>47.6</v>
      </c>
      <c r="R1405" s="8" t="str">
        <f>_xlfn.IFS(J1405&gt;=8,"Hit",J1405&gt;=6,"Average",J1405&lt;6,"Flop")</f>
        <v>Flop</v>
      </c>
      <c r="S1405" s="9" t="str">
        <f>_xlfn.IFS(K1405&gt;=400,"Blockbuster",K1405&gt;=200,"Popular",K1405&lt;200,"Normal")</f>
        <v>Normal</v>
      </c>
      <c r="T1405" s="10" t="str">
        <f>IF(OR(I1405="PG",I1405="G"),"Yes","No")</f>
        <v>Yes</v>
      </c>
      <c r="U1405" s="11" t="str">
        <f>IF(P1405&gt;=100,"High","Low")</f>
        <v>Low</v>
      </c>
      <c r="V1405" s="28">
        <f t="shared" si="42"/>
        <v>27.6</v>
      </c>
      <c r="W1405" s="29">
        <f t="shared" si="43"/>
        <v>238</v>
      </c>
    </row>
    <row r="1406" spans="1:23" x14ac:dyDescent="0.3">
      <c r="A1406" s="1" t="s">
        <v>3970</v>
      </c>
      <c r="B1406" s="1" t="s">
        <v>3971</v>
      </c>
      <c r="C1406" s="1" t="s">
        <v>18</v>
      </c>
      <c r="D1406" s="1" t="s">
        <v>94</v>
      </c>
      <c r="E1406" s="1">
        <v>2004</v>
      </c>
      <c r="F1406" s="1" t="s">
        <v>181</v>
      </c>
      <c r="G1406" s="1" t="s">
        <v>3972</v>
      </c>
      <c r="H1406" s="1">
        <v>121</v>
      </c>
      <c r="I1406" s="1" t="s">
        <v>40</v>
      </c>
      <c r="J1406" s="1">
        <v>7.9</v>
      </c>
      <c r="K1406" s="1">
        <v>501.7</v>
      </c>
      <c r="L1406" s="1" t="s">
        <v>171</v>
      </c>
      <c r="M1406" s="1" t="s">
        <v>42</v>
      </c>
      <c r="N1406" s="1" t="s">
        <v>34</v>
      </c>
      <c r="O1406" s="1"/>
      <c r="P1406" s="1">
        <v>135</v>
      </c>
      <c r="Q1406" s="1">
        <v>179.2</v>
      </c>
      <c r="R1406" s="8" t="str">
        <f>_xlfn.IFS(J1406&gt;=8,"Hit",J1406&gt;=6,"Average",J1406&lt;6,"Flop")</f>
        <v>Average</v>
      </c>
      <c r="S1406" s="9" t="str">
        <f>_xlfn.IFS(K1406&gt;=400,"Blockbuster",K1406&gt;=200,"Popular",K1406&lt;200,"Normal")</f>
        <v>Blockbuster</v>
      </c>
      <c r="T1406" s="10" t="str">
        <f>IF(OR(I1406="PG",I1406="G"),"Yes","No")</f>
        <v>Yes</v>
      </c>
      <c r="U1406" s="11" t="str">
        <f>IF(P1406&gt;=100,"High","Low")</f>
        <v>High</v>
      </c>
      <c r="V1406" s="28">
        <f t="shared" si="42"/>
        <v>44.199999999999989</v>
      </c>
      <c r="W1406" s="29">
        <f t="shared" si="43"/>
        <v>132.74074074074073</v>
      </c>
    </row>
    <row r="1407" spans="1:23" x14ac:dyDescent="0.3">
      <c r="A1407" s="1" t="s">
        <v>3973</v>
      </c>
      <c r="B1407" s="1" t="s">
        <v>3974</v>
      </c>
      <c r="C1407" s="1" t="s">
        <v>18</v>
      </c>
      <c r="D1407" s="1" t="s">
        <v>82</v>
      </c>
      <c r="E1407" s="1">
        <v>2021</v>
      </c>
      <c r="F1407" s="1" t="s">
        <v>48</v>
      </c>
      <c r="G1407" s="1" t="s">
        <v>3975</v>
      </c>
      <c r="H1407" s="1">
        <v>159</v>
      </c>
      <c r="I1407" s="1" t="s">
        <v>40</v>
      </c>
      <c r="J1407" s="1">
        <v>9.1999999999999993</v>
      </c>
      <c r="K1407" s="1">
        <v>327.10000000000002</v>
      </c>
      <c r="L1407" s="1" t="s">
        <v>171</v>
      </c>
      <c r="M1407" s="1" t="s">
        <v>106</v>
      </c>
      <c r="N1407" s="1" t="s">
        <v>67</v>
      </c>
      <c r="O1407" s="1"/>
      <c r="P1407" s="1">
        <v>194</v>
      </c>
      <c r="Q1407" s="1">
        <v>932.6</v>
      </c>
      <c r="R1407" s="8" t="str">
        <f>_xlfn.IFS(J1407&gt;=8,"Hit",J1407&gt;=6,"Average",J1407&lt;6,"Flop")</f>
        <v>Hit</v>
      </c>
      <c r="S1407" s="9" t="str">
        <f>_xlfn.IFS(K1407&gt;=400,"Blockbuster",K1407&gt;=200,"Popular",K1407&lt;200,"Normal")</f>
        <v>Popular</v>
      </c>
      <c r="T1407" s="10" t="str">
        <f>IF(OR(I1407="PG",I1407="G"),"Yes","No")</f>
        <v>Yes</v>
      </c>
      <c r="U1407" s="11" t="str">
        <f>IF(P1407&gt;=100,"High","Low")</f>
        <v>High</v>
      </c>
      <c r="V1407" s="28">
        <f t="shared" si="42"/>
        <v>738.6</v>
      </c>
      <c r="W1407" s="29">
        <f t="shared" si="43"/>
        <v>480.72164948453604</v>
      </c>
    </row>
    <row r="1408" spans="1:23" x14ac:dyDescent="0.3">
      <c r="A1408" s="1" t="s">
        <v>3976</v>
      </c>
      <c r="B1408" s="1" t="s">
        <v>3977</v>
      </c>
      <c r="C1408" s="1" t="s">
        <v>18</v>
      </c>
      <c r="D1408" s="1" t="s">
        <v>19</v>
      </c>
      <c r="E1408" s="1">
        <v>2020</v>
      </c>
      <c r="F1408" s="1" t="s">
        <v>76</v>
      </c>
      <c r="G1408" s="1" t="s">
        <v>3978</v>
      </c>
      <c r="H1408" s="1">
        <v>154</v>
      </c>
      <c r="I1408" s="1" t="s">
        <v>31</v>
      </c>
      <c r="J1408" s="1">
        <v>4.9000000000000004</v>
      </c>
      <c r="K1408" s="1">
        <v>27.3</v>
      </c>
      <c r="L1408" s="1" t="s">
        <v>90</v>
      </c>
      <c r="M1408" s="1" t="s">
        <v>132</v>
      </c>
      <c r="N1408" s="1" t="s">
        <v>153</v>
      </c>
      <c r="O1408" s="1"/>
      <c r="P1408" s="1">
        <v>113</v>
      </c>
      <c r="Q1408" s="1">
        <v>488.8</v>
      </c>
      <c r="R1408" s="8" t="str">
        <f>_xlfn.IFS(J1408&gt;=8,"Hit",J1408&gt;=6,"Average",J1408&lt;6,"Flop")</f>
        <v>Flop</v>
      </c>
      <c r="S1408" s="9" t="str">
        <f>_xlfn.IFS(K1408&gt;=400,"Blockbuster",K1408&gt;=200,"Popular",K1408&lt;200,"Normal")</f>
        <v>Normal</v>
      </c>
      <c r="T1408" s="10" t="str">
        <f>IF(OR(I1408="PG",I1408="G"),"Yes","No")</f>
        <v>No</v>
      </c>
      <c r="U1408" s="11" t="str">
        <f>IF(P1408&gt;=100,"High","Low")</f>
        <v>High</v>
      </c>
      <c r="V1408" s="28">
        <f t="shared" si="42"/>
        <v>375.8</v>
      </c>
      <c r="W1408" s="29">
        <f t="shared" si="43"/>
        <v>432.56637168141594</v>
      </c>
    </row>
    <row r="1409" spans="1:23" x14ac:dyDescent="0.3">
      <c r="A1409" s="1" t="s">
        <v>3979</v>
      </c>
      <c r="B1409" s="1" t="s">
        <v>3980</v>
      </c>
      <c r="C1409" s="1" t="s">
        <v>18</v>
      </c>
      <c r="D1409" s="1" t="s">
        <v>19</v>
      </c>
      <c r="E1409" s="1">
        <v>2001</v>
      </c>
      <c r="F1409" s="1" t="s">
        <v>29</v>
      </c>
      <c r="G1409" s="1" t="s">
        <v>3388</v>
      </c>
      <c r="H1409" s="1">
        <v>89</v>
      </c>
      <c r="I1409" s="1" t="s">
        <v>40</v>
      </c>
      <c r="J1409" s="1">
        <v>6.5</v>
      </c>
      <c r="K1409" s="1">
        <v>523.6</v>
      </c>
      <c r="L1409" s="1" t="s">
        <v>71</v>
      </c>
      <c r="M1409" s="1" t="s">
        <v>106</v>
      </c>
      <c r="N1409" s="1" t="s">
        <v>153</v>
      </c>
      <c r="O1409" s="1"/>
      <c r="P1409" s="1">
        <v>83</v>
      </c>
      <c r="Q1409" s="1">
        <v>110.7</v>
      </c>
      <c r="R1409" s="8" t="str">
        <f>_xlfn.IFS(J1409&gt;=8,"Hit",J1409&gt;=6,"Average",J1409&lt;6,"Flop")</f>
        <v>Average</v>
      </c>
      <c r="S1409" s="9" t="str">
        <f>_xlfn.IFS(K1409&gt;=400,"Blockbuster",K1409&gt;=200,"Popular",K1409&lt;200,"Normal")</f>
        <v>Blockbuster</v>
      </c>
      <c r="T1409" s="10" t="str">
        <f>IF(OR(I1409="PG",I1409="G"),"Yes","No")</f>
        <v>Yes</v>
      </c>
      <c r="U1409" s="11" t="str">
        <f>IF(P1409&gt;=100,"High","Low")</f>
        <v>Low</v>
      </c>
      <c r="V1409" s="28">
        <f t="shared" si="42"/>
        <v>27.700000000000003</v>
      </c>
      <c r="W1409" s="29">
        <f t="shared" si="43"/>
        <v>133.37349397590361</v>
      </c>
    </row>
    <row r="1410" spans="1:23" x14ac:dyDescent="0.3">
      <c r="A1410" s="1" t="s">
        <v>3981</v>
      </c>
      <c r="B1410" s="1" t="s">
        <v>3982</v>
      </c>
      <c r="C1410" s="1" t="s">
        <v>46</v>
      </c>
      <c r="D1410" s="1" t="s">
        <v>117</v>
      </c>
      <c r="E1410" s="1">
        <v>2003</v>
      </c>
      <c r="F1410" s="1" t="s">
        <v>100</v>
      </c>
      <c r="G1410" s="1" t="s">
        <v>3983</v>
      </c>
      <c r="H1410" s="1">
        <v>56</v>
      </c>
      <c r="I1410" s="1" t="s">
        <v>50</v>
      </c>
      <c r="J1410" s="1">
        <v>6.8</v>
      </c>
      <c r="K1410" s="1">
        <v>283.8</v>
      </c>
      <c r="L1410" s="1" t="s">
        <v>71</v>
      </c>
      <c r="M1410" s="1" t="s">
        <v>132</v>
      </c>
      <c r="N1410" s="1" t="s">
        <v>158</v>
      </c>
      <c r="O1410" s="1">
        <v>8</v>
      </c>
      <c r="P1410" s="1">
        <v>197</v>
      </c>
      <c r="Q1410" s="1">
        <v>1119.7</v>
      </c>
      <c r="R1410" s="8" t="str">
        <f>_xlfn.IFS(J1410&gt;=8,"Hit",J1410&gt;=6,"Average",J1410&lt;6,"Flop")</f>
        <v>Average</v>
      </c>
      <c r="S1410" s="9" t="str">
        <f>_xlfn.IFS(K1410&gt;=400,"Blockbuster",K1410&gt;=200,"Popular",K1410&lt;200,"Normal")</f>
        <v>Popular</v>
      </c>
      <c r="T1410" s="10" t="str">
        <f>IF(OR(I1410="PG",I1410="G"),"Yes","No")</f>
        <v>Yes</v>
      </c>
      <c r="U1410" s="11" t="str">
        <f>IF(P1410&gt;=100,"High","Low")</f>
        <v>High</v>
      </c>
      <c r="V1410" s="28">
        <f t="shared" si="42"/>
        <v>922.7</v>
      </c>
      <c r="W1410" s="29">
        <f t="shared" si="43"/>
        <v>568.37563451776646</v>
      </c>
    </row>
    <row r="1411" spans="1:23" x14ac:dyDescent="0.3">
      <c r="A1411" s="1" t="s">
        <v>3984</v>
      </c>
      <c r="B1411" s="1" t="s">
        <v>3985</v>
      </c>
      <c r="C1411" s="1" t="s">
        <v>18</v>
      </c>
      <c r="D1411" s="1" t="s">
        <v>82</v>
      </c>
      <c r="E1411" s="1">
        <v>2018</v>
      </c>
      <c r="F1411" s="1" t="s">
        <v>29</v>
      </c>
      <c r="G1411" s="1" t="s">
        <v>1941</v>
      </c>
      <c r="H1411" s="1">
        <v>148</v>
      </c>
      <c r="I1411" s="1" t="s">
        <v>22</v>
      </c>
      <c r="J1411" s="1">
        <v>5.4</v>
      </c>
      <c r="K1411" s="1">
        <v>95.1</v>
      </c>
      <c r="L1411" s="1" t="s">
        <v>23</v>
      </c>
      <c r="M1411" s="1" t="s">
        <v>124</v>
      </c>
      <c r="N1411" s="1" t="s">
        <v>119</v>
      </c>
      <c r="O1411" s="1"/>
      <c r="P1411" s="1">
        <v>52</v>
      </c>
      <c r="Q1411" s="1">
        <v>280.89999999999998</v>
      </c>
      <c r="R1411" s="8" t="str">
        <f>_xlfn.IFS(J1411&gt;=8,"Hit",J1411&gt;=6,"Average",J1411&lt;6,"Flop")</f>
        <v>Flop</v>
      </c>
      <c r="S1411" s="9" t="str">
        <f>_xlfn.IFS(K1411&gt;=400,"Blockbuster",K1411&gt;=200,"Popular",K1411&lt;200,"Normal")</f>
        <v>Normal</v>
      </c>
      <c r="T1411" s="10" t="str">
        <f>IF(OR(I1411="PG",I1411="G"),"Yes","No")</f>
        <v>No</v>
      </c>
      <c r="U1411" s="11" t="str">
        <f>IF(P1411&gt;=100,"High","Low")</f>
        <v>Low</v>
      </c>
      <c r="V1411" s="28">
        <f t="shared" ref="V1411:V1474" si="44">Q1411-P1411</f>
        <v>228.89999999999998</v>
      </c>
      <c r="W1411" s="29">
        <f t="shared" ref="W1411:W1474" si="45">(Q1411/P1411)*100</f>
        <v>540.19230769230774</v>
      </c>
    </row>
    <row r="1412" spans="1:23" x14ac:dyDescent="0.3">
      <c r="A1412" s="1" t="s">
        <v>3986</v>
      </c>
      <c r="B1412" s="1" t="s">
        <v>3987</v>
      </c>
      <c r="C1412" s="1" t="s">
        <v>18</v>
      </c>
      <c r="D1412" s="1" t="s">
        <v>141</v>
      </c>
      <c r="E1412" s="1">
        <v>2002</v>
      </c>
      <c r="F1412" s="1" t="s">
        <v>100</v>
      </c>
      <c r="G1412" s="1" t="s">
        <v>1974</v>
      </c>
      <c r="H1412" s="1">
        <v>156</v>
      </c>
      <c r="I1412" s="1" t="s">
        <v>40</v>
      </c>
      <c r="J1412" s="1">
        <v>4.7</v>
      </c>
      <c r="K1412" s="1">
        <v>133.6</v>
      </c>
      <c r="L1412" s="1" t="s">
        <v>23</v>
      </c>
      <c r="M1412" s="1" t="s">
        <v>157</v>
      </c>
      <c r="N1412" s="1" t="s">
        <v>60</v>
      </c>
      <c r="O1412" s="1"/>
      <c r="P1412" s="1">
        <v>69</v>
      </c>
      <c r="Q1412" s="1">
        <v>409.2</v>
      </c>
      <c r="R1412" s="8" t="str">
        <f>_xlfn.IFS(J1412&gt;=8,"Hit",J1412&gt;=6,"Average",J1412&lt;6,"Flop")</f>
        <v>Flop</v>
      </c>
      <c r="S1412" s="9" t="str">
        <f>_xlfn.IFS(K1412&gt;=400,"Blockbuster",K1412&gt;=200,"Popular",K1412&lt;200,"Normal")</f>
        <v>Normal</v>
      </c>
      <c r="T1412" s="10" t="str">
        <f>IF(OR(I1412="PG",I1412="G"),"Yes","No")</f>
        <v>Yes</v>
      </c>
      <c r="U1412" s="11" t="str">
        <f>IF(P1412&gt;=100,"High","Low")</f>
        <v>Low</v>
      </c>
      <c r="V1412" s="28">
        <f t="shared" si="44"/>
        <v>340.2</v>
      </c>
      <c r="W1412" s="29">
        <f t="shared" si="45"/>
        <v>593.04347826086951</v>
      </c>
    </row>
    <row r="1413" spans="1:23" x14ac:dyDescent="0.3">
      <c r="A1413" s="1" t="s">
        <v>3988</v>
      </c>
      <c r="B1413" s="1" t="s">
        <v>3989</v>
      </c>
      <c r="C1413" s="1" t="s">
        <v>18</v>
      </c>
      <c r="D1413" s="1" t="s">
        <v>82</v>
      </c>
      <c r="E1413" s="1">
        <v>2007</v>
      </c>
      <c r="F1413" s="1" t="s">
        <v>29</v>
      </c>
      <c r="G1413" s="1" t="s">
        <v>3990</v>
      </c>
      <c r="H1413" s="1">
        <v>156</v>
      </c>
      <c r="I1413" s="1" t="s">
        <v>110</v>
      </c>
      <c r="J1413" s="1">
        <v>5.8</v>
      </c>
      <c r="K1413" s="1">
        <v>122.4</v>
      </c>
      <c r="L1413" s="1" t="s">
        <v>41</v>
      </c>
      <c r="M1413" s="1" t="s">
        <v>42</v>
      </c>
      <c r="N1413" s="1" t="s">
        <v>158</v>
      </c>
      <c r="O1413" s="1"/>
      <c r="P1413" s="1">
        <v>28</v>
      </c>
      <c r="Q1413" s="1">
        <v>36.1</v>
      </c>
      <c r="R1413" s="8" t="str">
        <f>_xlfn.IFS(J1413&gt;=8,"Hit",J1413&gt;=6,"Average",J1413&lt;6,"Flop")</f>
        <v>Flop</v>
      </c>
      <c r="S1413" s="9" t="str">
        <f>_xlfn.IFS(K1413&gt;=400,"Blockbuster",K1413&gt;=200,"Popular",K1413&lt;200,"Normal")</f>
        <v>Normal</v>
      </c>
      <c r="T1413" s="10" t="str">
        <f>IF(OR(I1413="PG",I1413="G"),"Yes","No")</f>
        <v>No</v>
      </c>
      <c r="U1413" s="11" t="str">
        <f>IF(P1413&gt;=100,"High","Low")</f>
        <v>Low</v>
      </c>
      <c r="V1413" s="28">
        <f t="shared" si="44"/>
        <v>8.1000000000000014</v>
      </c>
      <c r="W1413" s="29">
        <f t="shared" si="45"/>
        <v>128.92857142857144</v>
      </c>
    </row>
    <row r="1414" spans="1:23" x14ac:dyDescent="0.3">
      <c r="A1414" s="1" t="s">
        <v>3991</v>
      </c>
      <c r="B1414" s="1" t="s">
        <v>3992</v>
      </c>
      <c r="C1414" s="1" t="s">
        <v>46</v>
      </c>
      <c r="D1414" s="1" t="s">
        <v>94</v>
      </c>
      <c r="E1414" s="1">
        <v>2012</v>
      </c>
      <c r="F1414" s="1" t="s">
        <v>20</v>
      </c>
      <c r="G1414" s="1" t="s">
        <v>3993</v>
      </c>
      <c r="H1414" s="1">
        <v>34</v>
      </c>
      <c r="I1414" s="1" t="s">
        <v>110</v>
      </c>
      <c r="J1414" s="1">
        <v>6.3</v>
      </c>
      <c r="K1414" s="1">
        <v>205.7</v>
      </c>
      <c r="L1414" s="1" t="s">
        <v>65</v>
      </c>
      <c r="M1414" s="1" t="s">
        <v>97</v>
      </c>
      <c r="N1414" s="1" t="s">
        <v>128</v>
      </c>
      <c r="O1414" s="1">
        <v>8</v>
      </c>
      <c r="P1414" s="1">
        <v>86</v>
      </c>
      <c r="Q1414" s="1">
        <v>133.6</v>
      </c>
      <c r="R1414" s="8" t="str">
        <f>_xlfn.IFS(J1414&gt;=8,"Hit",J1414&gt;=6,"Average",J1414&lt;6,"Flop")</f>
        <v>Average</v>
      </c>
      <c r="S1414" s="9" t="str">
        <f>_xlfn.IFS(K1414&gt;=400,"Blockbuster",K1414&gt;=200,"Popular",K1414&lt;200,"Normal")</f>
        <v>Popular</v>
      </c>
      <c r="T1414" s="10" t="str">
        <f>IF(OR(I1414="PG",I1414="G"),"Yes","No")</f>
        <v>No</v>
      </c>
      <c r="U1414" s="11" t="str">
        <f>IF(P1414&gt;=100,"High","Low")</f>
        <v>Low</v>
      </c>
      <c r="V1414" s="28">
        <f t="shared" si="44"/>
        <v>47.599999999999994</v>
      </c>
      <c r="W1414" s="29">
        <f t="shared" si="45"/>
        <v>155.34883720930233</v>
      </c>
    </row>
    <row r="1415" spans="1:23" x14ac:dyDescent="0.3">
      <c r="A1415" s="1" t="s">
        <v>3994</v>
      </c>
      <c r="B1415" s="1" t="s">
        <v>3995</v>
      </c>
      <c r="C1415" s="1" t="s">
        <v>18</v>
      </c>
      <c r="D1415" s="1" t="s">
        <v>19</v>
      </c>
      <c r="E1415" s="1">
        <v>2015</v>
      </c>
      <c r="F1415" s="1" t="s">
        <v>48</v>
      </c>
      <c r="G1415" s="1" t="s">
        <v>3996</v>
      </c>
      <c r="H1415" s="1">
        <v>139</v>
      </c>
      <c r="I1415" s="1" t="s">
        <v>22</v>
      </c>
      <c r="J1415" s="1">
        <v>4.8</v>
      </c>
      <c r="K1415" s="1">
        <v>313.2</v>
      </c>
      <c r="L1415" s="1" t="s">
        <v>171</v>
      </c>
      <c r="M1415" s="1" t="s">
        <v>72</v>
      </c>
      <c r="N1415" s="1" t="s">
        <v>43</v>
      </c>
      <c r="O1415" s="1"/>
      <c r="P1415" s="1">
        <v>71</v>
      </c>
      <c r="Q1415" s="1">
        <v>216.8</v>
      </c>
      <c r="R1415" s="8" t="str">
        <f>_xlfn.IFS(J1415&gt;=8,"Hit",J1415&gt;=6,"Average",J1415&lt;6,"Flop")</f>
        <v>Flop</v>
      </c>
      <c r="S1415" s="9" t="str">
        <f>_xlfn.IFS(K1415&gt;=400,"Blockbuster",K1415&gt;=200,"Popular",K1415&lt;200,"Normal")</f>
        <v>Popular</v>
      </c>
      <c r="T1415" s="10" t="str">
        <f>IF(OR(I1415="PG",I1415="G"),"Yes","No")</f>
        <v>No</v>
      </c>
      <c r="U1415" s="11" t="str">
        <f>IF(P1415&gt;=100,"High","Low")</f>
        <v>Low</v>
      </c>
      <c r="V1415" s="28">
        <f t="shared" si="44"/>
        <v>145.80000000000001</v>
      </c>
      <c r="W1415" s="29">
        <f t="shared" si="45"/>
        <v>305.35211267605638</v>
      </c>
    </row>
    <row r="1416" spans="1:23" x14ac:dyDescent="0.3">
      <c r="A1416" s="1" t="s">
        <v>3997</v>
      </c>
      <c r="B1416" s="1" t="s">
        <v>3998</v>
      </c>
      <c r="C1416" s="1" t="s">
        <v>18</v>
      </c>
      <c r="D1416" s="1" t="s">
        <v>75</v>
      </c>
      <c r="E1416" s="1">
        <v>2000</v>
      </c>
      <c r="F1416" s="1" t="s">
        <v>100</v>
      </c>
      <c r="G1416" s="1" t="s">
        <v>1781</v>
      </c>
      <c r="H1416" s="1">
        <v>175</v>
      </c>
      <c r="I1416" s="1" t="s">
        <v>22</v>
      </c>
      <c r="J1416" s="1">
        <v>4.7</v>
      </c>
      <c r="K1416" s="1">
        <v>168.8</v>
      </c>
      <c r="L1416" s="1" t="s">
        <v>41</v>
      </c>
      <c r="M1416" s="1" t="s">
        <v>124</v>
      </c>
      <c r="N1416" s="1" t="s">
        <v>86</v>
      </c>
      <c r="O1416" s="1"/>
      <c r="P1416" s="1">
        <v>44</v>
      </c>
      <c r="Q1416" s="1">
        <v>169</v>
      </c>
      <c r="R1416" s="8" t="str">
        <f>_xlfn.IFS(J1416&gt;=8,"Hit",J1416&gt;=6,"Average",J1416&lt;6,"Flop")</f>
        <v>Flop</v>
      </c>
      <c r="S1416" s="9" t="str">
        <f>_xlfn.IFS(K1416&gt;=400,"Blockbuster",K1416&gt;=200,"Popular",K1416&lt;200,"Normal")</f>
        <v>Normal</v>
      </c>
      <c r="T1416" s="10" t="str">
        <f>IF(OR(I1416="PG",I1416="G"),"Yes","No")</f>
        <v>No</v>
      </c>
      <c r="U1416" s="11" t="str">
        <f>IF(P1416&gt;=100,"High","Low")</f>
        <v>Low</v>
      </c>
      <c r="V1416" s="28">
        <f t="shared" si="44"/>
        <v>125</v>
      </c>
      <c r="W1416" s="29">
        <f t="shared" si="45"/>
        <v>384.09090909090907</v>
      </c>
    </row>
    <row r="1417" spans="1:23" x14ac:dyDescent="0.3">
      <c r="A1417" s="1" t="s">
        <v>3999</v>
      </c>
      <c r="B1417" s="1" t="s">
        <v>4000</v>
      </c>
      <c r="C1417" s="1" t="s">
        <v>46</v>
      </c>
      <c r="D1417" s="1" t="s">
        <v>19</v>
      </c>
      <c r="E1417" s="1">
        <v>2012</v>
      </c>
      <c r="F1417" s="1" t="s">
        <v>48</v>
      </c>
      <c r="G1417" s="1" t="s">
        <v>559</v>
      </c>
      <c r="H1417" s="1">
        <v>56</v>
      </c>
      <c r="I1417" s="1" t="s">
        <v>40</v>
      </c>
      <c r="J1417" s="1">
        <v>6.5</v>
      </c>
      <c r="K1417" s="1">
        <v>557.79999999999995</v>
      </c>
      <c r="L1417" s="1" t="s">
        <v>65</v>
      </c>
      <c r="M1417" s="1" t="s">
        <v>111</v>
      </c>
      <c r="N1417" s="1" t="s">
        <v>119</v>
      </c>
      <c r="O1417" s="1">
        <v>3</v>
      </c>
      <c r="P1417" s="1">
        <v>130</v>
      </c>
      <c r="Q1417" s="1">
        <v>626.20000000000005</v>
      </c>
      <c r="R1417" s="8" t="str">
        <f>_xlfn.IFS(J1417&gt;=8,"Hit",J1417&gt;=6,"Average",J1417&lt;6,"Flop")</f>
        <v>Average</v>
      </c>
      <c r="S1417" s="9" t="str">
        <f>_xlfn.IFS(K1417&gt;=400,"Blockbuster",K1417&gt;=200,"Popular",K1417&lt;200,"Normal")</f>
        <v>Blockbuster</v>
      </c>
      <c r="T1417" s="10" t="str">
        <f>IF(OR(I1417="PG",I1417="G"),"Yes","No")</f>
        <v>Yes</v>
      </c>
      <c r="U1417" s="11" t="str">
        <f>IF(P1417&gt;=100,"High","Low")</f>
        <v>High</v>
      </c>
      <c r="V1417" s="28">
        <f t="shared" si="44"/>
        <v>496.20000000000005</v>
      </c>
      <c r="W1417" s="29">
        <f t="shared" si="45"/>
        <v>481.69230769230768</v>
      </c>
    </row>
    <row r="1418" spans="1:23" x14ac:dyDescent="0.3">
      <c r="A1418" s="1" t="s">
        <v>4001</v>
      </c>
      <c r="B1418" s="1" t="s">
        <v>4002</v>
      </c>
      <c r="C1418" s="1" t="s">
        <v>18</v>
      </c>
      <c r="D1418" s="1" t="s">
        <v>37</v>
      </c>
      <c r="E1418" s="1">
        <v>2007</v>
      </c>
      <c r="F1418" s="1" t="s">
        <v>38</v>
      </c>
      <c r="G1418" s="1" t="s">
        <v>4003</v>
      </c>
      <c r="H1418" s="1">
        <v>109</v>
      </c>
      <c r="I1418" s="1" t="s">
        <v>22</v>
      </c>
      <c r="J1418" s="1">
        <v>6.8</v>
      </c>
      <c r="K1418" s="1">
        <v>77.3</v>
      </c>
      <c r="L1418" s="1" t="s">
        <v>23</v>
      </c>
      <c r="M1418" s="1" t="s">
        <v>157</v>
      </c>
      <c r="N1418" s="1" t="s">
        <v>91</v>
      </c>
      <c r="O1418" s="1"/>
      <c r="P1418" s="1">
        <v>101</v>
      </c>
      <c r="Q1418" s="1">
        <v>126.3</v>
      </c>
      <c r="R1418" s="8" t="str">
        <f>_xlfn.IFS(J1418&gt;=8,"Hit",J1418&gt;=6,"Average",J1418&lt;6,"Flop")</f>
        <v>Average</v>
      </c>
      <c r="S1418" s="9" t="str">
        <f>_xlfn.IFS(K1418&gt;=400,"Blockbuster",K1418&gt;=200,"Popular",K1418&lt;200,"Normal")</f>
        <v>Normal</v>
      </c>
      <c r="T1418" s="10" t="str">
        <f>IF(OR(I1418="PG",I1418="G"),"Yes","No")</f>
        <v>No</v>
      </c>
      <c r="U1418" s="11" t="str">
        <f>IF(P1418&gt;=100,"High","Low")</f>
        <v>High</v>
      </c>
      <c r="V1418" s="28">
        <f t="shared" si="44"/>
        <v>25.299999999999997</v>
      </c>
      <c r="W1418" s="29">
        <f t="shared" si="45"/>
        <v>125.04950495049505</v>
      </c>
    </row>
    <row r="1419" spans="1:23" x14ac:dyDescent="0.3">
      <c r="A1419" s="1" t="s">
        <v>4004</v>
      </c>
      <c r="B1419" s="1" t="s">
        <v>4005</v>
      </c>
      <c r="C1419" s="1" t="s">
        <v>46</v>
      </c>
      <c r="D1419" s="1" t="s">
        <v>37</v>
      </c>
      <c r="E1419" s="1">
        <v>2023</v>
      </c>
      <c r="F1419" s="1" t="s">
        <v>48</v>
      </c>
      <c r="G1419" s="1" t="s">
        <v>4006</v>
      </c>
      <c r="H1419" s="1">
        <v>31</v>
      </c>
      <c r="I1419" s="1" t="s">
        <v>40</v>
      </c>
      <c r="J1419" s="1">
        <v>7.9</v>
      </c>
      <c r="K1419" s="1">
        <v>445.4</v>
      </c>
      <c r="L1419" s="1" t="s">
        <v>32</v>
      </c>
      <c r="M1419" s="1" t="s">
        <v>111</v>
      </c>
      <c r="N1419" s="1" t="s">
        <v>178</v>
      </c>
      <c r="O1419" s="1">
        <v>1</v>
      </c>
      <c r="P1419" s="1">
        <v>119</v>
      </c>
      <c r="Q1419" s="1">
        <v>159.5</v>
      </c>
      <c r="R1419" s="8" t="str">
        <f>_xlfn.IFS(J1419&gt;=8,"Hit",J1419&gt;=6,"Average",J1419&lt;6,"Flop")</f>
        <v>Average</v>
      </c>
      <c r="S1419" s="9" t="str">
        <f>_xlfn.IFS(K1419&gt;=400,"Blockbuster",K1419&gt;=200,"Popular",K1419&lt;200,"Normal")</f>
        <v>Blockbuster</v>
      </c>
      <c r="T1419" s="10" t="str">
        <f>IF(OR(I1419="PG",I1419="G"),"Yes","No")</f>
        <v>Yes</v>
      </c>
      <c r="U1419" s="11" t="str">
        <f>IF(P1419&gt;=100,"High","Low")</f>
        <v>High</v>
      </c>
      <c r="V1419" s="28">
        <f t="shared" si="44"/>
        <v>40.5</v>
      </c>
      <c r="W1419" s="29">
        <f t="shared" si="45"/>
        <v>134.03361344537814</v>
      </c>
    </row>
    <row r="1420" spans="1:23" x14ac:dyDescent="0.3">
      <c r="A1420" s="1" t="s">
        <v>4007</v>
      </c>
      <c r="B1420" s="1" t="s">
        <v>4008</v>
      </c>
      <c r="C1420" s="1" t="s">
        <v>46</v>
      </c>
      <c r="D1420" s="1" t="s">
        <v>58</v>
      </c>
      <c r="E1420" s="1">
        <v>2020</v>
      </c>
      <c r="F1420" s="1" t="s">
        <v>38</v>
      </c>
      <c r="G1420" s="1" t="s">
        <v>4009</v>
      </c>
      <c r="H1420" s="1">
        <v>39</v>
      </c>
      <c r="I1420" s="1" t="s">
        <v>110</v>
      </c>
      <c r="J1420" s="1">
        <v>8.1</v>
      </c>
      <c r="K1420" s="1">
        <v>322.39999999999998</v>
      </c>
      <c r="L1420" s="1" t="s">
        <v>65</v>
      </c>
      <c r="M1420" s="1" t="s">
        <v>42</v>
      </c>
      <c r="N1420" s="1" t="s">
        <v>67</v>
      </c>
      <c r="O1420" s="1">
        <v>1</v>
      </c>
      <c r="P1420" s="1">
        <v>157</v>
      </c>
      <c r="Q1420" s="1">
        <v>1004.9</v>
      </c>
      <c r="R1420" s="8" t="str">
        <f>_xlfn.IFS(J1420&gt;=8,"Hit",J1420&gt;=6,"Average",J1420&lt;6,"Flop")</f>
        <v>Hit</v>
      </c>
      <c r="S1420" s="9" t="str">
        <f>_xlfn.IFS(K1420&gt;=400,"Blockbuster",K1420&gt;=200,"Popular",K1420&lt;200,"Normal")</f>
        <v>Popular</v>
      </c>
      <c r="T1420" s="10" t="str">
        <f>IF(OR(I1420="PG",I1420="G"),"Yes","No")</f>
        <v>No</v>
      </c>
      <c r="U1420" s="11" t="str">
        <f>IF(P1420&gt;=100,"High","Low")</f>
        <v>High</v>
      </c>
      <c r="V1420" s="28">
        <f t="shared" si="44"/>
        <v>847.9</v>
      </c>
      <c r="W1420" s="29">
        <f t="shared" si="45"/>
        <v>640.06369426751587</v>
      </c>
    </row>
    <row r="1421" spans="1:23" x14ac:dyDescent="0.3">
      <c r="A1421" s="1" t="s">
        <v>4010</v>
      </c>
      <c r="B1421" s="1" t="s">
        <v>4011</v>
      </c>
      <c r="C1421" s="1" t="s">
        <v>18</v>
      </c>
      <c r="D1421" s="1" t="s">
        <v>19</v>
      </c>
      <c r="E1421" s="1">
        <v>2005</v>
      </c>
      <c r="F1421" s="1" t="s">
        <v>76</v>
      </c>
      <c r="G1421" s="1" t="s">
        <v>4012</v>
      </c>
      <c r="H1421" s="1">
        <v>83</v>
      </c>
      <c r="I1421" s="1" t="s">
        <v>40</v>
      </c>
      <c r="J1421" s="1">
        <v>4.7</v>
      </c>
      <c r="K1421" s="1">
        <v>109.8</v>
      </c>
      <c r="L1421" s="1" t="s">
        <v>71</v>
      </c>
      <c r="M1421" s="1" t="s">
        <v>33</v>
      </c>
      <c r="N1421" s="1" t="s">
        <v>158</v>
      </c>
      <c r="O1421" s="1"/>
      <c r="P1421" s="1">
        <v>127</v>
      </c>
      <c r="Q1421" s="1">
        <v>256.3</v>
      </c>
      <c r="R1421" s="8" t="str">
        <f>_xlfn.IFS(J1421&gt;=8,"Hit",J1421&gt;=6,"Average",J1421&lt;6,"Flop")</f>
        <v>Flop</v>
      </c>
      <c r="S1421" s="9" t="str">
        <f>_xlfn.IFS(K1421&gt;=400,"Blockbuster",K1421&gt;=200,"Popular",K1421&lt;200,"Normal")</f>
        <v>Normal</v>
      </c>
      <c r="T1421" s="10" t="str">
        <f>IF(OR(I1421="PG",I1421="G"),"Yes","No")</f>
        <v>Yes</v>
      </c>
      <c r="U1421" s="11" t="str">
        <f>IF(P1421&gt;=100,"High","Low")</f>
        <v>High</v>
      </c>
      <c r="V1421" s="28">
        <f t="shared" si="44"/>
        <v>129.30000000000001</v>
      </c>
      <c r="W1421" s="29">
        <f t="shared" si="45"/>
        <v>201.81102362204726</v>
      </c>
    </row>
    <row r="1422" spans="1:23" x14ac:dyDescent="0.3">
      <c r="A1422" s="1" t="s">
        <v>4013</v>
      </c>
      <c r="B1422" s="1" t="s">
        <v>4014</v>
      </c>
      <c r="C1422" s="1" t="s">
        <v>18</v>
      </c>
      <c r="D1422" s="1" t="s">
        <v>141</v>
      </c>
      <c r="E1422" s="1">
        <v>2000</v>
      </c>
      <c r="F1422" s="1" t="s">
        <v>181</v>
      </c>
      <c r="G1422" s="1" t="s">
        <v>4015</v>
      </c>
      <c r="H1422" s="1">
        <v>153</v>
      </c>
      <c r="I1422" s="1" t="s">
        <v>40</v>
      </c>
      <c r="J1422" s="1">
        <v>5.3</v>
      </c>
      <c r="K1422" s="1">
        <v>436.4</v>
      </c>
      <c r="L1422" s="1" t="s">
        <v>90</v>
      </c>
      <c r="M1422" s="1" t="s">
        <v>132</v>
      </c>
      <c r="N1422" s="1" t="s">
        <v>34</v>
      </c>
      <c r="O1422" s="1"/>
      <c r="P1422" s="1">
        <v>173</v>
      </c>
      <c r="Q1422" s="1">
        <v>321.5</v>
      </c>
      <c r="R1422" s="8" t="str">
        <f>_xlfn.IFS(J1422&gt;=8,"Hit",J1422&gt;=6,"Average",J1422&lt;6,"Flop")</f>
        <v>Flop</v>
      </c>
      <c r="S1422" s="9" t="str">
        <f>_xlfn.IFS(K1422&gt;=400,"Blockbuster",K1422&gt;=200,"Popular",K1422&lt;200,"Normal")</f>
        <v>Blockbuster</v>
      </c>
      <c r="T1422" s="10" t="str">
        <f>IF(OR(I1422="PG",I1422="G"),"Yes","No")</f>
        <v>Yes</v>
      </c>
      <c r="U1422" s="11" t="str">
        <f>IF(P1422&gt;=100,"High","Low")</f>
        <v>High</v>
      </c>
      <c r="V1422" s="28">
        <f t="shared" si="44"/>
        <v>148.5</v>
      </c>
      <c r="W1422" s="29">
        <f t="shared" si="45"/>
        <v>185.83815028901734</v>
      </c>
    </row>
    <row r="1423" spans="1:23" x14ac:dyDescent="0.3">
      <c r="A1423" s="1" t="s">
        <v>4016</v>
      </c>
      <c r="B1423" s="1" t="s">
        <v>4017</v>
      </c>
      <c r="C1423" s="1" t="s">
        <v>18</v>
      </c>
      <c r="D1423" s="1" t="s">
        <v>75</v>
      </c>
      <c r="E1423" s="1">
        <v>2021</v>
      </c>
      <c r="F1423" s="1" t="s">
        <v>76</v>
      </c>
      <c r="G1423" s="1" t="s">
        <v>4018</v>
      </c>
      <c r="H1423" s="1">
        <v>125</v>
      </c>
      <c r="I1423" s="1" t="s">
        <v>110</v>
      </c>
      <c r="J1423" s="1">
        <v>5.4</v>
      </c>
      <c r="K1423" s="1">
        <v>539.79999999999995</v>
      </c>
      <c r="L1423" s="1" t="s">
        <v>23</v>
      </c>
      <c r="M1423" s="1" t="s">
        <v>97</v>
      </c>
      <c r="N1423" s="1" t="s">
        <v>43</v>
      </c>
      <c r="O1423" s="1"/>
      <c r="P1423" s="1">
        <v>107</v>
      </c>
      <c r="Q1423" s="1">
        <v>292.8</v>
      </c>
      <c r="R1423" s="8" t="str">
        <f>_xlfn.IFS(J1423&gt;=8,"Hit",J1423&gt;=6,"Average",J1423&lt;6,"Flop")</f>
        <v>Flop</v>
      </c>
      <c r="S1423" s="9" t="str">
        <f>_xlfn.IFS(K1423&gt;=400,"Blockbuster",K1423&gt;=200,"Popular",K1423&lt;200,"Normal")</f>
        <v>Blockbuster</v>
      </c>
      <c r="T1423" s="10" t="str">
        <f>IF(OR(I1423="PG",I1423="G"),"Yes","No")</f>
        <v>No</v>
      </c>
      <c r="U1423" s="11" t="str">
        <f>IF(P1423&gt;=100,"High","Low")</f>
        <v>High</v>
      </c>
      <c r="V1423" s="28">
        <f t="shared" si="44"/>
        <v>185.8</v>
      </c>
      <c r="W1423" s="29">
        <f t="shared" si="45"/>
        <v>273.64485981308411</v>
      </c>
    </row>
    <row r="1424" spans="1:23" x14ac:dyDescent="0.3">
      <c r="A1424" s="1" t="s">
        <v>4019</v>
      </c>
      <c r="B1424" s="1" t="s">
        <v>4020</v>
      </c>
      <c r="C1424" s="1" t="s">
        <v>18</v>
      </c>
      <c r="D1424" s="1" t="s">
        <v>47</v>
      </c>
      <c r="E1424" s="1">
        <v>2006</v>
      </c>
      <c r="F1424" s="1" t="s">
        <v>83</v>
      </c>
      <c r="G1424" s="1" t="s">
        <v>4021</v>
      </c>
      <c r="H1424" s="1">
        <v>87</v>
      </c>
      <c r="I1424" s="1" t="s">
        <v>50</v>
      </c>
      <c r="J1424" s="1">
        <v>8.1</v>
      </c>
      <c r="K1424" s="1">
        <v>268.2</v>
      </c>
      <c r="L1424" s="1" t="s">
        <v>90</v>
      </c>
      <c r="M1424" s="1" t="s">
        <v>106</v>
      </c>
      <c r="N1424" s="1" t="s">
        <v>178</v>
      </c>
      <c r="O1424" s="1"/>
      <c r="P1424" s="1">
        <v>49</v>
      </c>
      <c r="Q1424" s="1">
        <v>80.099999999999994</v>
      </c>
      <c r="R1424" s="8" t="str">
        <f>_xlfn.IFS(J1424&gt;=8,"Hit",J1424&gt;=6,"Average",J1424&lt;6,"Flop")</f>
        <v>Hit</v>
      </c>
      <c r="S1424" s="9" t="str">
        <f>_xlfn.IFS(K1424&gt;=400,"Blockbuster",K1424&gt;=200,"Popular",K1424&lt;200,"Normal")</f>
        <v>Popular</v>
      </c>
      <c r="T1424" s="10" t="str">
        <f>IF(OR(I1424="PG",I1424="G"),"Yes","No")</f>
        <v>Yes</v>
      </c>
      <c r="U1424" s="11" t="str">
        <f>IF(P1424&gt;=100,"High","Low")</f>
        <v>Low</v>
      </c>
      <c r="V1424" s="28">
        <f t="shared" si="44"/>
        <v>31.099999999999994</v>
      </c>
      <c r="W1424" s="29">
        <f t="shared" si="45"/>
        <v>163.46938775510202</v>
      </c>
    </row>
    <row r="1425" spans="1:23" x14ac:dyDescent="0.3">
      <c r="A1425" s="1" t="s">
        <v>4022</v>
      </c>
      <c r="B1425" s="1" t="s">
        <v>4023</v>
      </c>
      <c r="C1425" s="1" t="s">
        <v>18</v>
      </c>
      <c r="D1425" s="1" t="s">
        <v>58</v>
      </c>
      <c r="E1425" s="1">
        <v>2004</v>
      </c>
      <c r="F1425" s="1" t="s">
        <v>100</v>
      </c>
      <c r="G1425" s="1" t="s">
        <v>2180</v>
      </c>
      <c r="H1425" s="1">
        <v>102</v>
      </c>
      <c r="I1425" s="1" t="s">
        <v>110</v>
      </c>
      <c r="J1425" s="1">
        <v>6.3</v>
      </c>
      <c r="K1425" s="1">
        <v>579.20000000000005</v>
      </c>
      <c r="L1425" s="1" t="s">
        <v>90</v>
      </c>
      <c r="M1425" s="1" t="s">
        <v>111</v>
      </c>
      <c r="N1425" s="1" t="s">
        <v>102</v>
      </c>
      <c r="O1425" s="1"/>
      <c r="P1425" s="1">
        <v>86</v>
      </c>
      <c r="Q1425" s="1">
        <v>178.9</v>
      </c>
      <c r="R1425" s="8" t="str">
        <f>_xlfn.IFS(J1425&gt;=8,"Hit",J1425&gt;=6,"Average",J1425&lt;6,"Flop")</f>
        <v>Average</v>
      </c>
      <c r="S1425" s="9" t="str">
        <f>_xlfn.IFS(K1425&gt;=400,"Blockbuster",K1425&gt;=200,"Popular",K1425&lt;200,"Normal")</f>
        <v>Blockbuster</v>
      </c>
      <c r="T1425" s="10" t="str">
        <f>IF(OR(I1425="PG",I1425="G"),"Yes","No")</f>
        <v>No</v>
      </c>
      <c r="U1425" s="11" t="str">
        <f>IF(P1425&gt;=100,"High","Low")</f>
        <v>Low</v>
      </c>
      <c r="V1425" s="28">
        <f t="shared" si="44"/>
        <v>92.9</v>
      </c>
      <c r="W1425" s="29">
        <f t="shared" si="45"/>
        <v>208.02325581395351</v>
      </c>
    </row>
    <row r="1426" spans="1:23" x14ac:dyDescent="0.3">
      <c r="A1426" s="1" t="s">
        <v>4024</v>
      </c>
      <c r="B1426" s="1" t="s">
        <v>4025</v>
      </c>
      <c r="C1426" s="1" t="s">
        <v>18</v>
      </c>
      <c r="D1426" s="1" t="s">
        <v>117</v>
      </c>
      <c r="E1426" s="1">
        <v>2025</v>
      </c>
      <c r="F1426" s="1" t="s">
        <v>48</v>
      </c>
      <c r="G1426" s="1" t="s">
        <v>2192</v>
      </c>
      <c r="H1426" s="1">
        <v>146</v>
      </c>
      <c r="I1426" s="1" t="s">
        <v>31</v>
      </c>
      <c r="J1426" s="1">
        <v>9.4</v>
      </c>
      <c r="K1426" s="1">
        <v>94.8</v>
      </c>
      <c r="L1426" s="1" t="s">
        <v>90</v>
      </c>
      <c r="M1426" s="1" t="s">
        <v>42</v>
      </c>
      <c r="N1426" s="1" t="s">
        <v>67</v>
      </c>
      <c r="O1426" s="1"/>
      <c r="P1426" s="1">
        <v>169</v>
      </c>
      <c r="Q1426" s="1">
        <v>1064.8</v>
      </c>
      <c r="R1426" s="8" t="str">
        <f>_xlfn.IFS(J1426&gt;=8,"Hit",J1426&gt;=6,"Average",J1426&lt;6,"Flop")</f>
        <v>Hit</v>
      </c>
      <c r="S1426" s="9" t="str">
        <f>_xlfn.IFS(K1426&gt;=400,"Blockbuster",K1426&gt;=200,"Popular",K1426&lt;200,"Normal")</f>
        <v>Normal</v>
      </c>
      <c r="T1426" s="10" t="str">
        <f>IF(OR(I1426="PG",I1426="G"),"Yes","No")</f>
        <v>No</v>
      </c>
      <c r="U1426" s="11" t="str">
        <f>IF(P1426&gt;=100,"High","Low")</f>
        <v>High</v>
      </c>
      <c r="V1426" s="28">
        <f t="shared" si="44"/>
        <v>895.8</v>
      </c>
      <c r="W1426" s="29">
        <f t="shared" si="45"/>
        <v>630.05917159763317</v>
      </c>
    </row>
    <row r="1427" spans="1:23" x14ac:dyDescent="0.3">
      <c r="A1427" s="1" t="s">
        <v>4026</v>
      </c>
      <c r="B1427" s="1" t="s">
        <v>4027</v>
      </c>
      <c r="C1427" s="1" t="s">
        <v>46</v>
      </c>
      <c r="D1427" s="1" t="s">
        <v>37</v>
      </c>
      <c r="E1427" s="1">
        <v>2024</v>
      </c>
      <c r="F1427" s="1" t="s">
        <v>29</v>
      </c>
      <c r="G1427" s="1" t="s">
        <v>4028</v>
      </c>
      <c r="H1427" s="1">
        <v>49</v>
      </c>
      <c r="I1427" s="1" t="s">
        <v>50</v>
      </c>
      <c r="J1427" s="1">
        <v>8.3000000000000007</v>
      </c>
      <c r="K1427" s="1">
        <v>329.7</v>
      </c>
      <c r="L1427" s="1" t="s">
        <v>171</v>
      </c>
      <c r="M1427" s="1" t="s">
        <v>42</v>
      </c>
      <c r="N1427" s="1" t="s">
        <v>60</v>
      </c>
      <c r="O1427" s="1">
        <v>8</v>
      </c>
      <c r="P1427" s="1">
        <v>172</v>
      </c>
      <c r="Q1427" s="1">
        <v>1102.5999999999999</v>
      </c>
      <c r="R1427" s="8" t="str">
        <f>_xlfn.IFS(J1427&gt;=8,"Hit",J1427&gt;=6,"Average",J1427&lt;6,"Flop")</f>
        <v>Hit</v>
      </c>
      <c r="S1427" s="9" t="str">
        <f>_xlfn.IFS(K1427&gt;=400,"Blockbuster",K1427&gt;=200,"Popular",K1427&lt;200,"Normal")</f>
        <v>Popular</v>
      </c>
      <c r="T1427" s="10" t="str">
        <f>IF(OR(I1427="PG",I1427="G"),"Yes","No")</f>
        <v>Yes</v>
      </c>
      <c r="U1427" s="11" t="str">
        <f>IF(P1427&gt;=100,"High","Low")</f>
        <v>High</v>
      </c>
      <c r="V1427" s="28">
        <f t="shared" si="44"/>
        <v>930.59999999999991</v>
      </c>
      <c r="W1427" s="29">
        <f t="shared" si="45"/>
        <v>641.04651162790697</v>
      </c>
    </row>
    <row r="1428" spans="1:23" x14ac:dyDescent="0.3">
      <c r="A1428" s="1" t="s">
        <v>4029</v>
      </c>
      <c r="B1428" s="1" t="s">
        <v>4030</v>
      </c>
      <c r="C1428" s="1" t="s">
        <v>46</v>
      </c>
      <c r="D1428" s="1" t="s">
        <v>117</v>
      </c>
      <c r="E1428" s="1">
        <v>2025</v>
      </c>
      <c r="F1428" s="1" t="s">
        <v>29</v>
      </c>
      <c r="G1428" s="1" t="s">
        <v>230</v>
      </c>
      <c r="H1428" s="1">
        <v>33</v>
      </c>
      <c r="I1428" s="1" t="s">
        <v>40</v>
      </c>
      <c r="J1428" s="1">
        <v>4.8</v>
      </c>
      <c r="K1428" s="1">
        <v>424.3</v>
      </c>
      <c r="L1428" s="1" t="s">
        <v>41</v>
      </c>
      <c r="M1428" s="1" t="s">
        <v>42</v>
      </c>
      <c r="N1428" s="1" t="s">
        <v>91</v>
      </c>
      <c r="O1428" s="1">
        <v>7</v>
      </c>
      <c r="P1428" s="1">
        <v>68</v>
      </c>
      <c r="Q1428" s="1">
        <v>119.4</v>
      </c>
      <c r="R1428" s="8" t="str">
        <f>_xlfn.IFS(J1428&gt;=8,"Hit",J1428&gt;=6,"Average",J1428&lt;6,"Flop")</f>
        <v>Flop</v>
      </c>
      <c r="S1428" s="9" t="str">
        <f>_xlfn.IFS(K1428&gt;=400,"Blockbuster",K1428&gt;=200,"Popular",K1428&lt;200,"Normal")</f>
        <v>Blockbuster</v>
      </c>
      <c r="T1428" s="10" t="str">
        <f>IF(OR(I1428="PG",I1428="G"),"Yes","No")</f>
        <v>Yes</v>
      </c>
      <c r="U1428" s="11" t="str">
        <f>IF(P1428&gt;=100,"High","Low")</f>
        <v>Low</v>
      </c>
      <c r="V1428" s="28">
        <f t="shared" si="44"/>
        <v>51.400000000000006</v>
      </c>
      <c r="W1428" s="29">
        <f t="shared" si="45"/>
        <v>175.58823529411765</v>
      </c>
    </row>
    <row r="1429" spans="1:23" x14ac:dyDescent="0.3">
      <c r="A1429" s="1" t="s">
        <v>4031</v>
      </c>
      <c r="B1429" s="1" t="s">
        <v>4032</v>
      </c>
      <c r="C1429" s="1" t="s">
        <v>18</v>
      </c>
      <c r="D1429" s="1" t="s">
        <v>47</v>
      </c>
      <c r="E1429" s="1">
        <v>2021</v>
      </c>
      <c r="F1429" s="1" t="s">
        <v>29</v>
      </c>
      <c r="G1429" s="1" t="s">
        <v>4033</v>
      </c>
      <c r="H1429" s="1">
        <v>158</v>
      </c>
      <c r="I1429" s="1" t="s">
        <v>40</v>
      </c>
      <c r="J1429" s="1">
        <v>6.2</v>
      </c>
      <c r="K1429" s="1">
        <v>39.6</v>
      </c>
      <c r="L1429" s="1" t="s">
        <v>71</v>
      </c>
      <c r="M1429" s="1" t="s">
        <v>111</v>
      </c>
      <c r="N1429" s="1" t="s">
        <v>158</v>
      </c>
      <c r="O1429" s="1"/>
      <c r="P1429" s="1">
        <v>86</v>
      </c>
      <c r="Q1429" s="1">
        <v>533.29999999999995</v>
      </c>
      <c r="R1429" s="8" t="str">
        <f>_xlfn.IFS(J1429&gt;=8,"Hit",J1429&gt;=6,"Average",J1429&lt;6,"Flop")</f>
        <v>Average</v>
      </c>
      <c r="S1429" s="9" t="str">
        <f>_xlfn.IFS(K1429&gt;=400,"Blockbuster",K1429&gt;=200,"Popular",K1429&lt;200,"Normal")</f>
        <v>Normal</v>
      </c>
      <c r="T1429" s="10" t="str">
        <f>IF(OR(I1429="PG",I1429="G"),"Yes","No")</f>
        <v>Yes</v>
      </c>
      <c r="U1429" s="11" t="str">
        <f>IF(P1429&gt;=100,"High","Low")</f>
        <v>Low</v>
      </c>
      <c r="V1429" s="28">
        <f t="shared" si="44"/>
        <v>447.29999999999995</v>
      </c>
      <c r="W1429" s="29">
        <f t="shared" si="45"/>
        <v>620.11627906976742</v>
      </c>
    </row>
    <row r="1430" spans="1:23" x14ac:dyDescent="0.3">
      <c r="A1430" s="1" t="s">
        <v>4034</v>
      </c>
      <c r="B1430" s="1" t="s">
        <v>4035</v>
      </c>
      <c r="C1430" s="1" t="s">
        <v>46</v>
      </c>
      <c r="D1430" s="1" t="s">
        <v>28</v>
      </c>
      <c r="E1430" s="1">
        <v>2020</v>
      </c>
      <c r="F1430" s="1" t="s">
        <v>29</v>
      </c>
      <c r="G1430" s="1" t="s">
        <v>4036</v>
      </c>
      <c r="H1430" s="1">
        <v>40</v>
      </c>
      <c r="I1430" s="1" t="s">
        <v>50</v>
      </c>
      <c r="J1430" s="1">
        <v>8.1</v>
      </c>
      <c r="K1430" s="1">
        <v>350.1</v>
      </c>
      <c r="L1430" s="1" t="s">
        <v>41</v>
      </c>
      <c r="M1430" s="1" t="s">
        <v>111</v>
      </c>
      <c r="N1430" s="1" t="s">
        <v>60</v>
      </c>
      <c r="O1430" s="1">
        <v>1</v>
      </c>
      <c r="P1430" s="1">
        <v>172</v>
      </c>
      <c r="Q1430" s="1">
        <v>1075.5</v>
      </c>
      <c r="R1430" s="8" t="str">
        <f>_xlfn.IFS(J1430&gt;=8,"Hit",J1430&gt;=6,"Average",J1430&lt;6,"Flop")</f>
        <v>Hit</v>
      </c>
      <c r="S1430" s="9" t="str">
        <f>_xlfn.IFS(K1430&gt;=400,"Blockbuster",K1430&gt;=200,"Popular",K1430&lt;200,"Normal")</f>
        <v>Popular</v>
      </c>
      <c r="T1430" s="10" t="str">
        <f>IF(OR(I1430="PG",I1430="G"),"Yes","No")</f>
        <v>Yes</v>
      </c>
      <c r="U1430" s="11" t="str">
        <f>IF(P1430&gt;=100,"High","Low")</f>
        <v>High</v>
      </c>
      <c r="V1430" s="28">
        <f t="shared" si="44"/>
        <v>903.5</v>
      </c>
      <c r="W1430" s="29">
        <f t="shared" si="45"/>
        <v>625.29069767441865</v>
      </c>
    </row>
    <row r="1431" spans="1:23" x14ac:dyDescent="0.3">
      <c r="A1431" s="1" t="s">
        <v>4037</v>
      </c>
      <c r="B1431" s="1" t="s">
        <v>4038</v>
      </c>
      <c r="C1431" s="1" t="s">
        <v>46</v>
      </c>
      <c r="D1431" s="1" t="s">
        <v>37</v>
      </c>
      <c r="E1431" s="1">
        <v>2019</v>
      </c>
      <c r="F1431" s="1" t="s">
        <v>122</v>
      </c>
      <c r="G1431" s="1" t="s">
        <v>3522</v>
      </c>
      <c r="H1431" s="1">
        <v>32</v>
      </c>
      <c r="I1431" s="1" t="s">
        <v>110</v>
      </c>
      <c r="J1431" s="1">
        <v>5.5</v>
      </c>
      <c r="K1431" s="1">
        <v>309.2</v>
      </c>
      <c r="L1431" s="1" t="s">
        <v>171</v>
      </c>
      <c r="M1431" s="1" t="s">
        <v>132</v>
      </c>
      <c r="N1431" s="1" t="s">
        <v>178</v>
      </c>
      <c r="O1431" s="1">
        <v>3</v>
      </c>
      <c r="P1431" s="1">
        <v>178</v>
      </c>
      <c r="Q1431" s="1">
        <v>256.39999999999998</v>
      </c>
      <c r="R1431" s="8" t="str">
        <f>_xlfn.IFS(J1431&gt;=8,"Hit",J1431&gt;=6,"Average",J1431&lt;6,"Flop")</f>
        <v>Flop</v>
      </c>
      <c r="S1431" s="9" t="str">
        <f>_xlfn.IFS(K1431&gt;=400,"Blockbuster",K1431&gt;=200,"Popular",K1431&lt;200,"Normal")</f>
        <v>Popular</v>
      </c>
      <c r="T1431" s="10" t="str">
        <f>IF(OR(I1431="PG",I1431="G"),"Yes","No")</f>
        <v>No</v>
      </c>
      <c r="U1431" s="11" t="str">
        <f>IF(P1431&gt;=100,"High","Low")</f>
        <v>High</v>
      </c>
      <c r="V1431" s="28">
        <f t="shared" si="44"/>
        <v>78.399999999999977</v>
      </c>
      <c r="W1431" s="29">
        <f t="shared" si="45"/>
        <v>144.04494382022472</v>
      </c>
    </row>
    <row r="1432" spans="1:23" x14ac:dyDescent="0.3">
      <c r="A1432" s="1" t="s">
        <v>4039</v>
      </c>
      <c r="B1432" s="1" t="s">
        <v>4040</v>
      </c>
      <c r="C1432" s="1" t="s">
        <v>46</v>
      </c>
      <c r="D1432" s="1" t="s">
        <v>58</v>
      </c>
      <c r="E1432" s="1">
        <v>2010</v>
      </c>
      <c r="F1432" s="1" t="s">
        <v>38</v>
      </c>
      <c r="G1432" s="1" t="s">
        <v>4041</v>
      </c>
      <c r="H1432" s="1">
        <v>31</v>
      </c>
      <c r="I1432" s="1" t="s">
        <v>110</v>
      </c>
      <c r="J1432" s="1">
        <v>5.3</v>
      </c>
      <c r="K1432" s="1">
        <v>233.7</v>
      </c>
      <c r="L1432" s="1" t="s">
        <v>41</v>
      </c>
      <c r="M1432" s="1" t="s">
        <v>85</v>
      </c>
      <c r="N1432" s="1" t="s">
        <v>86</v>
      </c>
      <c r="O1432" s="1">
        <v>2</v>
      </c>
      <c r="P1432" s="1">
        <v>124</v>
      </c>
      <c r="Q1432" s="1">
        <v>178</v>
      </c>
      <c r="R1432" s="8" t="str">
        <f>_xlfn.IFS(J1432&gt;=8,"Hit",J1432&gt;=6,"Average",J1432&lt;6,"Flop")</f>
        <v>Flop</v>
      </c>
      <c r="S1432" s="9" t="str">
        <f>_xlfn.IFS(K1432&gt;=400,"Blockbuster",K1432&gt;=200,"Popular",K1432&lt;200,"Normal")</f>
        <v>Popular</v>
      </c>
      <c r="T1432" s="10" t="str">
        <f>IF(OR(I1432="PG",I1432="G"),"Yes","No")</f>
        <v>No</v>
      </c>
      <c r="U1432" s="11" t="str">
        <f>IF(P1432&gt;=100,"High","Low")</f>
        <v>High</v>
      </c>
      <c r="V1432" s="28">
        <f t="shared" si="44"/>
        <v>54</v>
      </c>
      <c r="W1432" s="29">
        <f t="shared" si="45"/>
        <v>143.54838709677421</v>
      </c>
    </row>
    <row r="1433" spans="1:23" x14ac:dyDescent="0.3">
      <c r="A1433" s="1" t="s">
        <v>4042</v>
      </c>
      <c r="B1433" s="1" t="s">
        <v>4043</v>
      </c>
      <c r="C1433" s="1" t="s">
        <v>18</v>
      </c>
      <c r="D1433" s="1" t="s">
        <v>28</v>
      </c>
      <c r="E1433" s="1">
        <v>2018</v>
      </c>
      <c r="F1433" s="1" t="s">
        <v>20</v>
      </c>
      <c r="G1433" s="1" t="s">
        <v>556</v>
      </c>
      <c r="H1433" s="1">
        <v>110</v>
      </c>
      <c r="I1433" s="1" t="s">
        <v>110</v>
      </c>
      <c r="J1433" s="1">
        <v>8.1</v>
      </c>
      <c r="K1433" s="1">
        <v>349.9</v>
      </c>
      <c r="L1433" s="1" t="s">
        <v>41</v>
      </c>
      <c r="M1433" s="1" t="s">
        <v>157</v>
      </c>
      <c r="N1433" s="1" t="s">
        <v>67</v>
      </c>
      <c r="O1433" s="1"/>
      <c r="P1433" s="1">
        <v>48</v>
      </c>
      <c r="Q1433" s="1">
        <v>89.4</v>
      </c>
      <c r="R1433" s="8" t="str">
        <f>_xlfn.IFS(J1433&gt;=8,"Hit",J1433&gt;=6,"Average",J1433&lt;6,"Flop")</f>
        <v>Hit</v>
      </c>
      <c r="S1433" s="9" t="str">
        <f>_xlfn.IFS(K1433&gt;=400,"Blockbuster",K1433&gt;=200,"Popular",K1433&lt;200,"Normal")</f>
        <v>Popular</v>
      </c>
      <c r="T1433" s="10" t="str">
        <f>IF(OR(I1433="PG",I1433="G"),"Yes","No")</f>
        <v>No</v>
      </c>
      <c r="U1433" s="11" t="str">
        <f>IF(P1433&gt;=100,"High","Low")</f>
        <v>Low</v>
      </c>
      <c r="V1433" s="28">
        <f t="shared" si="44"/>
        <v>41.400000000000006</v>
      </c>
      <c r="W1433" s="29">
        <f t="shared" si="45"/>
        <v>186.25</v>
      </c>
    </row>
    <row r="1434" spans="1:23" x14ac:dyDescent="0.3">
      <c r="A1434" s="1" t="s">
        <v>4044</v>
      </c>
      <c r="B1434" s="1" t="s">
        <v>4045</v>
      </c>
      <c r="C1434" s="1" t="s">
        <v>46</v>
      </c>
      <c r="D1434" s="1" t="s">
        <v>141</v>
      </c>
      <c r="E1434" s="1">
        <v>2014</v>
      </c>
      <c r="F1434" s="1" t="s">
        <v>95</v>
      </c>
      <c r="G1434" s="1" t="s">
        <v>4046</v>
      </c>
      <c r="H1434" s="1">
        <v>43</v>
      </c>
      <c r="I1434" s="1" t="s">
        <v>22</v>
      </c>
      <c r="J1434" s="1">
        <v>5.3</v>
      </c>
      <c r="K1434" s="1">
        <v>297.7</v>
      </c>
      <c r="L1434" s="1" t="s">
        <v>171</v>
      </c>
      <c r="M1434" s="1" t="s">
        <v>33</v>
      </c>
      <c r="N1434" s="1" t="s">
        <v>34</v>
      </c>
      <c r="O1434" s="1">
        <v>5</v>
      </c>
      <c r="P1434" s="1">
        <v>96</v>
      </c>
      <c r="Q1434" s="1">
        <v>573.79999999999995</v>
      </c>
      <c r="R1434" s="8" t="str">
        <f>_xlfn.IFS(J1434&gt;=8,"Hit",J1434&gt;=6,"Average",J1434&lt;6,"Flop")</f>
        <v>Flop</v>
      </c>
      <c r="S1434" s="9" t="str">
        <f>_xlfn.IFS(K1434&gt;=400,"Blockbuster",K1434&gt;=200,"Popular",K1434&lt;200,"Normal")</f>
        <v>Popular</v>
      </c>
      <c r="T1434" s="10" t="str">
        <f>IF(OR(I1434="PG",I1434="G"),"Yes","No")</f>
        <v>No</v>
      </c>
      <c r="U1434" s="11" t="str">
        <f>IF(P1434&gt;=100,"High","Low")</f>
        <v>Low</v>
      </c>
      <c r="V1434" s="28">
        <f t="shared" si="44"/>
        <v>477.79999999999995</v>
      </c>
      <c r="W1434" s="29">
        <f t="shared" si="45"/>
        <v>597.70833333333326</v>
      </c>
    </row>
    <row r="1435" spans="1:23" x14ac:dyDescent="0.3">
      <c r="A1435" s="1" t="s">
        <v>4047</v>
      </c>
      <c r="B1435" s="1" t="s">
        <v>4048</v>
      </c>
      <c r="C1435" s="1" t="s">
        <v>46</v>
      </c>
      <c r="D1435" s="1" t="s">
        <v>82</v>
      </c>
      <c r="E1435" s="1">
        <v>2005</v>
      </c>
      <c r="F1435" s="1" t="s">
        <v>100</v>
      </c>
      <c r="G1435" s="1" t="s">
        <v>4049</v>
      </c>
      <c r="H1435" s="1">
        <v>57</v>
      </c>
      <c r="I1435" s="1" t="s">
        <v>50</v>
      </c>
      <c r="J1435" s="1">
        <v>6.3</v>
      </c>
      <c r="K1435" s="1">
        <v>471.3</v>
      </c>
      <c r="L1435" s="1" t="s">
        <v>23</v>
      </c>
      <c r="M1435" s="1" t="s">
        <v>85</v>
      </c>
      <c r="N1435" s="1" t="s">
        <v>25</v>
      </c>
      <c r="O1435" s="1">
        <v>7</v>
      </c>
      <c r="P1435" s="1">
        <v>128</v>
      </c>
      <c r="Q1435" s="1">
        <v>781.3</v>
      </c>
      <c r="R1435" s="8" t="str">
        <f>_xlfn.IFS(J1435&gt;=8,"Hit",J1435&gt;=6,"Average",J1435&lt;6,"Flop")</f>
        <v>Average</v>
      </c>
      <c r="S1435" s="9" t="str">
        <f>_xlfn.IFS(K1435&gt;=400,"Blockbuster",K1435&gt;=200,"Popular",K1435&lt;200,"Normal")</f>
        <v>Blockbuster</v>
      </c>
      <c r="T1435" s="10" t="str">
        <f>IF(OR(I1435="PG",I1435="G"),"Yes","No")</f>
        <v>Yes</v>
      </c>
      <c r="U1435" s="11" t="str">
        <f>IF(P1435&gt;=100,"High","Low")</f>
        <v>High</v>
      </c>
      <c r="V1435" s="28">
        <f t="shared" si="44"/>
        <v>653.29999999999995</v>
      </c>
      <c r="W1435" s="29">
        <f t="shared" si="45"/>
        <v>610.390625</v>
      </c>
    </row>
    <row r="1436" spans="1:23" x14ac:dyDescent="0.3">
      <c r="A1436" s="1" t="s">
        <v>4050</v>
      </c>
      <c r="B1436" s="1" t="s">
        <v>4051</v>
      </c>
      <c r="C1436" s="1" t="s">
        <v>46</v>
      </c>
      <c r="D1436" s="1" t="s">
        <v>82</v>
      </c>
      <c r="E1436" s="1">
        <v>2013</v>
      </c>
      <c r="F1436" s="1" t="s">
        <v>38</v>
      </c>
      <c r="G1436" s="1" t="s">
        <v>799</v>
      </c>
      <c r="H1436" s="1">
        <v>53</v>
      </c>
      <c r="I1436" s="1" t="s">
        <v>50</v>
      </c>
      <c r="J1436" s="1">
        <v>9.6</v>
      </c>
      <c r="K1436" s="1">
        <v>365</v>
      </c>
      <c r="L1436" s="1" t="s">
        <v>71</v>
      </c>
      <c r="M1436" s="1" t="s">
        <v>33</v>
      </c>
      <c r="N1436" s="1" t="s">
        <v>178</v>
      </c>
      <c r="O1436" s="1">
        <v>8</v>
      </c>
      <c r="P1436" s="1">
        <v>7</v>
      </c>
      <c r="Q1436" s="1">
        <v>16.899999999999999</v>
      </c>
      <c r="R1436" s="8" t="str">
        <f>_xlfn.IFS(J1436&gt;=8,"Hit",J1436&gt;=6,"Average",J1436&lt;6,"Flop")</f>
        <v>Hit</v>
      </c>
      <c r="S1436" s="9" t="str">
        <f>_xlfn.IFS(K1436&gt;=400,"Blockbuster",K1436&gt;=200,"Popular",K1436&lt;200,"Normal")</f>
        <v>Popular</v>
      </c>
      <c r="T1436" s="10" t="str">
        <f>IF(OR(I1436="PG",I1436="G"),"Yes","No")</f>
        <v>Yes</v>
      </c>
      <c r="U1436" s="11" t="str">
        <f>IF(P1436&gt;=100,"High","Low")</f>
        <v>Low</v>
      </c>
      <c r="V1436" s="28">
        <f t="shared" si="44"/>
        <v>9.8999999999999986</v>
      </c>
      <c r="W1436" s="29">
        <f t="shared" si="45"/>
        <v>241.42857142857142</v>
      </c>
    </row>
    <row r="1437" spans="1:23" x14ac:dyDescent="0.3">
      <c r="A1437" s="1" t="s">
        <v>4052</v>
      </c>
      <c r="B1437" s="1" t="s">
        <v>4053</v>
      </c>
      <c r="C1437" s="1" t="s">
        <v>18</v>
      </c>
      <c r="D1437" s="1" t="s">
        <v>117</v>
      </c>
      <c r="E1437" s="1">
        <v>2002</v>
      </c>
      <c r="F1437" s="1" t="s">
        <v>95</v>
      </c>
      <c r="G1437" s="1" t="s">
        <v>4054</v>
      </c>
      <c r="H1437" s="1">
        <v>174</v>
      </c>
      <c r="I1437" s="1" t="s">
        <v>110</v>
      </c>
      <c r="J1437" s="1">
        <v>5.0999999999999996</v>
      </c>
      <c r="K1437" s="1">
        <v>496.5</v>
      </c>
      <c r="L1437" s="1" t="s">
        <v>32</v>
      </c>
      <c r="M1437" s="1" t="s">
        <v>111</v>
      </c>
      <c r="N1437" s="1" t="s">
        <v>119</v>
      </c>
      <c r="O1437" s="1"/>
      <c r="P1437" s="1">
        <v>128</v>
      </c>
      <c r="Q1437" s="1">
        <v>345.4</v>
      </c>
      <c r="R1437" s="8" t="str">
        <f>_xlfn.IFS(J1437&gt;=8,"Hit",J1437&gt;=6,"Average",J1437&lt;6,"Flop")</f>
        <v>Flop</v>
      </c>
      <c r="S1437" s="9" t="str">
        <f>_xlfn.IFS(K1437&gt;=400,"Blockbuster",K1437&gt;=200,"Popular",K1437&lt;200,"Normal")</f>
        <v>Blockbuster</v>
      </c>
      <c r="T1437" s="10" t="str">
        <f>IF(OR(I1437="PG",I1437="G"),"Yes","No")</f>
        <v>No</v>
      </c>
      <c r="U1437" s="11" t="str">
        <f>IF(P1437&gt;=100,"High","Low")</f>
        <v>High</v>
      </c>
      <c r="V1437" s="28">
        <f t="shared" si="44"/>
        <v>217.39999999999998</v>
      </c>
      <c r="W1437" s="29">
        <f t="shared" si="45"/>
        <v>269.84375</v>
      </c>
    </row>
    <row r="1438" spans="1:23" x14ac:dyDescent="0.3">
      <c r="A1438" s="1" t="s">
        <v>4055</v>
      </c>
      <c r="B1438" s="1" t="s">
        <v>4056</v>
      </c>
      <c r="C1438" s="1" t="s">
        <v>18</v>
      </c>
      <c r="D1438" s="1" t="s">
        <v>141</v>
      </c>
      <c r="E1438" s="1">
        <v>2015</v>
      </c>
      <c r="F1438" s="1" t="s">
        <v>95</v>
      </c>
      <c r="G1438" s="1" t="s">
        <v>2652</v>
      </c>
      <c r="H1438" s="1">
        <v>180</v>
      </c>
      <c r="I1438" s="1" t="s">
        <v>31</v>
      </c>
      <c r="J1438" s="1">
        <v>7.9</v>
      </c>
      <c r="K1438" s="1">
        <v>30</v>
      </c>
      <c r="L1438" s="1" t="s">
        <v>171</v>
      </c>
      <c r="M1438" s="1" t="s">
        <v>97</v>
      </c>
      <c r="N1438" s="1" t="s">
        <v>67</v>
      </c>
      <c r="O1438" s="1"/>
      <c r="P1438" s="1">
        <v>150</v>
      </c>
      <c r="Q1438" s="1">
        <v>409.7</v>
      </c>
      <c r="R1438" s="8" t="str">
        <f>_xlfn.IFS(J1438&gt;=8,"Hit",J1438&gt;=6,"Average",J1438&lt;6,"Flop")</f>
        <v>Average</v>
      </c>
      <c r="S1438" s="9" t="str">
        <f>_xlfn.IFS(K1438&gt;=400,"Blockbuster",K1438&gt;=200,"Popular",K1438&lt;200,"Normal")</f>
        <v>Normal</v>
      </c>
      <c r="T1438" s="10" t="str">
        <f>IF(OR(I1438="PG",I1438="G"),"Yes","No")</f>
        <v>No</v>
      </c>
      <c r="U1438" s="11" t="str">
        <f>IF(P1438&gt;=100,"High","Low")</f>
        <v>High</v>
      </c>
      <c r="V1438" s="28">
        <f t="shared" si="44"/>
        <v>259.7</v>
      </c>
      <c r="W1438" s="29">
        <f t="shared" si="45"/>
        <v>273.13333333333333</v>
      </c>
    </row>
    <row r="1439" spans="1:23" x14ac:dyDescent="0.3">
      <c r="A1439" s="1" t="s">
        <v>4057</v>
      </c>
      <c r="B1439" s="1" t="s">
        <v>4058</v>
      </c>
      <c r="C1439" s="1" t="s">
        <v>18</v>
      </c>
      <c r="D1439" s="1" t="s">
        <v>63</v>
      </c>
      <c r="E1439" s="1">
        <v>2003</v>
      </c>
      <c r="F1439" s="1" t="s">
        <v>48</v>
      </c>
      <c r="G1439" s="1" t="s">
        <v>3478</v>
      </c>
      <c r="H1439" s="1">
        <v>174</v>
      </c>
      <c r="I1439" s="1" t="s">
        <v>40</v>
      </c>
      <c r="J1439" s="1">
        <v>4.5</v>
      </c>
      <c r="K1439" s="1">
        <v>537.70000000000005</v>
      </c>
      <c r="L1439" s="1" t="s">
        <v>23</v>
      </c>
      <c r="M1439" s="1" t="s">
        <v>157</v>
      </c>
      <c r="N1439" s="1" t="s">
        <v>43</v>
      </c>
      <c r="O1439" s="1"/>
      <c r="P1439" s="1">
        <v>162</v>
      </c>
      <c r="Q1439" s="1">
        <v>288.7</v>
      </c>
      <c r="R1439" s="8" t="str">
        <f>_xlfn.IFS(J1439&gt;=8,"Hit",J1439&gt;=6,"Average",J1439&lt;6,"Flop")</f>
        <v>Flop</v>
      </c>
      <c r="S1439" s="9" t="str">
        <f>_xlfn.IFS(K1439&gt;=400,"Blockbuster",K1439&gt;=200,"Popular",K1439&lt;200,"Normal")</f>
        <v>Blockbuster</v>
      </c>
      <c r="T1439" s="10" t="str">
        <f>IF(OR(I1439="PG",I1439="G"),"Yes","No")</f>
        <v>Yes</v>
      </c>
      <c r="U1439" s="11" t="str">
        <f>IF(P1439&gt;=100,"High","Low")</f>
        <v>High</v>
      </c>
      <c r="V1439" s="28">
        <f t="shared" si="44"/>
        <v>126.69999999999999</v>
      </c>
      <c r="W1439" s="29">
        <f t="shared" si="45"/>
        <v>178.20987654320987</v>
      </c>
    </row>
    <row r="1440" spans="1:23" x14ac:dyDescent="0.3">
      <c r="A1440" s="1" t="s">
        <v>4059</v>
      </c>
      <c r="B1440" s="1" t="s">
        <v>4060</v>
      </c>
      <c r="C1440" s="1" t="s">
        <v>46</v>
      </c>
      <c r="D1440" s="1" t="s">
        <v>58</v>
      </c>
      <c r="E1440" s="1">
        <v>2012</v>
      </c>
      <c r="F1440" s="1" t="s">
        <v>76</v>
      </c>
      <c r="G1440" s="1" t="s">
        <v>3841</v>
      </c>
      <c r="H1440" s="1">
        <v>45</v>
      </c>
      <c r="I1440" s="1" t="s">
        <v>31</v>
      </c>
      <c r="J1440" s="1">
        <v>7.5</v>
      </c>
      <c r="K1440" s="1">
        <v>214.1</v>
      </c>
      <c r="L1440" s="1" t="s">
        <v>23</v>
      </c>
      <c r="M1440" s="1" t="s">
        <v>97</v>
      </c>
      <c r="N1440" s="1" t="s">
        <v>60</v>
      </c>
      <c r="O1440" s="1">
        <v>1</v>
      </c>
      <c r="P1440" s="1">
        <v>118</v>
      </c>
      <c r="Q1440" s="1">
        <v>218.7</v>
      </c>
      <c r="R1440" s="8" t="str">
        <f>_xlfn.IFS(J1440&gt;=8,"Hit",J1440&gt;=6,"Average",J1440&lt;6,"Flop")</f>
        <v>Average</v>
      </c>
      <c r="S1440" s="9" t="str">
        <f>_xlfn.IFS(K1440&gt;=400,"Blockbuster",K1440&gt;=200,"Popular",K1440&lt;200,"Normal")</f>
        <v>Popular</v>
      </c>
      <c r="T1440" s="10" t="str">
        <f>IF(OR(I1440="PG",I1440="G"),"Yes","No")</f>
        <v>No</v>
      </c>
      <c r="U1440" s="11" t="str">
        <f>IF(P1440&gt;=100,"High","Low")</f>
        <v>High</v>
      </c>
      <c r="V1440" s="28">
        <f t="shared" si="44"/>
        <v>100.69999999999999</v>
      </c>
      <c r="W1440" s="29">
        <f t="shared" si="45"/>
        <v>185.33898305084745</v>
      </c>
    </row>
    <row r="1441" spans="1:23" x14ac:dyDescent="0.3">
      <c r="A1441" s="1" t="s">
        <v>4061</v>
      </c>
      <c r="B1441" s="1" t="s">
        <v>4062</v>
      </c>
      <c r="C1441" s="1" t="s">
        <v>46</v>
      </c>
      <c r="D1441" s="1" t="s">
        <v>28</v>
      </c>
      <c r="E1441" s="1">
        <v>2021</v>
      </c>
      <c r="F1441" s="1" t="s">
        <v>95</v>
      </c>
      <c r="G1441" s="1" t="s">
        <v>4063</v>
      </c>
      <c r="H1441" s="1">
        <v>34</v>
      </c>
      <c r="I1441" s="1" t="s">
        <v>40</v>
      </c>
      <c r="J1441" s="1">
        <v>5.3</v>
      </c>
      <c r="K1441" s="1">
        <v>111</v>
      </c>
      <c r="L1441" s="1" t="s">
        <v>90</v>
      </c>
      <c r="M1441" s="1" t="s">
        <v>124</v>
      </c>
      <c r="N1441" s="1" t="s">
        <v>55</v>
      </c>
      <c r="O1441" s="1">
        <v>5</v>
      </c>
      <c r="P1441" s="1">
        <v>200</v>
      </c>
      <c r="Q1441" s="1">
        <v>1243.4000000000001</v>
      </c>
      <c r="R1441" s="8" t="str">
        <f>_xlfn.IFS(J1441&gt;=8,"Hit",J1441&gt;=6,"Average",J1441&lt;6,"Flop")</f>
        <v>Flop</v>
      </c>
      <c r="S1441" s="9" t="str">
        <f>_xlfn.IFS(K1441&gt;=400,"Blockbuster",K1441&gt;=200,"Popular",K1441&lt;200,"Normal")</f>
        <v>Normal</v>
      </c>
      <c r="T1441" s="10" t="str">
        <f>IF(OR(I1441="PG",I1441="G"),"Yes","No")</f>
        <v>Yes</v>
      </c>
      <c r="U1441" s="11" t="str">
        <f>IF(P1441&gt;=100,"High","Low")</f>
        <v>High</v>
      </c>
      <c r="V1441" s="28">
        <f t="shared" si="44"/>
        <v>1043.4000000000001</v>
      </c>
      <c r="W1441" s="29">
        <f t="shared" si="45"/>
        <v>621.70000000000005</v>
      </c>
    </row>
    <row r="1442" spans="1:23" x14ac:dyDescent="0.3">
      <c r="A1442" s="1" t="s">
        <v>4064</v>
      </c>
      <c r="B1442" s="1" t="s">
        <v>4065</v>
      </c>
      <c r="C1442" s="1" t="s">
        <v>46</v>
      </c>
      <c r="D1442" s="1" t="s">
        <v>94</v>
      </c>
      <c r="E1442" s="1">
        <v>2018</v>
      </c>
      <c r="F1442" s="1" t="s">
        <v>95</v>
      </c>
      <c r="G1442" s="1" t="s">
        <v>1694</v>
      </c>
      <c r="H1442" s="1">
        <v>45</v>
      </c>
      <c r="I1442" s="1" t="s">
        <v>31</v>
      </c>
      <c r="J1442" s="1">
        <v>5.3</v>
      </c>
      <c r="K1442" s="1">
        <v>21.9</v>
      </c>
      <c r="L1442" s="1" t="s">
        <v>90</v>
      </c>
      <c r="M1442" s="1" t="s">
        <v>146</v>
      </c>
      <c r="N1442" s="1" t="s">
        <v>158</v>
      </c>
      <c r="O1442" s="1">
        <v>4</v>
      </c>
      <c r="P1442" s="1">
        <v>25</v>
      </c>
      <c r="Q1442" s="1">
        <v>80.099999999999994</v>
      </c>
      <c r="R1442" s="8" t="str">
        <f>_xlfn.IFS(J1442&gt;=8,"Hit",J1442&gt;=6,"Average",J1442&lt;6,"Flop")</f>
        <v>Flop</v>
      </c>
      <c r="S1442" s="9" t="str">
        <f>_xlfn.IFS(K1442&gt;=400,"Blockbuster",K1442&gt;=200,"Popular",K1442&lt;200,"Normal")</f>
        <v>Normal</v>
      </c>
      <c r="T1442" s="10" t="str">
        <f>IF(OR(I1442="PG",I1442="G"),"Yes","No")</f>
        <v>No</v>
      </c>
      <c r="U1442" s="11" t="str">
        <f>IF(P1442&gt;=100,"High","Low")</f>
        <v>Low</v>
      </c>
      <c r="V1442" s="28">
        <f t="shared" si="44"/>
        <v>55.099999999999994</v>
      </c>
      <c r="W1442" s="29">
        <f t="shared" si="45"/>
        <v>320.39999999999998</v>
      </c>
    </row>
    <row r="1443" spans="1:23" x14ac:dyDescent="0.3">
      <c r="A1443" s="1" t="s">
        <v>4066</v>
      </c>
      <c r="B1443" s="1" t="s">
        <v>4067</v>
      </c>
      <c r="C1443" s="1" t="s">
        <v>46</v>
      </c>
      <c r="D1443" s="1" t="s">
        <v>63</v>
      </c>
      <c r="E1443" s="1">
        <v>2009</v>
      </c>
      <c r="F1443" s="1" t="s">
        <v>20</v>
      </c>
      <c r="G1443" s="1" t="s">
        <v>4068</v>
      </c>
      <c r="H1443" s="1">
        <v>39</v>
      </c>
      <c r="I1443" s="1" t="s">
        <v>110</v>
      </c>
      <c r="J1443" s="1">
        <v>7.4</v>
      </c>
      <c r="K1443" s="1">
        <v>502.3</v>
      </c>
      <c r="L1443" s="1" t="s">
        <v>71</v>
      </c>
      <c r="M1443" s="1" t="s">
        <v>78</v>
      </c>
      <c r="N1443" s="1" t="s">
        <v>25</v>
      </c>
      <c r="O1443" s="1">
        <v>6</v>
      </c>
      <c r="P1443" s="1">
        <v>130</v>
      </c>
      <c r="Q1443" s="1">
        <v>793.7</v>
      </c>
      <c r="R1443" s="8" t="str">
        <f>_xlfn.IFS(J1443&gt;=8,"Hit",J1443&gt;=6,"Average",J1443&lt;6,"Flop")</f>
        <v>Average</v>
      </c>
      <c r="S1443" s="9" t="str">
        <f>_xlfn.IFS(K1443&gt;=400,"Blockbuster",K1443&gt;=200,"Popular",K1443&lt;200,"Normal")</f>
        <v>Blockbuster</v>
      </c>
      <c r="T1443" s="10" t="str">
        <f>IF(OR(I1443="PG",I1443="G"),"Yes","No")</f>
        <v>No</v>
      </c>
      <c r="U1443" s="11" t="str">
        <f>IF(P1443&gt;=100,"High","Low")</f>
        <v>High</v>
      </c>
      <c r="V1443" s="28">
        <f t="shared" si="44"/>
        <v>663.7</v>
      </c>
      <c r="W1443" s="29">
        <f t="shared" si="45"/>
        <v>610.53846153846166</v>
      </c>
    </row>
    <row r="1444" spans="1:23" x14ac:dyDescent="0.3">
      <c r="A1444" s="1" t="s">
        <v>4069</v>
      </c>
      <c r="B1444" s="1" t="s">
        <v>4070</v>
      </c>
      <c r="C1444" s="1" t="s">
        <v>18</v>
      </c>
      <c r="D1444" s="1" t="s">
        <v>58</v>
      </c>
      <c r="E1444" s="1">
        <v>2021</v>
      </c>
      <c r="F1444" s="1" t="s">
        <v>122</v>
      </c>
      <c r="G1444" s="1" t="s">
        <v>142</v>
      </c>
      <c r="H1444" s="1">
        <v>94</v>
      </c>
      <c r="I1444" s="1" t="s">
        <v>22</v>
      </c>
      <c r="J1444" s="1">
        <v>6.2</v>
      </c>
      <c r="K1444" s="1">
        <v>307.8</v>
      </c>
      <c r="L1444" s="1" t="s">
        <v>171</v>
      </c>
      <c r="M1444" s="1" t="s">
        <v>97</v>
      </c>
      <c r="N1444" s="1" t="s">
        <v>153</v>
      </c>
      <c r="O1444" s="1"/>
      <c r="P1444" s="1">
        <v>116</v>
      </c>
      <c r="Q1444" s="1">
        <v>448.5</v>
      </c>
      <c r="R1444" s="8" t="str">
        <f>_xlfn.IFS(J1444&gt;=8,"Hit",J1444&gt;=6,"Average",J1444&lt;6,"Flop")</f>
        <v>Average</v>
      </c>
      <c r="S1444" s="9" t="str">
        <f>_xlfn.IFS(K1444&gt;=400,"Blockbuster",K1444&gt;=200,"Popular",K1444&lt;200,"Normal")</f>
        <v>Popular</v>
      </c>
      <c r="T1444" s="10" t="str">
        <f>IF(OR(I1444="PG",I1444="G"),"Yes","No")</f>
        <v>No</v>
      </c>
      <c r="U1444" s="11" t="str">
        <f>IF(P1444&gt;=100,"High","Low")</f>
        <v>High</v>
      </c>
      <c r="V1444" s="28">
        <f t="shared" si="44"/>
        <v>332.5</v>
      </c>
      <c r="W1444" s="29">
        <f t="shared" si="45"/>
        <v>386.63793103448273</v>
      </c>
    </row>
    <row r="1445" spans="1:23" x14ac:dyDescent="0.3">
      <c r="A1445" s="1" t="s">
        <v>4071</v>
      </c>
      <c r="B1445" s="1" t="s">
        <v>4072</v>
      </c>
      <c r="C1445" s="1" t="s">
        <v>46</v>
      </c>
      <c r="D1445" s="1" t="s">
        <v>28</v>
      </c>
      <c r="E1445" s="1">
        <v>2016</v>
      </c>
      <c r="F1445" s="1" t="s">
        <v>20</v>
      </c>
      <c r="G1445" s="1" t="s">
        <v>4073</v>
      </c>
      <c r="H1445" s="1">
        <v>38</v>
      </c>
      <c r="I1445" s="1" t="s">
        <v>40</v>
      </c>
      <c r="J1445" s="1">
        <v>7.7</v>
      </c>
      <c r="K1445" s="1">
        <v>391.8</v>
      </c>
      <c r="L1445" s="1" t="s">
        <v>71</v>
      </c>
      <c r="M1445" s="1" t="s">
        <v>24</v>
      </c>
      <c r="N1445" s="1" t="s">
        <v>158</v>
      </c>
      <c r="O1445" s="1">
        <v>7</v>
      </c>
      <c r="P1445" s="1">
        <v>151</v>
      </c>
      <c r="Q1445" s="1">
        <v>790.2</v>
      </c>
      <c r="R1445" s="8" t="str">
        <f>_xlfn.IFS(J1445&gt;=8,"Hit",J1445&gt;=6,"Average",J1445&lt;6,"Flop")</f>
        <v>Average</v>
      </c>
      <c r="S1445" s="9" t="str">
        <f>_xlfn.IFS(K1445&gt;=400,"Blockbuster",K1445&gt;=200,"Popular",K1445&lt;200,"Normal")</f>
        <v>Popular</v>
      </c>
      <c r="T1445" s="10" t="str">
        <f>IF(OR(I1445="PG",I1445="G"),"Yes","No")</f>
        <v>Yes</v>
      </c>
      <c r="U1445" s="11" t="str">
        <f>IF(P1445&gt;=100,"High","Low")</f>
        <v>High</v>
      </c>
      <c r="V1445" s="28">
        <f t="shared" si="44"/>
        <v>639.20000000000005</v>
      </c>
      <c r="W1445" s="29">
        <f t="shared" si="45"/>
        <v>523.31125827814571</v>
      </c>
    </row>
    <row r="1446" spans="1:23" x14ac:dyDescent="0.3">
      <c r="A1446" s="1" t="s">
        <v>4074</v>
      </c>
      <c r="B1446" s="1" t="s">
        <v>4075</v>
      </c>
      <c r="C1446" s="1" t="s">
        <v>46</v>
      </c>
      <c r="D1446" s="1" t="s">
        <v>28</v>
      </c>
      <c r="E1446" s="1">
        <v>2010</v>
      </c>
      <c r="F1446" s="1" t="s">
        <v>122</v>
      </c>
      <c r="G1446" s="1" t="s">
        <v>4076</v>
      </c>
      <c r="H1446" s="1">
        <v>56</v>
      </c>
      <c r="I1446" s="1" t="s">
        <v>22</v>
      </c>
      <c r="J1446" s="1">
        <v>6.5</v>
      </c>
      <c r="K1446" s="1">
        <v>255.2</v>
      </c>
      <c r="L1446" s="1" t="s">
        <v>65</v>
      </c>
      <c r="M1446" s="1" t="s">
        <v>42</v>
      </c>
      <c r="N1446" s="1" t="s">
        <v>79</v>
      </c>
      <c r="O1446" s="1">
        <v>1</v>
      </c>
      <c r="P1446" s="1">
        <v>7</v>
      </c>
      <c r="Q1446" s="1">
        <v>41.2</v>
      </c>
      <c r="R1446" s="8" t="str">
        <f>_xlfn.IFS(J1446&gt;=8,"Hit",J1446&gt;=6,"Average",J1446&lt;6,"Flop")</f>
        <v>Average</v>
      </c>
      <c r="S1446" s="9" t="str">
        <f>_xlfn.IFS(K1446&gt;=400,"Blockbuster",K1446&gt;=200,"Popular",K1446&lt;200,"Normal")</f>
        <v>Popular</v>
      </c>
      <c r="T1446" s="10" t="str">
        <f>IF(OR(I1446="PG",I1446="G"),"Yes","No")</f>
        <v>No</v>
      </c>
      <c r="U1446" s="11" t="str">
        <f>IF(P1446&gt;=100,"High","Low")</f>
        <v>Low</v>
      </c>
      <c r="V1446" s="28">
        <f t="shared" si="44"/>
        <v>34.200000000000003</v>
      </c>
      <c r="W1446" s="29">
        <f t="shared" si="45"/>
        <v>588.57142857142867</v>
      </c>
    </row>
    <row r="1447" spans="1:23" x14ac:dyDescent="0.3">
      <c r="A1447" s="1" t="s">
        <v>4077</v>
      </c>
      <c r="B1447" s="1" t="s">
        <v>4078</v>
      </c>
      <c r="C1447" s="1" t="s">
        <v>18</v>
      </c>
      <c r="D1447" s="1" t="s">
        <v>19</v>
      </c>
      <c r="E1447" s="1">
        <v>2022</v>
      </c>
      <c r="F1447" s="1" t="s">
        <v>122</v>
      </c>
      <c r="G1447" s="1" t="s">
        <v>3588</v>
      </c>
      <c r="H1447" s="1">
        <v>150</v>
      </c>
      <c r="I1447" s="1" t="s">
        <v>31</v>
      </c>
      <c r="J1447" s="1">
        <v>8.1999999999999993</v>
      </c>
      <c r="K1447" s="1">
        <v>444.4</v>
      </c>
      <c r="L1447" s="1" t="s">
        <v>41</v>
      </c>
      <c r="M1447" s="1" t="s">
        <v>33</v>
      </c>
      <c r="N1447" s="1" t="s">
        <v>119</v>
      </c>
      <c r="O1447" s="1"/>
      <c r="P1447" s="1">
        <v>26</v>
      </c>
      <c r="Q1447" s="1">
        <v>39.799999999999997</v>
      </c>
      <c r="R1447" s="8" t="str">
        <f>_xlfn.IFS(J1447&gt;=8,"Hit",J1447&gt;=6,"Average",J1447&lt;6,"Flop")</f>
        <v>Hit</v>
      </c>
      <c r="S1447" s="9" t="str">
        <f>_xlfn.IFS(K1447&gt;=400,"Blockbuster",K1447&gt;=200,"Popular",K1447&lt;200,"Normal")</f>
        <v>Blockbuster</v>
      </c>
      <c r="T1447" s="10" t="str">
        <f>IF(OR(I1447="PG",I1447="G"),"Yes","No")</f>
        <v>No</v>
      </c>
      <c r="U1447" s="11" t="str">
        <f>IF(P1447&gt;=100,"High","Low")</f>
        <v>Low</v>
      </c>
      <c r="V1447" s="28">
        <f t="shared" si="44"/>
        <v>13.799999999999997</v>
      </c>
      <c r="W1447" s="29">
        <f t="shared" si="45"/>
        <v>153.07692307692307</v>
      </c>
    </row>
    <row r="1448" spans="1:23" x14ac:dyDescent="0.3">
      <c r="A1448" s="1" t="s">
        <v>4079</v>
      </c>
      <c r="B1448" s="1" t="s">
        <v>4080</v>
      </c>
      <c r="C1448" s="1" t="s">
        <v>18</v>
      </c>
      <c r="D1448" s="1" t="s">
        <v>141</v>
      </c>
      <c r="E1448" s="1">
        <v>2007</v>
      </c>
      <c r="F1448" s="1" t="s">
        <v>122</v>
      </c>
      <c r="G1448" s="1" t="s">
        <v>4081</v>
      </c>
      <c r="H1448" s="1">
        <v>173</v>
      </c>
      <c r="I1448" s="1" t="s">
        <v>50</v>
      </c>
      <c r="J1448" s="1">
        <v>9.5</v>
      </c>
      <c r="K1448" s="1">
        <v>230.7</v>
      </c>
      <c r="L1448" s="1" t="s">
        <v>32</v>
      </c>
      <c r="M1448" s="1" t="s">
        <v>54</v>
      </c>
      <c r="N1448" s="1" t="s">
        <v>158</v>
      </c>
      <c r="O1448" s="1"/>
      <c r="P1448" s="1">
        <v>143</v>
      </c>
      <c r="Q1448" s="1">
        <v>591.20000000000005</v>
      </c>
      <c r="R1448" s="8" t="str">
        <f>_xlfn.IFS(J1448&gt;=8,"Hit",J1448&gt;=6,"Average",J1448&lt;6,"Flop")</f>
        <v>Hit</v>
      </c>
      <c r="S1448" s="9" t="str">
        <f>_xlfn.IFS(K1448&gt;=400,"Blockbuster",K1448&gt;=200,"Popular",K1448&lt;200,"Normal")</f>
        <v>Popular</v>
      </c>
      <c r="T1448" s="10" t="str">
        <f>IF(OR(I1448="PG",I1448="G"),"Yes","No")</f>
        <v>Yes</v>
      </c>
      <c r="U1448" s="11" t="str">
        <f>IF(P1448&gt;=100,"High","Low")</f>
        <v>High</v>
      </c>
      <c r="V1448" s="28">
        <f t="shared" si="44"/>
        <v>448.20000000000005</v>
      </c>
      <c r="W1448" s="29">
        <f t="shared" si="45"/>
        <v>413.42657342657344</v>
      </c>
    </row>
    <row r="1449" spans="1:23" x14ac:dyDescent="0.3">
      <c r="A1449" s="1" t="s">
        <v>4082</v>
      </c>
      <c r="B1449" s="1" t="s">
        <v>4083</v>
      </c>
      <c r="C1449" s="1" t="s">
        <v>46</v>
      </c>
      <c r="D1449" s="1" t="s">
        <v>37</v>
      </c>
      <c r="E1449" s="1">
        <v>2013</v>
      </c>
      <c r="F1449" s="1" t="s">
        <v>122</v>
      </c>
      <c r="G1449" s="1" t="s">
        <v>1828</v>
      </c>
      <c r="H1449" s="1">
        <v>60</v>
      </c>
      <c r="I1449" s="1" t="s">
        <v>22</v>
      </c>
      <c r="J1449" s="1">
        <v>6.9</v>
      </c>
      <c r="K1449" s="1">
        <v>568.5</v>
      </c>
      <c r="L1449" s="1" t="s">
        <v>41</v>
      </c>
      <c r="M1449" s="1" t="s">
        <v>72</v>
      </c>
      <c r="N1449" s="1" t="s">
        <v>60</v>
      </c>
      <c r="O1449" s="1">
        <v>5</v>
      </c>
      <c r="P1449" s="1">
        <v>181</v>
      </c>
      <c r="Q1449" s="1">
        <v>1103</v>
      </c>
      <c r="R1449" s="8" t="str">
        <f>_xlfn.IFS(J1449&gt;=8,"Hit",J1449&gt;=6,"Average",J1449&lt;6,"Flop")</f>
        <v>Average</v>
      </c>
      <c r="S1449" s="9" t="str">
        <f>_xlfn.IFS(K1449&gt;=400,"Blockbuster",K1449&gt;=200,"Popular",K1449&lt;200,"Normal")</f>
        <v>Blockbuster</v>
      </c>
      <c r="T1449" s="10" t="str">
        <f>IF(OR(I1449="PG",I1449="G"),"Yes","No")</f>
        <v>No</v>
      </c>
      <c r="U1449" s="11" t="str">
        <f>IF(P1449&gt;=100,"High","Low")</f>
        <v>High</v>
      </c>
      <c r="V1449" s="28">
        <f t="shared" si="44"/>
        <v>922</v>
      </c>
      <c r="W1449" s="29">
        <f t="shared" si="45"/>
        <v>609.39226519337012</v>
      </c>
    </row>
    <row r="1450" spans="1:23" x14ac:dyDescent="0.3">
      <c r="A1450" s="1" t="s">
        <v>4084</v>
      </c>
      <c r="B1450" s="1" t="s">
        <v>4085</v>
      </c>
      <c r="C1450" s="1" t="s">
        <v>18</v>
      </c>
      <c r="D1450" s="1" t="s">
        <v>117</v>
      </c>
      <c r="E1450" s="1">
        <v>2000</v>
      </c>
      <c r="F1450" s="1" t="s">
        <v>100</v>
      </c>
      <c r="G1450" s="1" t="s">
        <v>2189</v>
      </c>
      <c r="H1450" s="1">
        <v>155</v>
      </c>
      <c r="I1450" s="1" t="s">
        <v>50</v>
      </c>
      <c r="J1450" s="1">
        <v>4.7</v>
      </c>
      <c r="K1450" s="1">
        <v>291.3</v>
      </c>
      <c r="L1450" s="1" t="s">
        <v>171</v>
      </c>
      <c r="M1450" s="1" t="s">
        <v>146</v>
      </c>
      <c r="N1450" s="1" t="s">
        <v>119</v>
      </c>
      <c r="O1450" s="1"/>
      <c r="P1450" s="1">
        <v>37</v>
      </c>
      <c r="Q1450" s="1">
        <v>48.5</v>
      </c>
      <c r="R1450" s="8" t="str">
        <f>_xlfn.IFS(J1450&gt;=8,"Hit",J1450&gt;=6,"Average",J1450&lt;6,"Flop")</f>
        <v>Flop</v>
      </c>
      <c r="S1450" s="9" t="str">
        <f>_xlfn.IFS(K1450&gt;=400,"Blockbuster",K1450&gt;=200,"Popular",K1450&lt;200,"Normal")</f>
        <v>Popular</v>
      </c>
      <c r="T1450" s="10" t="str">
        <f>IF(OR(I1450="PG",I1450="G"),"Yes","No")</f>
        <v>Yes</v>
      </c>
      <c r="U1450" s="11" t="str">
        <f>IF(P1450&gt;=100,"High","Low")</f>
        <v>Low</v>
      </c>
      <c r="V1450" s="28">
        <f t="shared" si="44"/>
        <v>11.5</v>
      </c>
      <c r="W1450" s="29">
        <f t="shared" si="45"/>
        <v>131.08108108108107</v>
      </c>
    </row>
    <row r="1451" spans="1:23" x14ac:dyDescent="0.3">
      <c r="A1451" s="1" t="s">
        <v>4086</v>
      </c>
      <c r="B1451" s="1" t="s">
        <v>4087</v>
      </c>
      <c r="C1451" s="1" t="s">
        <v>18</v>
      </c>
      <c r="D1451" s="1" t="s">
        <v>47</v>
      </c>
      <c r="E1451" s="1">
        <v>2016</v>
      </c>
      <c r="F1451" s="1" t="s">
        <v>83</v>
      </c>
      <c r="G1451" s="1" t="s">
        <v>4088</v>
      </c>
      <c r="H1451" s="1">
        <v>169</v>
      </c>
      <c r="I1451" s="1" t="s">
        <v>110</v>
      </c>
      <c r="J1451" s="1">
        <v>5.8</v>
      </c>
      <c r="K1451" s="1">
        <v>597.4</v>
      </c>
      <c r="L1451" s="1" t="s">
        <v>90</v>
      </c>
      <c r="M1451" s="1" t="s">
        <v>124</v>
      </c>
      <c r="N1451" s="1" t="s">
        <v>178</v>
      </c>
      <c r="O1451" s="1"/>
      <c r="P1451" s="1">
        <v>123</v>
      </c>
      <c r="Q1451" s="1">
        <v>277.7</v>
      </c>
      <c r="R1451" s="8" t="str">
        <f>_xlfn.IFS(J1451&gt;=8,"Hit",J1451&gt;=6,"Average",J1451&lt;6,"Flop")</f>
        <v>Flop</v>
      </c>
      <c r="S1451" s="9" t="str">
        <f>_xlfn.IFS(K1451&gt;=400,"Blockbuster",K1451&gt;=200,"Popular",K1451&lt;200,"Normal")</f>
        <v>Blockbuster</v>
      </c>
      <c r="T1451" s="10" t="str">
        <f>IF(OR(I1451="PG",I1451="G"),"Yes","No")</f>
        <v>No</v>
      </c>
      <c r="U1451" s="11" t="str">
        <f>IF(P1451&gt;=100,"High","Low")</f>
        <v>High</v>
      </c>
      <c r="V1451" s="28">
        <f t="shared" si="44"/>
        <v>154.69999999999999</v>
      </c>
      <c r="W1451" s="29">
        <f t="shared" si="45"/>
        <v>225.77235772357724</v>
      </c>
    </row>
    <row r="1452" spans="1:23" x14ac:dyDescent="0.3">
      <c r="A1452" s="1" t="s">
        <v>4089</v>
      </c>
      <c r="B1452" s="1" t="s">
        <v>4090</v>
      </c>
      <c r="C1452" s="1" t="s">
        <v>18</v>
      </c>
      <c r="D1452" s="1" t="s">
        <v>28</v>
      </c>
      <c r="E1452" s="1">
        <v>2014</v>
      </c>
      <c r="F1452" s="1" t="s">
        <v>100</v>
      </c>
      <c r="G1452" s="1" t="s">
        <v>4091</v>
      </c>
      <c r="H1452" s="1">
        <v>127</v>
      </c>
      <c r="I1452" s="1" t="s">
        <v>110</v>
      </c>
      <c r="J1452" s="1">
        <v>6.2</v>
      </c>
      <c r="K1452" s="1">
        <v>323.7</v>
      </c>
      <c r="L1452" s="1" t="s">
        <v>71</v>
      </c>
      <c r="M1452" s="1" t="s">
        <v>33</v>
      </c>
      <c r="N1452" s="1" t="s">
        <v>128</v>
      </c>
      <c r="O1452" s="1"/>
      <c r="P1452" s="1">
        <v>75</v>
      </c>
      <c r="Q1452" s="1">
        <v>334.1</v>
      </c>
      <c r="R1452" s="8" t="str">
        <f>_xlfn.IFS(J1452&gt;=8,"Hit",J1452&gt;=6,"Average",J1452&lt;6,"Flop")</f>
        <v>Average</v>
      </c>
      <c r="S1452" s="9" t="str">
        <f>_xlfn.IFS(K1452&gt;=400,"Blockbuster",K1452&gt;=200,"Popular",K1452&lt;200,"Normal")</f>
        <v>Popular</v>
      </c>
      <c r="T1452" s="10" t="str">
        <f>IF(OR(I1452="PG",I1452="G"),"Yes","No")</f>
        <v>No</v>
      </c>
      <c r="U1452" s="11" t="str">
        <f>IF(P1452&gt;=100,"High","Low")</f>
        <v>Low</v>
      </c>
      <c r="V1452" s="28">
        <f t="shared" si="44"/>
        <v>259.10000000000002</v>
      </c>
      <c r="W1452" s="29">
        <f t="shared" si="45"/>
        <v>445.4666666666667</v>
      </c>
    </row>
    <row r="1453" spans="1:23" x14ac:dyDescent="0.3">
      <c r="A1453" s="1" t="s">
        <v>4092</v>
      </c>
      <c r="B1453" s="1" t="s">
        <v>4093</v>
      </c>
      <c r="C1453" s="1" t="s">
        <v>18</v>
      </c>
      <c r="D1453" s="1" t="s">
        <v>82</v>
      </c>
      <c r="E1453" s="1">
        <v>2018</v>
      </c>
      <c r="F1453" s="1" t="s">
        <v>95</v>
      </c>
      <c r="G1453" s="1" t="s">
        <v>4094</v>
      </c>
      <c r="H1453" s="1">
        <v>108</v>
      </c>
      <c r="I1453" s="1" t="s">
        <v>31</v>
      </c>
      <c r="J1453" s="1">
        <v>9.1999999999999993</v>
      </c>
      <c r="K1453" s="1">
        <v>497.4</v>
      </c>
      <c r="L1453" s="1" t="s">
        <v>71</v>
      </c>
      <c r="M1453" s="1" t="s">
        <v>72</v>
      </c>
      <c r="N1453" s="1" t="s">
        <v>25</v>
      </c>
      <c r="O1453" s="1"/>
      <c r="P1453" s="1">
        <v>199</v>
      </c>
      <c r="Q1453" s="1">
        <v>413.1</v>
      </c>
      <c r="R1453" s="8" t="str">
        <f>_xlfn.IFS(J1453&gt;=8,"Hit",J1453&gt;=6,"Average",J1453&lt;6,"Flop")</f>
        <v>Hit</v>
      </c>
      <c r="S1453" s="9" t="str">
        <f>_xlfn.IFS(K1453&gt;=400,"Blockbuster",K1453&gt;=200,"Popular",K1453&lt;200,"Normal")</f>
        <v>Blockbuster</v>
      </c>
      <c r="T1453" s="10" t="str">
        <f>IF(OR(I1453="PG",I1453="G"),"Yes","No")</f>
        <v>No</v>
      </c>
      <c r="U1453" s="11" t="str">
        <f>IF(P1453&gt;=100,"High","Low")</f>
        <v>High</v>
      </c>
      <c r="V1453" s="28">
        <f t="shared" si="44"/>
        <v>214.10000000000002</v>
      </c>
      <c r="W1453" s="29">
        <f t="shared" si="45"/>
        <v>207.58793969849245</v>
      </c>
    </row>
    <row r="1454" spans="1:23" x14ac:dyDescent="0.3">
      <c r="A1454" s="1" t="s">
        <v>4095</v>
      </c>
      <c r="B1454" s="1" t="s">
        <v>4096</v>
      </c>
      <c r="C1454" s="1" t="s">
        <v>46</v>
      </c>
      <c r="D1454" s="1" t="s">
        <v>63</v>
      </c>
      <c r="E1454" s="1">
        <v>2003</v>
      </c>
      <c r="F1454" s="1" t="s">
        <v>20</v>
      </c>
      <c r="G1454" s="1" t="s">
        <v>4097</v>
      </c>
      <c r="H1454" s="1">
        <v>46</v>
      </c>
      <c r="I1454" s="1" t="s">
        <v>31</v>
      </c>
      <c r="J1454" s="1">
        <v>7.7</v>
      </c>
      <c r="K1454" s="1">
        <v>435.1</v>
      </c>
      <c r="L1454" s="1" t="s">
        <v>23</v>
      </c>
      <c r="M1454" s="1" t="s">
        <v>78</v>
      </c>
      <c r="N1454" s="1" t="s">
        <v>153</v>
      </c>
      <c r="O1454" s="1">
        <v>1</v>
      </c>
      <c r="P1454" s="1">
        <v>43</v>
      </c>
      <c r="Q1454" s="1">
        <v>121.9</v>
      </c>
      <c r="R1454" s="8" t="str">
        <f>_xlfn.IFS(J1454&gt;=8,"Hit",J1454&gt;=6,"Average",J1454&lt;6,"Flop")</f>
        <v>Average</v>
      </c>
      <c r="S1454" s="9" t="str">
        <f>_xlfn.IFS(K1454&gt;=400,"Blockbuster",K1454&gt;=200,"Popular",K1454&lt;200,"Normal")</f>
        <v>Blockbuster</v>
      </c>
      <c r="T1454" s="10" t="str">
        <f>IF(OR(I1454="PG",I1454="G"),"Yes","No")</f>
        <v>No</v>
      </c>
      <c r="U1454" s="11" t="str">
        <f>IF(P1454&gt;=100,"High","Low")</f>
        <v>Low</v>
      </c>
      <c r="V1454" s="28">
        <f t="shared" si="44"/>
        <v>78.900000000000006</v>
      </c>
      <c r="W1454" s="29">
        <f t="shared" si="45"/>
        <v>283.48837209302332</v>
      </c>
    </row>
    <row r="1455" spans="1:23" x14ac:dyDescent="0.3">
      <c r="A1455" s="1" t="s">
        <v>4098</v>
      </c>
      <c r="B1455" s="1" t="s">
        <v>4099</v>
      </c>
      <c r="C1455" s="1" t="s">
        <v>18</v>
      </c>
      <c r="D1455" s="1" t="s">
        <v>75</v>
      </c>
      <c r="E1455" s="1">
        <v>2002</v>
      </c>
      <c r="F1455" s="1" t="s">
        <v>29</v>
      </c>
      <c r="G1455" s="1" t="s">
        <v>4100</v>
      </c>
      <c r="H1455" s="1">
        <v>98</v>
      </c>
      <c r="I1455" s="1" t="s">
        <v>40</v>
      </c>
      <c r="J1455" s="1">
        <v>6.3</v>
      </c>
      <c r="K1455" s="1">
        <v>179.1</v>
      </c>
      <c r="L1455" s="1" t="s">
        <v>32</v>
      </c>
      <c r="M1455" s="1" t="s">
        <v>54</v>
      </c>
      <c r="N1455" s="1" t="s">
        <v>86</v>
      </c>
      <c r="O1455" s="1"/>
      <c r="P1455" s="1">
        <v>144</v>
      </c>
      <c r="Q1455" s="1">
        <v>587.1</v>
      </c>
      <c r="R1455" s="8" t="str">
        <f>_xlfn.IFS(J1455&gt;=8,"Hit",J1455&gt;=6,"Average",J1455&lt;6,"Flop")</f>
        <v>Average</v>
      </c>
      <c r="S1455" s="9" t="str">
        <f>_xlfn.IFS(K1455&gt;=400,"Blockbuster",K1455&gt;=200,"Popular",K1455&lt;200,"Normal")</f>
        <v>Normal</v>
      </c>
      <c r="T1455" s="10" t="str">
        <f>IF(OR(I1455="PG",I1455="G"),"Yes","No")</f>
        <v>Yes</v>
      </c>
      <c r="U1455" s="11" t="str">
        <f>IF(P1455&gt;=100,"High","Low")</f>
        <v>High</v>
      </c>
      <c r="V1455" s="28">
        <f t="shared" si="44"/>
        <v>443.1</v>
      </c>
      <c r="W1455" s="29">
        <f t="shared" si="45"/>
        <v>407.70833333333331</v>
      </c>
    </row>
    <row r="1456" spans="1:23" x14ac:dyDescent="0.3">
      <c r="A1456" s="1" t="s">
        <v>4101</v>
      </c>
      <c r="B1456" s="1" t="s">
        <v>4102</v>
      </c>
      <c r="C1456" s="1" t="s">
        <v>46</v>
      </c>
      <c r="D1456" s="1" t="s">
        <v>63</v>
      </c>
      <c r="E1456" s="1">
        <v>2023</v>
      </c>
      <c r="F1456" s="1" t="s">
        <v>83</v>
      </c>
      <c r="G1456" s="1" t="s">
        <v>328</v>
      </c>
      <c r="H1456" s="1">
        <v>35</v>
      </c>
      <c r="I1456" s="1" t="s">
        <v>50</v>
      </c>
      <c r="J1456" s="1">
        <v>8.1</v>
      </c>
      <c r="K1456" s="1">
        <v>37.700000000000003</v>
      </c>
      <c r="L1456" s="1" t="s">
        <v>32</v>
      </c>
      <c r="M1456" s="1" t="s">
        <v>132</v>
      </c>
      <c r="N1456" s="1" t="s">
        <v>25</v>
      </c>
      <c r="O1456" s="1">
        <v>7</v>
      </c>
      <c r="P1456" s="1">
        <v>191</v>
      </c>
      <c r="Q1456" s="1">
        <v>426</v>
      </c>
      <c r="R1456" s="8" t="str">
        <f>_xlfn.IFS(J1456&gt;=8,"Hit",J1456&gt;=6,"Average",J1456&lt;6,"Flop")</f>
        <v>Hit</v>
      </c>
      <c r="S1456" s="9" t="str">
        <f>_xlfn.IFS(K1456&gt;=400,"Blockbuster",K1456&gt;=200,"Popular",K1456&lt;200,"Normal")</f>
        <v>Normal</v>
      </c>
      <c r="T1456" s="10" t="str">
        <f>IF(OR(I1456="PG",I1456="G"),"Yes","No")</f>
        <v>Yes</v>
      </c>
      <c r="U1456" s="11" t="str">
        <f>IF(P1456&gt;=100,"High","Low")</f>
        <v>High</v>
      </c>
      <c r="V1456" s="28">
        <f t="shared" si="44"/>
        <v>235</v>
      </c>
      <c r="W1456" s="29">
        <f t="shared" si="45"/>
        <v>223.03664921465969</v>
      </c>
    </row>
    <row r="1457" spans="1:23" x14ac:dyDescent="0.3">
      <c r="A1457" s="1" t="s">
        <v>4103</v>
      </c>
      <c r="B1457" s="1" t="s">
        <v>4104</v>
      </c>
      <c r="C1457" s="1" t="s">
        <v>46</v>
      </c>
      <c r="D1457" s="1" t="s">
        <v>141</v>
      </c>
      <c r="E1457" s="1">
        <v>2022</v>
      </c>
      <c r="F1457" s="1" t="s">
        <v>48</v>
      </c>
      <c r="G1457" s="1" t="s">
        <v>292</v>
      </c>
      <c r="H1457" s="1">
        <v>60</v>
      </c>
      <c r="I1457" s="1" t="s">
        <v>50</v>
      </c>
      <c r="J1457" s="1">
        <v>7.4</v>
      </c>
      <c r="K1457" s="1">
        <v>337.2</v>
      </c>
      <c r="L1457" s="1" t="s">
        <v>32</v>
      </c>
      <c r="M1457" s="1" t="s">
        <v>111</v>
      </c>
      <c r="N1457" s="1" t="s">
        <v>158</v>
      </c>
      <c r="O1457" s="1">
        <v>6</v>
      </c>
      <c r="P1457" s="1">
        <v>74</v>
      </c>
      <c r="Q1457" s="1">
        <v>410</v>
      </c>
      <c r="R1457" s="8" t="str">
        <f>_xlfn.IFS(J1457&gt;=8,"Hit",J1457&gt;=6,"Average",J1457&lt;6,"Flop")</f>
        <v>Average</v>
      </c>
      <c r="S1457" s="9" t="str">
        <f>_xlfn.IFS(K1457&gt;=400,"Blockbuster",K1457&gt;=200,"Popular",K1457&lt;200,"Normal")</f>
        <v>Popular</v>
      </c>
      <c r="T1457" s="10" t="str">
        <f>IF(OR(I1457="PG",I1457="G"),"Yes","No")</f>
        <v>Yes</v>
      </c>
      <c r="U1457" s="11" t="str">
        <f>IF(P1457&gt;=100,"High","Low")</f>
        <v>Low</v>
      </c>
      <c r="V1457" s="28">
        <f t="shared" si="44"/>
        <v>336</v>
      </c>
      <c r="W1457" s="29">
        <f t="shared" si="45"/>
        <v>554.05405405405406</v>
      </c>
    </row>
    <row r="1458" spans="1:23" x14ac:dyDescent="0.3">
      <c r="A1458" s="1" t="s">
        <v>4105</v>
      </c>
      <c r="B1458" s="1" t="s">
        <v>4106</v>
      </c>
      <c r="C1458" s="1" t="s">
        <v>46</v>
      </c>
      <c r="D1458" s="1" t="s">
        <v>75</v>
      </c>
      <c r="E1458" s="1">
        <v>2016</v>
      </c>
      <c r="F1458" s="1" t="s">
        <v>48</v>
      </c>
      <c r="G1458" s="1" t="s">
        <v>4107</v>
      </c>
      <c r="H1458" s="1">
        <v>58</v>
      </c>
      <c r="I1458" s="1" t="s">
        <v>22</v>
      </c>
      <c r="J1458" s="1">
        <v>8.3000000000000007</v>
      </c>
      <c r="K1458" s="1">
        <v>229</v>
      </c>
      <c r="L1458" s="1" t="s">
        <v>32</v>
      </c>
      <c r="M1458" s="1" t="s">
        <v>78</v>
      </c>
      <c r="N1458" s="1" t="s">
        <v>55</v>
      </c>
      <c r="O1458" s="1">
        <v>7</v>
      </c>
      <c r="P1458" s="1">
        <v>102</v>
      </c>
      <c r="Q1458" s="1">
        <v>147.5</v>
      </c>
      <c r="R1458" s="8" t="str">
        <f>_xlfn.IFS(J1458&gt;=8,"Hit",J1458&gt;=6,"Average",J1458&lt;6,"Flop")</f>
        <v>Hit</v>
      </c>
      <c r="S1458" s="9" t="str">
        <f>_xlfn.IFS(K1458&gt;=400,"Blockbuster",K1458&gt;=200,"Popular",K1458&lt;200,"Normal")</f>
        <v>Popular</v>
      </c>
      <c r="T1458" s="10" t="str">
        <f>IF(OR(I1458="PG",I1458="G"),"Yes","No")</f>
        <v>No</v>
      </c>
      <c r="U1458" s="11" t="str">
        <f>IF(P1458&gt;=100,"High","Low")</f>
        <v>High</v>
      </c>
      <c r="V1458" s="28">
        <f t="shared" si="44"/>
        <v>45.5</v>
      </c>
      <c r="W1458" s="29">
        <f t="shared" si="45"/>
        <v>144.60784313725489</v>
      </c>
    </row>
    <row r="1459" spans="1:23" x14ac:dyDescent="0.3">
      <c r="A1459" s="1" t="s">
        <v>4108</v>
      </c>
      <c r="B1459" s="1" t="s">
        <v>4109</v>
      </c>
      <c r="C1459" s="1" t="s">
        <v>46</v>
      </c>
      <c r="D1459" s="1" t="s">
        <v>37</v>
      </c>
      <c r="E1459" s="1">
        <v>2022</v>
      </c>
      <c r="F1459" s="1" t="s">
        <v>95</v>
      </c>
      <c r="G1459" s="1" t="s">
        <v>4110</v>
      </c>
      <c r="H1459" s="1">
        <v>60</v>
      </c>
      <c r="I1459" s="1" t="s">
        <v>40</v>
      </c>
      <c r="J1459" s="1">
        <v>7</v>
      </c>
      <c r="K1459" s="1">
        <v>372.3</v>
      </c>
      <c r="L1459" s="1" t="s">
        <v>90</v>
      </c>
      <c r="M1459" s="1" t="s">
        <v>106</v>
      </c>
      <c r="N1459" s="1" t="s">
        <v>67</v>
      </c>
      <c r="O1459" s="1">
        <v>1</v>
      </c>
      <c r="P1459" s="1">
        <v>26</v>
      </c>
      <c r="Q1459" s="1">
        <v>50.4</v>
      </c>
      <c r="R1459" s="8" t="str">
        <f>_xlfn.IFS(J1459&gt;=8,"Hit",J1459&gt;=6,"Average",J1459&lt;6,"Flop")</f>
        <v>Average</v>
      </c>
      <c r="S1459" s="9" t="str">
        <f>_xlfn.IFS(K1459&gt;=400,"Blockbuster",K1459&gt;=200,"Popular",K1459&lt;200,"Normal")</f>
        <v>Popular</v>
      </c>
      <c r="T1459" s="10" t="str">
        <f>IF(OR(I1459="PG",I1459="G"),"Yes","No")</f>
        <v>Yes</v>
      </c>
      <c r="U1459" s="11" t="str">
        <f>IF(P1459&gt;=100,"High","Low")</f>
        <v>Low</v>
      </c>
      <c r="V1459" s="28">
        <f t="shared" si="44"/>
        <v>24.4</v>
      </c>
      <c r="W1459" s="29">
        <f t="shared" si="45"/>
        <v>193.84615384615384</v>
      </c>
    </row>
    <row r="1460" spans="1:23" x14ac:dyDescent="0.3">
      <c r="A1460" s="1" t="s">
        <v>4111</v>
      </c>
      <c r="B1460" s="1" t="s">
        <v>4112</v>
      </c>
      <c r="C1460" s="1" t="s">
        <v>46</v>
      </c>
      <c r="D1460" s="1" t="s">
        <v>117</v>
      </c>
      <c r="E1460" s="1">
        <v>2023</v>
      </c>
      <c r="F1460" s="1" t="s">
        <v>100</v>
      </c>
      <c r="G1460" s="1" t="s">
        <v>988</v>
      </c>
      <c r="H1460" s="1">
        <v>53</v>
      </c>
      <c r="I1460" s="1" t="s">
        <v>110</v>
      </c>
      <c r="J1460" s="1">
        <v>6.6</v>
      </c>
      <c r="K1460" s="1">
        <v>459.5</v>
      </c>
      <c r="L1460" s="1" t="s">
        <v>32</v>
      </c>
      <c r="M1460" s="1" t="s">
        <v>157</v>
      </c>
      <c r="N1460" s="1" t="s">
        <v>119</v>
      </c>
      <c r="O1460" s="1">
        <v>7</v>
      </c>
      <c r="P1460" s="1">
        <v>68</v>
      </c>
      <c r="Q1460" s="1">
        <v>170.2</v>
      </c>
      <c r="R1460" s="8" t="str">
        <f>_xlfn.IFS(J1460&gt;=8,"Hit",J1460&gt;=6,"Average",J1460&lt;6,"Flop")</f>
        <v>Average</v>
      </c>
      <c r="S1460" s="9" t="str">
        <f>_xlfn.IFS(K1460&gt;=400,"Blockbuster",K1460&gt;=200,"Popular",K1460&lt;200,"Normal")</f>
        <v>Blockbuster</v>
      </c>
      <c r="T1460" s="10" t="str">
        <f>IF(OR(I1460="PG",I1460="G"),"Yes","No")</f>
        <v>No</v>
      </c>
      <c r="U1460" s="11" t="str">
        <f>IF(P1460&gt;=100,"High","Low")</f>
        <v>Low</v>
      </c>
      <c r="V1460" s="28">
        <f t="shared" si="44"/>
        <v>102.19999999999999</v>
      </c>
      <c r="W1460" s="29">
        <f t="shared" si="45"/>
        <v>250.29411764705881</v>
      </c>
    </row>
    <row r="1461" spans="1:23" x14ac:dyDescent="0.3">
      <c r="A1461" s="1" t="s">
        <v>4113</v>
      </c>
      <c r="B1461" s="1" t="s">
        <v>4114</v>
      </c>
      <c r="C1461" s="1" t="s">
        <v>46</v>
      </c>
      <c r="D1461" s="1" t="s">
        <v>58</v>
      </c>
      <c r="E1461" s="1">
        <v>2013</v>
      </c>
      <c r="F1461" s="1" t="s">
        <v>76</v>
      </c>
      <c r="G1461" s="1" t="s">
        <v>1603</v>
      </c>
      <c r="H1461" s="1">
        <v>41</v>
      </c>
      <c r="I1461" s="1" t="s">
        <v>40</v>
      </c>
      <c r="J1461" s="1">
        <v>4.8</v>
      </c>
      <c r="K1461" s="1">
        <v>532.4</v>
      </c>
      <c r="L1461" s="1" t="s">
        <v>71</v>
      </c>
      <c r="M1461" s="1" t="s">
        <v>42</v>
      </c>
      <c r="N1461" s="1" t="s">
        <v>55</v>
      </c>
      <c r="O1461" s="1">
        <v>8</v>
      </c>
      <c r="P1461" s="1">
        <v>156</v>
      </c>
      <c r="Q1461" s="1">
        <v>191</v>
      </c>
      <c r="R1461" s="8" t="str">
        <f>_xlfn.IFS(J1461&gt;=8,"Hit",J1461&gt;=6,"Average",J1461&lt;6,"Flop")</f>
        <v>Flop</v>
      </c>
      <c r="S1461" s="9" t="str">
        <f>_xlfn.IFS(K1461&gt;=400,"Blockbuster",K1461&gt;=200,"Popular",K1461&lt;200,"Normal")</f>
        <v>Blockbuster</v>
      </c>
      <c r="T1461" s="10" t="str">
        <f>IF(OR(I1461="PG",I1461="G"),"Yes","No")</f>
        <v>Yes</v>
      </c>
      <c r="U1461" s="11" t="str">
        <f>IF(P1461&gt;=100,"High","Low")</f>
        <v>High</v>
      </c>
      <c r="V1461" s="28">
        <f t="shared" si="44"/>
        <v>35</v>
      </c>
      <c r="W1461" s="29">
        <f t="shared" si="45"/>
        <v>122.43589743589745</v>
      </c>
    </row>
    <row r="1462" spans="1:23" x14ac:dyDescent="0.3">
      <c r="A1462" s="1" t="s">
        <v>4115</v>
      </c>
      <c r="B1462" s="1" t="s">
        <v>4116</v>
      </c>
      <c r="C1462" s="1" t="s">
        <v>18</v>
      </c>
      <c r="D1462" s="1" t="s">
        <v>82</v>
      </c>
      <c r="E1462" s="1">
        <v>2022</v>
      </c>
      <c r="F1462" s="1" t="s">
        <v>20</v>
      </c>
      <c r="G1462" s="1" t="s">
        <v>4117</v>
      </c>
      <c r="H1462" s="1">
        <v>101</v>
      </c>
      <c r="I1462" s="1" t="s">
        <v>50</v>
      </c>
      <c r="J1462" s="1">
        <v>8.6999999999999993</v>
      </c>
      <c r="K1462" s="1">
        <v>168.2</v>
      </c>
      <c r="L1462" s="1" t="s">
        <v>171</v>
      </c>
      <c r="M1462" s="1" t="s">
        <v>111</v>
      </c>
      <c r="N1462" s="1" t="s">
        <v>91</v>
      </c>
      <c r="O1462" s="1"/>
      <c r="P1462" s="1">
        <v>12</v>
      </c>
      <c r="Q1462" s="1">
        <v>42.9</v>
      </c>
      <c r="R1462" s="8" t="str">
        <f>_xlfn.IFS(J1462&gt;=8,"Hit",J1462&gt;=6,"Average",J1462&lt;6,"Flop")</f>
        <v>Hit</v>
      </c>
      <c r="S1462" s="9" t="str">
        <f>_xlfn.IFS(K1462&gt;=400,"Blockbuster",K1462&gt;=200,"Popular",K1462&lt;200,"Normal")</f>
        <v>Normal</v>
      </c>
      <c r="T1462" s="10" t="str">
        <f>IF(OR(I1462="PG",I1462="G"),"Yes","No")</f>
        <v>Yes</v>
      </c>
      <c r="U1462" s="11" t="str">
        <f>IF(P1462&gt;=100,"High","Low")</f>
        <v>Low</v>
      </c>
      <c r="V1462" s="28">
        <f t="shared" si="44"/>
        <v>30.9</v>
      </c>
      <c r="W1462" s="29">
        <f t="shared" si="45"/>
        <v>357.5</v>
      </c>
    </row>
    <row r="1463" spans="1:23" x14ac:dyDescent="0.3">
      <c r="A1463" s="1" t="s">
        <v>4118</v>
      </c>
      <c r="B1463" s="1" t="s">
        <v>4119</v>
      </c>
      <c r="C1463" s="1" t="s">
        <v>18</v>
      </c>
      <c r="D1463" s="1" t="s">
        <v>75</v>
      </c>
      <c r="E1463" s="1">
        <v>2004</v>
      </c>
      <c r="F1463" s="1" t="s">
        <v>38</v>
      </c>
      <c r="G1463" s="1" t="s">
        <v>4120</v>
      </c>
      <c r="H1463" s="1">
        <v>152</v>
      </c>
      <c r="I1463" s="1" t="s">
        <v>22</v>
      </c>
      <c r="J1463" s="1">
        <v>5.5</v>
      </c>
      <c r="K1463" s="1">
        <v>189</v>
      </c>
      <c r="L1463" s="1" t="s">
        <v>23</v>
      </c>
      <c r="M1463" s="1" t="s">
        <v>97</v>
      </c>
      <c r="N1463" s="1" t="s">
        <v>43</v>
      </c>
      <c r="O1463" s="1"/>
      <c r="P1463" s="1">
        <v>35</v>
      </c>
      <c r="Q1463" s="1">
        <v>125.3</v>
      </c>
      <c r="R1463" s="8" t="str">
        <f>_xlfn.IFS(J1463&gt;=8,"Hit",J1463&gt;=6,"Average",J1463&lt;6,"Flop")</f>
        <v>Flop</v>
      </c>
      <c r="S1463" s="9" t="str">
        <f>_xlfn.IFS(K1463&gt;=400,"Blockbuster",K1463&gt;=200,"Popular",K1463&lt;200,"Normal")</f>
        <v>Normal</v>
      </c>
      <c r="T1463" s="10" t="str">
        <f>IF(OR(I1463="PG",I1463="G"),"Yes","No")</f>
        <v>No</v>
      </c>
      <c r="U1463" s="11" t="str">
        <f>IF(P1463&gt;=100,"High","Low")</f>
        <v>Low</v>
      </c>
      <c r="V1463" s="28">
        <f t="shared" si="44"/>
        <v>90.3</v>
      </c>
      <c r="W1463" s="29">
        <f t="shared" si="45"/>
        <v>358</v>
      </c>
    </row>
    <row r="1464" spans="1:23" x14ac:dyDescent="0.3">
      <c r="A1464" s="1" t="s">
        <v>4121</v>
      </c>
      <c r="B1464" s="1" t="s">
        <v>4122</v>
      </c>
      <c r="C1464" s="1" t="s">
        <v>46</v>
      </c>
      <c r="D1464" s="1" t="s">
        <v>75</v>
      </c>
      <c r="E1464" s="1">
        <v>2021</v>
      </c>
      <c r="F1464" s="1" t="s">
        <v>83</v>
      </c>
      <c r="G1464" s="1" t="s">
        <v>4123</v>
      </c>
      <c r="H1464" s="1">
        <v>41</v>
      </c>
      <c r="I1464" s="1" t="s">
        <v>22</v>
      </c>
      <c r="J1464" s="1">
        <v>8.8000000000000007</v>
      </c>
      <c r="K1464" s="1">
        <v>96.8</v>
      </c>
      <c r="L1464" s="1" t="s">
        <v>32</v>
      </c>
      <c r="M1464" s="1" t="s">
        <v>85</v>
      </c>
      <c r="N1464" s="1" t="s">
        <v>86</v>
      </c>
      <c r="O1464" s="1">
        <v>6</v>
      </c>
      <c r="P1464" s="1">
        <v>106</v>
      </c>
      <c r="Q1464" s="1">
        <v>325.60000000000002</v>
      </c>
      <c r="R1464" s="8" t="str">
        <f>_xlfn.IFS(J1464&gt;=8,"Hit",J1464&gt;=6,"Average",J1464&lt;6,"Flop")</f>
        <v>Hit</v>
      </c>
      <c r="S1464" s="9" t="str">
        <f>_xlfn.IFS(K1464&gt;=400,"Blockbuster",K1464&gt;=200,"Popular",K1464&lt;200,"Normal")</f>
        <v>Normal</v>
      </c>
      <c r="T1464" s="10" t="str">
        <f>IF(OR(I1464="PG",I1464="G"),"Yes","No")</f>
        <v>No</v>
      </c>
      <c r="U1464" s="11" t="str">
        <f>IF(P1464&gt;=100,"High","Low")</f>
        <v>High</v>
      </c>
      <c r="V1464" s="28">
        <f t="shared" si="44"/>
        <v>219.60000000000002</v>
      </c>
      <c r="W1464" s="29">
        <f t="shared" si="45"/>
        <v>307.16981132075472</v>
      </c>
    </row>
    <row r="1465" spans="1:23" x14ac:dyDescent="0.3">
      <c r="A1465" s="1" t="s">
        <v>4124</v>
      </c>
      <c r="B1465" s="1" t="s">
        <v>4125</v>
      </c>
      <c r="C1465" s="1" t="s">
        <v>18</v>
      </c>
      <c r="D1465" s="1" t="s">
        <v>28</v>
      </c>
      <c r="E1465" s="1">
        <v>2023</v>
      </c>
      <c r="F1465" s="1" t="s">
        <v>29</v>
      </c>
      <c r="G1465" s="1" t="s">
        <v>4126</v>
      </c>
      <c r="H1465" s="1">
        <v>109</v>
      </c>
      <c r="I1465" s="1" t="s">
        <v>22</v>
      </c>
      <c r="J1465" s="1">
        <v>7.3</v>
      </c>
      <c r="K1465" s="1">
        <v>404.4</v>
      </c>
      <c r="L1465" s="1" t="s">
        <v>90</v>
      </c>
      <c r="M1465" s="1" t="s">
        <v>106</v>
      </c>
      <c r="N1465" s="1" t="s">
        <v>153</v>
      </c>
      <c r="O1465" s="1"/>
      <c r="P1465" s="1">
        <v>160</v>
      </c>
      <c r="Q1465" s="1">
        <v>831.3</v>
      </c>
      <c r="R1465" s="8" t="str">
        <f>_xlfn.IFS(J1465&gt;=8,"Hit",J1465&gt;=6,"Average",J1465&lt;6,"Flop")</f>
        <v>Average</v>
      </c>
      <c r="S1465" s="9" t="str">
        <f>_xlfn.IFS(K1465&gt;=400,"Blockbuster",K1465&gt;=200,"Popular",K1465&lt;200,"Normal")</f>
        <v>Blockbuster</v>
      </c>
      <c r="T1465" s="10" t="str">
        <f>IF(OR(I1465="PG",I1465="G"),"Yes","No")</f>
        <v>No</v>
      </c>
      <c r="U1465" s="11" t="str">
        <f>IF(P1465&gt;=100,"High","Low")</f>
        <v>High</v>
      </c>
      <c r="V1465" s="28">
        <f t="shared" si="44"/>
        <v>671.3</v>
      </c>
      <c r="W1465" s="29">
        <f t="shared" si="45"/>
        <v>519.5625</v>
      </c>
    </row>
    <row r="1466" spans="1:23" x14ac:dyDescent="0.3">
      <c r="A1466" s="1" t="s">
        <v>4127</v>
      </c>
      <c r="B1466" s="1" t="s">
        <v>4128</v>
      </c>
      <c r="C1466" s="1" t="s">
        <v>46</v>
      </c>
      <c r="D1466" s="1" t="s">
        <v>141</v>
      </c>
      <c r="E1466" s="1">
        <v>2003</v>
      </c>
      <c r="F1466" s="1" t="s">
        <v>122</v>
      </c>
      <c r="G1466" s="1" t="s">
        <v>823</v>
      </c>
      <c r="H1466" s="1">
        <v>45</v>
      </c>
      <c r="I1466" s="1" t="s">
        <v>22</v>
      </c>
      <c r="J1466" s="1">
        <v>6</v>
      </c>
      <c r="K1466" s="1">
        <v>418.9</v>
      </c>
      <c r="L1466" s="1" t="s">
        <v>71</v>
      </c>
      <c r="M1466" s="1" t="s">
        <v>146</v>
      </c>
      <c r="N1466" s="1" t="s">
        <v>67</v>
      </c>
      <c r="O1466" s="1">
        <v>1</v>
      </c>
      <c r="P1466" s="1">
        <v>36</v>
      </c>
      <c r="Q1466" s="1">
        <v>57.7</v>
      </c>
      <c r="R1466" s="8" t="str">
        <f>_xlfn.IFS(J1466&gt;=8,"Hit",J1466&gt;=6,"Average",J1466&lt;6,"Flop")</f>
        <v>Average</v>
      </c>
      <c r="S1466" s="9" t="str">
        <f>_xlfn.IFS(K1466&gt;=400,"Blockbuster",K1466&gt;=200,"Popular",K1466&lt;200,"Normal")</f>
        <v>Blockbuster</v>
      </c>
      <c r="T1466" s="10" t="str">
        <f>IF(OR(I1466="PG",I1466="G"),"Yes","No")</f>
        <v>No</v>
      </c>
      <c r="U1466" s="11" t="str">
        <f>IF(P1466&gt;=100,"High","Low")</f>
        <v>Low</v>
      </c>
      <c r="V1466" s="28">
        <f t="shared" si="44"/>
        <v>21.700000000000003</v>
      </c>
      <c r="W1466" s="29">
        <f t="shared" si="45"/>
        <v>160.27777777777777</v>
      </c>
    </row>
    <row r="1467" spans="1:23" x14ac:dyDescent="0.3">
      <c r="A1467" s="1" t="s">
        <v>4129</v>
      </c>
      <c r="B1467" s="1" t="s">
        <v>4130</v>
      </c>
      <c r="C1467" s="1" t="s">
        <v>18</v>
      </c>
      <c r="D1467" s="1" t="s">
        <v>94</v>
      </c>
      <c r="E1467" s="1">
        <v>2004</v>
      </c>
      <c r="F1467" s="1" t="s">
        <v>83</v>
      </c>
      <c r="G1467" s="1" t="s">
        <v>2084</v>
      </c>
      <c r="H1467" s="1">
        <v>120</v>
      </c>
      <c r="I1467" s="1" t="s">
        <v>22</v>
      </c>
      <c r="J1467" s="1">
        <v>8.4</v>
      </c>
      <c r="K1467" s="1">
        <v>238.9</v>
      </c>
      <c r="L1467" s="1" t="s">
        <v>90</v>
      </c>
      <c r="M1467" s="1" t="s">
        <v>85</v>
      </c>
      <c r="N1467" s="1" t="s">
        <v>55</v>
      </c>
      <c r="O1467" s="1"/>
      <c r="P1467" s="1">
        <v>88</v>
      </c>
      <c r="Q1467" s="1">
        <v>507.4</v>
      </c>
      <c r="R1467" s="8" t="str">
        <f>_xlfn.IFS(J1467&gt;=8,"Hit",J1467&gt;=6,"Average",J1467&lt;6,"Flop")</f>
        <v>Hit</v>
      </c>
      <c r="S1467" s="9" t="str">
        <f>_xlfn.IFS(K1467&gt;=400,"Blockbuster",K1467&gt;=200,"Popular",K1467&lt;200,"Normal")</f>
        <v>Popular</v>
      </c>
      <c r="T1467" s="10" t="str">
        <f>IF(OR(I1467="PG",I1467="G"),"Yes","No")</f>
        <v>No</v>
      </c>
      <c r="U1467" s="11" t="str">
        <f>IF(P1467&gt;=100,"High","Low")</f>
        <v>Low</v>
      </c>
      <c r="V1467" s="28">
        <f t="shared" si="44"/>
        <v>419.4</v>
      </c>
      <c r="W1467" s="29">
        <f t="shared" si="45"/>
        <v>576.59090909090901</v>
      </c>
    </row>
    <row r="1468" spans="1:23" x14ac:dyDescent="0.3">
      <c r="A1468" s="1" t="s">
        <v>4131</v>
      </c>
      <c r="B1468" s="1" t="s">
        <v>4132</v>
      </c>
      <c r="C1468" s="1" t="s">
        <v>46</v>
      </c>
      <c r="D1468" s="1" t="s">
        <v>82</v>
      </c>
      <c r="E1468" s="1">
        <v>2022</v>
      </c>
      <c r="F1468" s="1" t="s">
        <v>38</v>
      </c>
      <c r="G1468" s="1" t="s">
        <v>3841</v>
      </c>
      <c r="H1468" s="1">
        <v>51</v>
      </c>
      <c r="I1468" s="1" t="s">
        <v>50</v>
      </c>
      <c r="J1468" s="1">
        <v>8.8000000000000007</v>
      </c>
      <c r="K1468" s="1">
        <v>446.9</v>
      </c>
      <c r="L1468" s="1" t="s">
        <v>23</v>
      </c>
      <c r="M1468" s="1" t="s">
        <v>97</v>
      </c>
      <c r="N1468" s="1" t="s">
        <v>67</v>
      </c>
      <c r="O1468" s="1">
        <v>7</v>
      </c>
      <c r="P1468" s="1">
        <v>97</v>
      </c>
      <c r="Q1468" s="1">
        <v>485.6</v>
      </c>
      <c r="R1468" s="8" t="str">
        <f>_xlfn.IFS(J1468&gt;=8,"Hit",J1468&gt;=6,"Average",J1468&lt;6,"Flop")</f>
        <v>Hit</v>
      </c>
      <c r="S1468" s="9" t="str">
        <f>_xlfn.IFS(K1468&gt;=400,"Blockbuster",K1468&gt;=200,"Popular",K1468&lt;200,"Normal")</f>
        <v>Blockbuster</v>
      </c>
      <c r="T1468" s="10" t="str">
        <f>IF(OR(I1468="PG",I1468="G"),"Yes","No")</f>
        <v>Yes</v>
      </c>
      <c r="U1468" s="11" t="str">
        <f>IF(P1468&gt;=100,"High","Low")</f>
        <v>Low</v>
      </c>
      <c r="V1468" s="28">
        <f t="shared" si="44"/>
        <v>388.6</v>
      </c>
      <c r="W1468" s="29">
        <f t="shared" si="45"/>
        <v>500.61855670103091</v>
      </c>
    </row>
    <row r="1469" spans="1:23" x14ac:dyDescent="0.3">
      <c r="A1469" s="1" t="s">
        <v>4133</v>
      </c>
      <c r="B1469" s="1" t="s">
        <v>4134</v>
      </c>
      <c r="C1469" s="1" t="s">
        <v>46</v>
      </c>
      <c r="D1469" s="1" t="s">
        <v>47</v>
      </c>
      <c r="E1469" s="1">
        <v>2005</v>
      </c>
      <c r="F1469" s="1" t="s">
        <v>181</v>
      </c>
      <c r="G1469" s="1" t="s">
        <v>4135</v>
      </c>
      <c r="H1469" s="1">
        <v>48</v>
      </c>
      <c r="I1469" s="1" t="s">
        <v>40</v>
      </c>
      <c r="J1469" s="1">
        <v>7.1</v>
      </c>
      <c r="K1469" s="1">
        <v>149</v>
      </c>
      <c r="L1469" s="1" t="s">
        <v>32</v>
      </c>
      <c r="M1469" s="1" t="s">
        <v>85</v>
      </c>
      <c r="N1469" s="1" t="s">
        <v>86</v>
      </c>
      <c r="O1469" s="1">
        <v>3</v>
      </c>
      <c r="P1469" s="1">
        <v>199</v>
      </c>
      <c r="Q1469" s="1">
        <v>931.1</v>
      </c>
      <c r="R1469" s="8" t="str">
        <f>_xlfn.IFS(J1469&gt;=8,"Hit",J1469&gt;=6,"Average",J1469&lt;6,"Flop")</f>
        <v>Average</v>
      </c>
      <c r="S1469" s="9" t="str">
        <f>_xlfn.IFS(K1469&gt;=400,"Blockbuster",K1469&gt;=200,"Popular",K1469&lt;200,"Normal")</f>
        <v>Normal</v>
      </c>
      <c r="T1469" s="10" t="str">
        <f>IF(OR(I1469="PG",I1469="G"),"Yes","No")</f>
        <v>Yes</v>
      </c>
      <c r="U1469" s="11" t="str">
        <f>IF(P1469&gt;=100,"High","Low")</f>
        <v>High</v>
      </c>
      <c r="V1469" s="28">
        <f t="shared" si="44"/>
        <v>732.1</v>
      </c>
      <c r="W1469" s="29">
        <f t="shared" si="45"/>
        <v>467.8894472361809</v>
      </c>
    </row>
    <row r="1470" spans="1:23" x14ac:dyDescent="0.3">
      <c r="A1470" s="1" t="s">
        <v>4136</v>
      </c>
      <c r="B1470" s="1" t="s">
        <v>4137</v>
      </c>
      <c r="C1470" s="1" t="s">
        <v>18</v>
      </c>
      <c r="D1470" s="1" t="s">
        <v>141</v>
      </c>
      <c r="E1470" s="1">
        <v>2024</v>
      </c>
      <c r="F1470" s="1" t="s">
        <v>38</v>
      </c>
      <c r="G1470" s="1" t="s">
        <v>4138</v>
      </c>
      <c r="H1470" s="1">
        <v>90</v>
      </c>
      <c r="I1470" s="1" t="s">
        <v>40</v>
      </c>
      <c r="J1470" s="1">
        <v>6.3</v>
      </c>
      <c r="K1470" s="1">
        <v>369.8</v>
      </c>
      <c r="L1470" s="1" t="s">
        <v>71</v>
      </c>
      <c r="M1470" s="1" t="s">
        <v>33</v>
      </c>
      <c r="N1470" s="1" t="s">
        <v>43</v>
      </c>
      <c r="O1470" s="1"/>
      <c r="P1470" s="1">
        <v>14</v>
      </c>
      <c r="Q1470" s="1">
        <v>45</v>
      </c>
      <c r="R1470" s="8" t="str">
        <f>_xlfn.IFS(J1470&gt;=8,"Hit",J1470&gt;=6,"Average",J1470&lt;6,"Flop")</f>
        <v>Average</v>
      </c>
      <c r="S1470" s="9" t="str">
        <f>_xlfn.IFS(K1470&gt;=400,"Blockbuster",K1470&gt;=200,"Popular",K1470&lt;200,"Normal")</f>
        <v>Popular</v>
      </c>
      <c r="T1470" s="10" t="str">
        <f>IF(OR(I1470="PG",I1470="G"),"Yes","No")</f>
        <v>Yes</v>
      </c>
      <c r="U1470" s="11" t="str">
        <f>IF(P1470&gt;=100,"High","Low")</f>
        <v>Low</v>
      </c>
      <c r="V1470" s="28">
        <f t="shared" si="44"/>
        <v>31</v>
      </c>
      <c r="W1470" s="29">
        <f t="shared" si="45"/>
        <v>321.42857142857144</v>
      </c>
    </row>
    <row r="1471" spans="1:23" x14ac:dyDescent="0.3">
      <c r="A1471" s="1" t="s">
        <v>4139</v>
      </c>
      <c r="B1471" s="1" t="s">
        <v>4140</v>
      </c>
      <c r="C1471" s="1" t="s">
        <v>18</v>
      </c>
      <c r="D1471" s="1" t="s">
        <v>58</v>
      </c>
      <c r="E1471" s="1">
        <v>2018</v>
      </c>
      <c r="F1471" s="1" t="s">
        <v>29</v>
      </c>
      <c r="G1471" s="1" t="s">
        <v>1244</v>
      </c>
      <c r="H1471" s="1">
        <v>96</v>
      </c>
      <c r="I1471" s="1" t="s">
        <v>110</v>
      </c>
      <c r="J1471" s="1">
        <v>8.4</v>
      </c>
      <c r="K1471" s="1">
        <v>72.2</v>
      </c>
      <c r="L1471" s="1" t="s">
        <v>32</v>
      </c>
      <c r="M1471" s="1" t="s">
        <v>72</v>
      </c>
      <c r="N1471" s="1" t="s">
        <v>91</v>
      </c>
      <c r="O1471" s="1"/>
      <c r="P1471" s="1">
        <v>197</v>
      </c>
      <c r="Q1471" s="1">
        <v>1187.4000000000001</v>
      </c>
      <c r="R1471" s="8" t="str">
        <f>_xlfn.IFS(J1471&gt;=8,"Hit",J1471&gt;=6,"Average",J1471&lt;6,"Flop")</f>
        <v>Hit</v>
      </c>
      <c r="S1471" s="9" t="str">
        <f>_xlfn.IFS(K1471&gt;=400,"Blockbuster",K1471&gt;=200,"Popular",K1471&lt;200,"Normal")</f>
        <v>Normal</v>
      </c>
      <c r="T1471" s="10" t="str">
        <f>IF(OR(I1471="PG",I1471="G"),"Yes","No")</f>
        <v>No</v>
      </c>
      <c r="U1471" s="11" t="str">
        <f>IF(P1471&gt;=100,"High","Low")</f>
        <v>High</v>
      </c>
      <c r="V1471" s="28">
        <f t="shared" si="44"/>
        <v>990.40000000000009</v>
      </c>
      <c r="W1471" s="29">
        <f t="shared" si="45"/>
        <v>602.74111675126903</v>
      </c>
    </row>
    <row r="1472" spans="1:23" x14ac:dyDescent="0.3">
      <c r="A1472" s="1" t="s">
        <v>4141</v>
      </c>
      <c r="B1472" s="1" t="s">
        <v>4142</v>
      </c>
      <c r="C1472" s="1" t="s">
        <v>46</v>
      </c>
      <c r="D1472" s="1" t="s">
        <v>58</v>
      </c>
      <c r="E1472" s="1">
        <v>2005</v>
      </c>
      <c r="F1472" s="1" t="s">
        <v>83</v>
      </c>
      <c r="G1472" s="1" t="s">
        <v>245</v>
      </c>
      <c r="H1472" s="1">
        <v>48</v>
      </c>
      <c r="I1472" s="1" t="s">
        <v>22</v>
      </c>
      <c r="J1472" s="1">
        <v>6</v>
      </c>
      <c r="K1472" s="1">
        <v>301.39999999999998</v>
      </c>
      <c r="L1472" s="1" t="s">
        <v>41</v>
      </c>
      <c r="M1472" s="1" t="s">
        <v>66</v>
      </c>
      <c r="N1472" s="1" t="s">
        <v>158</v>
      </c>
      <c r="O1472" s="1">
        <v>3</v>
      </c>
      <c r="P1472" s="1">
        <v>147</v>
      </c>
      <c r="Q1472" s="1">
        <v>570.5</v>
      </c>
      <c r="R1472" s="8" t="str">
        <f>_xlfn.IFS(J1472&gt;=8,"Hit",J1472&gt;=6,"Average",J1472&lt;6,"Flop")</f>
        <v>Average</v>
      </c>
      <c r="S1472" s="9" t="str">
        <f>_xlfn.IFS(K1472&gt;=400,"Blockbuster",K1472&gt;=200,"Popular",K1472&lt;200,"Normal")</f>
        <v>Popular</v>
      </c>
      <c r="T1472" s="10" t="str">
        <f>IF(OR(I1472="PG",I1472="G"),"Yes","No")</f>
        <v>No</v>
      </c>
      <c r="U1472" s="11" t="str">
        <f>IF(P1472&gt;=100,"High","Low")</f>
        <v>High</v>
      </c>
      <c r="V1472" s="28">
        <f t="shared" si="44"/>
        <v>423.5</v>
      </c>
      <c r="W1472" s="29">
        <f t="shared" si="45"/>
        <v>388.09523809523807</v>
      </c>
    </row>
    <row r="1473" spans="1:23" x14ac:dyDescent="0.3">
      <c r="A1473" s="1" t="s">
        <v>4143</v>
      </c>
      <c r="B1473" s="1" t="s">
        <v>4144</v>
      </c>
      <c r="C1473" s="1" t="s">
        <v>18</v>
      </c>
      <c r="D1473" s="1" t="s">
        <v>19</v>
      </c>
      <c r="E1473" s="1">
        <v>2006</v>
      </c>
      <c r="F1473" s="1" t="s">
        <v>95</v>
      </c>
      <c r="G1473" s="1" t="s">
        <v>4145</v>
      </c>
      <c r="H1473" s="1">
        <v>162</v>
      </c>
      <c r="I1473" s="1" t="s">
        <v>40</v>
      </c>
      <c r="J1473" s="1">
        <v>8.1999999999999993</v>
      </c>
      <c r="K1473" s="1">
        <v>353.4</v>
      </c>
      <c r="L1473" s="1" t="s">
        <v>171</v>
      </c>
      <c r="M1473" s="1" t="s">
        <v>78</v>
      </c>
      <c r="N1473" s="1" t="s">
        <v>91</v>
      </c>
      <c r="O1473" s="1"/>
      <c r="P1473" s="1">
        <v>196</v>
      </c>
      <c r="Q1473" s="1">
        <v>966</v>
      </c>
      <c r="R1473" s="8" t="str">
        <f>_xlfn.IFS(J1473&gt;=8,"Hit",J1473&gt;=6,"Average",J1473&lt;6,"Flop")</f>
        <v>Hit</v>
      </c>
      <c r="S1473" s="9" t="str">
        <f>_xlfn.IFS(K1473&gt;=400,"Blockbuster",K1473&gt;=200,"Popular",K1473&lt;200,"Normal")</f>
        <v>Popular</v>
      </c>
      <c r="T1473" s="10" t="str">
        <f>IF(OR(I1473="PG",I1473="G"),"Yes","No")</f>
        <v>Yes</v>
      </c>
      <c r="U1473" s="11" t="str">
        <f>IF(P1473&gt;=100,"High","Low")</f>
        <v>High</v>
      </c>
      <c r="V1473" s="28">
        <f t="shared" si="44"/>
        <v>770</v>
      </c>
      <c r="W1473" s="29">
        <f t="shared" si="45"/>
        <v>492.85714285714289</v>
      </c>
    </row>
    <row r="1474" spans="1:23" x14ac:dyDescent="0.3">
      <c r="A1474" s="1" t="s">
        <v>4146</v>
      </c>
      <c r="B1474" s="1" t="s">
        <v>4147</v>
      </c>
      <c r="C1474" s="1" t="s">
        <v>18</v>
      </c>
      <c r="D1474" s="1" t="s">
        <v>63</v>
      </c>
      <c r="E1474" s="1">
        <v>2015</v>
      </c>
      <c r="F1474" s="1" t="s">
        <v>83</v>
      </c>
      <c r="G1474" s="1" t="s">
        <v>4148</v>
      </c>
      <c r="H1474" s="1">
        <v>89</v>
      </c>
      <c r="I1474" s="1" t="s">
        <v>50</v>
      </c>
      <c r="J1474" s="1">
        <v>4.7</v>
      </c>
      <c r="K1474" s="1">
        <v>361.1</v>
      </c>
      <c r="L1474" s="1" t="s">
        <v>171</v>
      </c>
      <c r="M1474" s="1" t="s">
        <v>157</v>
      </c>
      <c r="N1474" s="1" t="s">
        <v>34</v>
      </c>
      <c r="O1474" s="1"/>
      <c r="P1474" s="1">
        <v>194</v>
      </c>
      <c r="Q1474" s="1">
        <v>330.1</v>
      </c>
      <c r="R1474" s="8" t="str">
        <f>_xlfn.IFS(J1474&gt;=8,"Hit",J1474&gt;=6,"Average",J1474&lt;6,"Flop")</f>
        <v>Flop</v>
      </c>
      <c r="S1474" s="9" t="str">
        <f>_xlfn.IFS(K1474&gt;=400,"Blockbuster",K1474&gt;=200,"Popular",K1474&lt;200,"Normal")</f>
        <v>Popular</v>
      </c>
      <c r="T1474" s="10" t="str">
        <f>IF(OR(I1474="PG",I1474="G"),"Yes","No")</f>
        <v>Yes</v>
      </c>
      <c r="U1474" s="11" t="str">
        <f>IF(P1474&gt;=100,"High","Low")</f>
        <v>High</v>
      </c>
      <c r="V1474" s="28">
        <f t="shared" si="44"/>
        <v>136.10000000000002</v>
      </c>
      <c r="W1474" s="29">
        <f t="shared" si="45"/>
        <v>170.15463917525776</v>
      </c>
    </row>
    <row r="1475" spans="1:23" x14ac:dyDescent="0.3">
      <c r="A1475" s="1" t="s">
        <v>4149</v>
      </c>
      <c r="B1475" s="1" t="s">
        <v>4150</v>
      </c>
      <c r="C1475" s="1" t="s">
        <v>18</v>
      </c>
      <c r="D1475" s="1" t="s">
        <v>37</v>
      </c>
      <c r="E1475" s="1">
        <v>2017</v>
      </c>
      <c r="F1475" s="1" t="s">
        <v>48</v>
      </c>
      <c r="G1475" s="1" t="s">
        <v>142</v>
      </c>
      <c r="H1475" s="1">
        <v>130</v>
      </c>
      <c r="I1475" s="1" t="s">
        <v>22</v>
      </c>
      <c r="J1475" s="1">
        <v>6.3</v>
      </c>
      <c r="K1475" s="1">
        <v>8.6</v>
      </c>
      <c r="L1475" s="1" t="s">
        <v>90</v>
      </c>
      <c r="M1475" s="1" t="s">
        <v>72</v>
      </c>
      <c r="N1475" s="1" t="s">
        <v>178</v>
      </c>
      <c r="O1475" s="1"/>
      <c r="P1475" s="1">
        <v>123</v>
      </c>
      <c r="Q1475" s="1">
        <v>425.2</v>
      </c>
      <c r="R1475" s="8" t="str">
        <f>_xlfn.IFS(J1475&gt;=8,"Hit",J1475&gt;=6,"Average",J1475&lt;6,"Flop")</f>
        <v>Average</v>
      </c>
      <c r="S1475" s="9" t="str">
        <f>_xlfn.IFS(K1475&gt;=400,"Blockbuster",K1475&gt;=200,"Popular",K1475&lt;200,"Normal")</f>
        <v>Normal</v>
      </c>
      <c r="T1475" s="10" t="str">
        <f>IF(OR(I1475="PG",I1475="G"),"Yes","No")</f>
        <v>No</v>
      </c>
      <c r="U1475" s="11" t="str">
        <f>IF(P1475&gt;=100,"High","Low")</f>
        <v>High</v>
      </c>
      <c r="V1475" s="28">
        <f t="shared" ref="V1475:V1501" si="46">Q1475-P1475</f>
        <v>302.2</v>
      </c>
      <c r="W1475" s="29">
        <f t="shared" ref="W1475:W1501" si="47">(Q1475/P1475)*100</f>
        <v>345.6910569105691</v>
      </c>
    </row>
    <row r="1476" spans="1:23" x14ac:dyDescent="0.3">
      <c r="A1476" s="1" t="s">
        <v>4151</v>
      </c>
      <c r="B1476" s="1" t="s">
        <v>4152</v>
      </c>
      <c r="C1476" s="1" t="s">
        <v>18</v>
      </c>
      <c r="D1476" s="1" t="s">
        <v>82</v>
      </c>
      <c r="E1476" s="1">
        <v>2017</v>
      </c>
      <c r="F1476" s="1" t="s">
        <v>122</v>
      </c>
      <c r="G1476" s="1" t="s">
        <v>4153</v>
      </c>
      <c r="H1476" s="1">
        <v>158</v>
      </c>
      <c r="I1476" s="1" t="s">
        <v>22</v>
      </c>
      <c r="J1476" s="1">
        <v>5.7</v>
      </c>
      <c r="K1476" s="1">
        <v>468.5</v>
      </c>
      <c r="L1476" s="1" t="s">
        <v>90</v>
      </c>
      <c r="M1476" s="1" t="s">
        <v>72</v>
      </c>
      <c r="N1476" s="1" t="s">
        <v>158</v>
      </c>
      <c r="O1476" s="1"/>
      <c r="P1476" s="1">
        <v>55</v>
      </c>
      <c r="Q1476" s="1">
        <v>99.1</v>
      </c>
      <c r="R1476" s="8" t="str">
        <f>_xlfn.IFS(J1476&gt;=8,"Hit",J1476&gt;=6,"Average",J1476&lt;6,"Flop")</f>
        <v>Flop</v>
      </c>
      <c r="S1476" s="9" t="str">
        <f>_xlfn.IFS(K1476&gt;=400,"Blockbuster",K1476&gt;=200,"Popular",K1476&lt;200,"Normal")</f>
        <v>Blockbuster</v>
      </c>
      <c r="T1476" s="10" t="str">
        <f>IF(OR(I1476="PG",I1476="G"),"Yes","No")</f>
        <v>No</v>
      </c>
      <c r="U1476" s="11" t="str">
        <f>IF(P1476&gt;=100,"High","Low")</f>
        <v>Low</v>
      </c>
      <c r="V1476" s="28">
        <f t="shared" si="46"/>
        <v>44.099999999999994</v>
      </c>
      <c r="W1476" s="29">
        <f t="shared" si="47"/>
        <v>180.18181818181819</v>
      </c>
    </row>
    <row r="1477" spans="1:23" x14ac:dyDescent="0.3">
      <c r="A1477" s="1" t="s">
        <v>4154</v>
      </c>
      <c r="B1477" s="1" t="s">
        <v>4155</v>
      </c>
      <c r="C1477" s="1" t="s">
        <v>18</v>
      </c>
      <c r="D1477" s="1" t="s">
        <v>117</v>
      </c>
      <c r="E1477" s="1">
        <v>2013</v>
      </c>
      <c r="F1477" s="1" t="s">
        <v>181</v>
      </c>
      <c r="G1477" s="1" t="s">
        <v>4156</v>
      </c>
      <c r="H1477" s="1">
        <v>168</v>
      </c>
      <c r="I1477" s="1" t="s">
        <v>40</v>
      </c>
      <c r="J1477" s="1">
        <v>7.1</v>
      </c>
      <c r="K1477" s="1">
        <v>102.7</v>
      </c>
      <c r="L1477" s="1" t="s">
        <v>171</v>
      </c>
      <c r="M1477" s="1" t="s">
        <v>24</v>
      </c>
      <c r="N1477" s="1" t="s">
        <v>67</v>
      </c>
      <c r="O1477" s="1"/>
      <c r="P1477" s="1">
        <v>87</v>
      </c>
      <c r="Q1477" s="1">
        <v>358.5</v>
      </c>
      <c r="R1477" s="8" t="str">
        <f>_xlfn.IFS(J1477&gt;=8,"Hit",J1477&gt;=6,"Average",J1477&lt;6,"Flop")</f>
        <v>Average</v>
      </c>
      <c r="S1477" s="9" t="str">
        <f>_xlfn.IFS(K1477&gt;=400,"Blockbuster",K1477&gt;=200,"Popular",K1477&lt;200,"Normal")</f>
        <v>Normal</v>
      </c>
      <c r="T1477" s="10" t="str">
        <f>IF(OR(I1477="PG",I1477="G"),"Yes","No")</f>
        <v>Yes</v>
      </c>
      <c r="U1477" s="11" t="str">
        <f>IF(P1477&gt;=100,"High","Low")</f>
        <v>Low</v>
      </c>
      <c r="V1477" s="28">
        <f t="shared" si="46"/>
        <v>271.5</v>
      </c>
      <c r="W1477" s="29">
        <f t="shared" si="47"/>
        <v>412.06896551724139</v>
      </c>
    </row>
    <row r="1478" spans="1:23" x14ac:dyDescent="0.3">
      <c r="A1478" s="1" t="s">
        <v>4157</v>
      </c>
      <c r="B1478" s="1" t="s">
        <v>4158</v>
      </c>
      <c r="C1478" s="1" t="s">
        <v>18</v>
      </c>
      <c r="D1478" s="1" t="s">
        <v>117</v>
      </c>
      <c r="E1478" s="1">
        <v>2017</v>
      </c>
      <c r="F1478" s="1" t="s">
        <v>100</v>
      </c>
      <c r="G1478" s="1" t="s">
        <v>4159</v>
      </c>
      <c r="H1478" s="1">
        <v>145</v>
      </c>
      <c r="I1478" s="1" t="s">
        <v>31</v>
      </c>
      <c r="J1478" s="1">
        <v>9.1</v>
      </c>
      <c r="K1478" s="1">
        <v>566.6</v>
      </c>
      <c r="L1478" s="1" t="s">
        <v>32</v>
      </c>
      <c r="M1478" s="1" t="s">
        <v>54</v>
      </c>
      <c r="N1478" s="1" t="s">
        <v>55</v>
      </c>
      <c r="O1478" s="1"/>
      <c r="P1478" s="1">
        <v>76</v>
      </c>
      <c r="Q1478" s="1">
        <v>186.5</v>
      </c>
      <c r="R1478" s="8" t="str">
        <f>_xlfn.IFS(J1478&gt;=8,"Hit",J1478&gt;=6,"Average",J1478&lt;6,"Flop")</f>
        <v>Hit</v>
      </c>
      <c r="S1478" s="9" t="str">
        <f>_xlfn.IFS(K1478&gt;=400,"Blockbuster",K1478&gt;=200,"Popular",K1478&lt;200,"Normal")</f>
        <v>Blockbuster</v>
      </c>
      <c r="T1478" s="10" t="str">
        <f>IF(OR(I1478="PG",I1478="G"),"Yes","No")</f>
        <v>No</v>
      </c>
      <c r="U1478" s="11" t="str">
        <f>IF(P1478&gt;=100,"High","Low")</f>
        <v>Low</v>
      </c>
      <c r="V1478" s="28">
        <f t="shared" si="46"/>
        <v>110.5</v>
      </c>
      <c r="W1478" s="29">
        <f t="shared" si="47"/>
        <v>245.39473684210526</v>
      </c>
    </row>
    <row r="1479" spans="1:23" x14ac:dyDescent="0.3">
      <c r="A1479" s="1" t="s">
        <v>4160</v>
      </c>
      <c r="B1479" s="1" t="s">
        <v>4161</v>
      </c>
      <c r="C1479" s="1" t="s">
        <v>18</v>
      </c>
      <c r="D1479" s="1" t="s">
        <v>58</v>
      </c>
      <c r="E1479" s="1">
        <v>2005</v>
      </c>
      <c r="F1479" s="1" t="s">
        <v>83</v>
      </c>
      <c r="G1479" s="1" t="s">
        <v>3358</v>
      </c>
      <c r="H1479" s="1">
        <v>90</v>
      </c>
      <c r="I1479" s="1" t="s">
        <v>31</v>
      </c>
      <c r="J1479" s="1">
        <v>5.7</v>
      </c>
      <c r="K1479" s="1">
        <v>76.8</v>
      </c>
      <c r="L1479" s="1" t="s">
        <v>71</v>
      </c>
      <c r="M1479" s="1" t="s">
        <v>111</v>
      </c>
      <c r="N1479" s="1" t="s">
        <v>43</v>
      </c>
      <c r="O1479" s="1"/>
      <c r="P1479" s="1">
        <v>194</v>
      </c>
      <c r="Q1479" s="1">
        <v>756.7</v>
      </c>
      <c r="R1479" s="8" t="str">
        <f>_xlfn.IFS(J1479&gt;=8,"Hit",J1479&gt;=6,"Average",J1479&lt;6,"Flop")</f>
        <v>Flop</v>
      </c>
      <c r="S1479" s="9" t="str">
        <f>_xlfn.IFS(K1479&gt;=400,"Blockbuster",K1479&gt;=200,"Popular",K1479&lt;200,"Normal")</f>
        <v>Normal</v>
      </c>
      <c r="T1479" s="10" t="str">
        <f>IF(OR(I1479="PG",I1479="G"),"Yes","No")</f>
        <v>No</v>
      </c>
      <c r="U1479" s="11" t="str">
        <f>IF(P1479&gt;=100,"High","Low")</f>
        <v>High</v>
      </c>
      <c r="V1479" s="28">
        <f t="shared" si="46"/>
        <v>562.70000000000005</v>
      </c>
      <c r="W1479" s="29">
        <f t="shared" si="47"/>
        <v>390.05154639175259</v>
      </c>
    </row>
    <row r="1480" spans="1:23" x14ac:dyDescent="0.3">
      <c r="A1480" s="1" t="s">
        <v>4162</v>
      </c>
      <c r="B1480" s="1" t="s">
        <v>4163</v>
      </c>
      <c r="C1480" s="1" t="s">
        <v>18</v>
      </c>
      <c r="D1480" s="1" t="s">
        <v>58</v>
      </c>
      <c r="E1480" s="1">
        <v>2023</v>
      </c>
      <c r="F1480" s="1" t="s">
        <v>83</v>
      </c>
      <c r="G1480" s="1" t="s">
        <v>4164</v>
      </c>
      <c r="H1480" s="1">
        <v>176</v>
      </c>
      <c r="I1480" s="1" t="s">
        <v>31</v>
      </c>
      <c r="J1480" s="1">
        <v>7.4</v>
      </c>
      <c r="K1480" s="1">
        <v>185.4</v>
      </c>
      <c r="L1480" s="1" t="s">
        <v>41</v>
      </c>
      <c r="M1480" s="1" t="s">
        <v>132</v>
      </c>
      <c r="N1480" s="1" t="s">
        <v>79</v>
      </c>
      <c r="O1480" s="1"/>
      <c r="P1480" s="1">
        <v>35</v>
      </c>
      <c r="Q1480" s="1">
        <v>105.3</v>
      </c>
      <c r="R1480" s="8" t="str">
        <f>_xlfn.IFS(J1480&gt;=8,"Hit",J1480&gt;=6,"Average",J1480&lt;6,"Flop")</f>
        <v>Average</v>
      </c>
      <c r="S1480" s="9" t="str">
        <f>_xlfn.IFS(K1480&gt;=400,"Blockbuster",K1480&gt;=200,"Popular",K1480&lt;200,"Normal")</f>
        <v>Normal</v>
      </c>
      <c r="T1480" s="10" t="str">
        <f>IF(OR(I1480="PG",I1480="G"),"Yes","No")</f>
        <v>No</v>
      </c>
      <c r="U1480" s="11" t="str">
        <f>IF(P1480&gt;=100,"High","Low")</f>
        <v>Low</v>
      </c>
      <c r="V1480" s="28">
        <f t="shared" si="46"/>
        <v>70.3</v>
      </c>
      <c r="W1480" s="29">
        <f t="shared" si="47"/>
        <v>300.85714285714283</v>
      </c>
    </row>
    <row r="1481" spans="1:23" x14ac:dyDescent="0.3">
      <c r="A1481" s="1" t="s">
        <v>4165</v>
      </c>
      <c r="B1481" s="1" t="s">
        <v>4166</v>
      </c>
      <c r="C1481" s="1" t="s">
        <v>46</v>
      </c>
      <c r="D1481" s="1" t="s">
        <v>37</v>
      </c>
      <c r="E1481" s="1">
        <v>2021</v>
      </c>
      <c r="F1481" s="1" t="s">
        <v>20</v>
      </c>
      <c r="G1481" s="1" t="s">
        <v>4167</v>
      </c>
      <c r="H1481" s="1">
        <v>38</v>
      </c>
      <c r="I1481" s="1" t="s">
        <v>50</v>
      </c>
      <c r="J1481" s="1">
        <v>8.3000000000000007</v>
      </c>
      <c r="K1481" s="1">
        <v>585.4</v>
      </c>
      <c r="L1481" s="1" t="s">
        <v>23</v>
      </c>
      <c r="M1481" s="1" t="s">
        <v>132</v>
      </c>
      <c r="N1481" s="1" t="s">
        <v>178</v>
      </c>
      <c r="O1481" s="1">
        <v>3</v>
      </c>
      <c r="P1481" s="1">
        <v>54</v>
      </c>
      <c r="Q1481" s="1">
        <v>192.3</v>
      </c>
      <c r="R1481" s="8" t="str">
        <f>_xlfn.IFS(J1481&gt;=8,"Hit",J1481&gt;=6,"Average",J1481&lt;6,"Flop")</f>
        <v>Hit</v>
      </c>
      <c r="S1481" s="9" t="str">
        <f>_xlfn.IFS(K1481&gt;=400,"Blockbuster",K1481&gt;=200,"Popular",K1481&lt;200,"Normal")</f>
        <v>Blockbuster</v>
      </c>
      <c r="T1481" s="10" t="str">
        <f>IF(OR(I1481="PG",I1481="G"),"Yes","No")</f>
        <v>Yes</v>
      </c>
      <c r="U1481" s="11" t="str">
        <f>IF(P1481&gt;=100,"High","Low")</f>
        <v>Low</v>
      </c>
      <c r="V1481" s="28">
        <f t="shared" si="46"/>
        <v>138.30000000000001</v>
      </c>
      <c r="W1481" s="29">
        <f t="shared" si="47"/>
        <v>356.11111111111114</v>
      </c>
    </row>
    <row r="1482" spans="1:23" x14ac:dyDescent="0.3">
      <c r="A1482" s="1" t="s">
        <v>4168</v>
      </c>
      <c r="B1482" s="1" t="s">
        <v>4169</v>
      </c>
      <c r="C1482" s="1" t="s">
        <v>18</v>
      </c>
      <c r="D1482" s="1" t="s">
        <v>75</v>
      </c>
      <c r="E1482" s="1">
        <v>2018</v>
      </c>
      <c r="F1482" s="1" t="s">
        <v>20</v>
      </c>
      <c r="G1482" s="1" t="s">
        <v>1859</v>
      </c>
      <c r="H1482" s="1">
        <v>145</v>
      </c>
      <c r="I1482" s="1" t="s">
        <v>110</v>
      </c>
      <c r="J1482" s="1">
        <v>6.9</v>
      </c>
      <c r="K1482" s="1">
        <v>315.8</v>
      </c>
      <c r="L1482" s="1" t="s">
        <v>90</v>
      </c>
      <c r="M1482" s="1" t="s">
        <v>146</v>
      </c>
      <c r="N1482" s="1" t="s">
        <v>60</v>
      </c>
      <c r="O1482" s="1"/>
      <c r="P1482" s="1">
        <v>141</v>
      </c>
      <c r="Q1482" s="1">
        <v>619.79999999999995</v>
      </c>
      <c r="R1482" s="8" t="str">
        <f>_xlfn.IFS(J1482&gt;=8,"Hit",J1482&gt;=6,"Average",J1482&lt;6,"Flop")</f>
        <v>Average</v>
      </c>
      <c r="S1482" s="9" t="str">
        <f>_xlfn.IFS(K1482&gt;=400,"Blockbuster",K1482&gt;=200,"Popular",K1482&lt;200,"Normal")</f>
        <v>Popular</v>
      </c>
      <c r="T1482" s="10" t="str">
        <f>IF(OR(I1482="PG",I1482="G"),"Yes","No")</f>
        <v>No</v>
      </c>
      <c r="U1482" s="11" t="str">
        <f>IF(P1482&gt;=100,"High","Low")</f>
        <v>High</v>
      </c>
      <c r="V1482" s="28">
        <f t="shared" si="46"/>
        <v>478.79999999999995</v>
      </c>
      <c r="W1482" s="29">
        <f t="shared" si="47"/>
        <v>439.57446808510633</v>
      </c>
    </row>
    <row r="1483" spans="1:23" x14ac:dyDescent="0.3">
      <c r="A1483" s="1" t="s">
        <v>4170</v>
      </c>
      <c r="B1483" s="1" t="s">
        <v>4171</v>
      </c>
      <c r="C1483" s="1" t="s">
        <v>18</v>
      </c>
      <c r="D1483" s="1" t="s">
        <v>82</v>
      </c>
      <c r="E1483" s="1">
        <v>2000</v>
      </c>
      <c r="F1483" s="1" t="s">
        <v>20</v>
      </c>
      <c r="G1483" s="1" t="s">
        <v>4172</v>
      </c>
      <c r="H1483" s="1">
        <v>180</v>
      </c>
      <c r="I1483" s="1" t="s">
        <v>22</v>
      </c>
      <c r="J1483" s="1">
        <v>6.1</v>
      </c>
      <c r="K1483" s="1">
        <v>355.2</v>
      </c>
      <c r="L1483" s="1" t="s">
        <v>32</v>
      </c>
      <c r="M1483" s="1" t="s">
        <v>111</v>
      </c>
      <c r="N1483" s="1" t="s">
        <v>128</v>
      </c>
      <c r="O1483" s="1"/>
      <c r="P1483" s="1">
        <v>168</v>
      </c>
      <c r="Q1483" s="1">
        <v>858.5</v>
      </c>
      <c r="R1483" s="8" t="str">
        <f>_xlfn.IFS(J1483&gt;=8,"Hit",J1483&gt;=6,"Average",J1483&lt;6,"Flop")</f>
        <v>Average</v>
      </c>
      <c r="S1483" s="9" t="str">
        <f>_xlfn.IFS(K1483&gt;=400,"Blockbuster",K1483&gt;=200,"Popular",K1483&lt;200,"Normal")</f>
        <v>Popular</v>
      </c>
      <c r="T1483" s="10" t="str">
        <f>IF(OR(I1483="PG",I1483="G"),"Yes","No")</f>
        <v>No</v>
      </c>
      <c r="U1483" s="11" t="str">
        <f>IF(P1483&gt;=100,"High","Low")</f>
        <v>High</v>
      </c>
      <c r="V1483" s="28">
        <f t="shared" si="46"/>
        <v>690.5</v>
      </c>
      <c r="W1483" s="29">
        <f t="shared" si="47"/>
        <v>511.01190476190476</v>
      </c>
    </row>
    <row r="1484" spans="1:23" x14ac:dyDescent="0.3">
      <c r="A1484" s="1" t="s">
        <v>4173</v>
      </c>
      <c r="B1484" s="1" t="s">
        <v>4174</v>
      </c>
      <c r="C1484" s="1" t="s">
        <v>46</v>
      </c>
      <c r="D1484" s="1" t="s">
        <v>117</v>
      </c>
      <c r="E1484" s="1">
        <v>2021</v>
      </c>
      <c r="F1484" s="1" t="s">
        <v>29</v>
      </c>
      <c r="G1484" s="1" t="s">
        <v>4175</v>
      </c>
      <c r="H1484" s="1">
        <v>57</v>
      </c>
      <c r="I1484" s="1" t="s">
        <v>40</v>
      </c>
      <c r="J1484" s="1">
        <v>5</v>
      </c>
      <c r="K1484" s="1">
        <v>162.9</v>
      </c>
      <c r="L1484" s="1" t="s">
        <v>71</v>
      </c>
      <c r="M1484" s="1" t="s">
        <v>42</v>
      </c>
      <c r="N1484" s="1" t="s">
        <v>119</v>
      </c>
      <c r="O1484" s="1">
        <v>4</v>
      </c>
      <c r="P1484" s="1">
        <v>58</v>
      </c>
      <c r="Q1484" s="1">
        <v>248.1</v>
      </c>
      <c r="R1484" s="8" t="str">
        <f>_xlfn.IFS(J1484&gt;=8,"Hit",J1484&gt;=6,"Average",J1484&lt;6,"Flop")</f>
        <v>Flop</v>
      </c>
      <c r="S1484" s="9" t="str">
        <f>_xlfn.IFS(K1484&gt;=400,"Blockbuster",K1484&gt;=200,"Popular",K1484&lt;200,"Normal")</f>
        <v>Normal</v>
      </c>
      <c r="T1484" s="10" t="str">
        <f>IF(OR(I1484="PG",I1484="G"),"Yes","No")</f>
        <v>Yes</v>
      </c>
      <c r="U1484" s="11" t="str">
        <f>IF(P1484&gt;=100,"High","Low")</f>
        <v>Low</v>
      </c>
      <c r="V1484" s="28">
        <f t="shared" si="46"/>
        <v>190.1</v>
      </c>
      <c r="W1484" s="29">
        <f t="shared" si="47"/>
        <v>427.75862068965517</v>
      </c>
    </row>
    <row r="1485" spans="1:23" x14ac:dyDescent="0.3">
      <c r="A1485" s="1" t="s">
        <v>4176</v>
      </c>
      <c r="B1485" s="1" t="s">
        <v>4177</v>
      </c>
      <c r="C1485" s="1" t="s">
        <v>18</v>
      </c>
      <c r="D1485" s="1" t="s">
        <v>37</v>
      </c>
      <c r="E1485" s="1">
        <v>2017</v>
      </c>
      <c r="F1485" s="1" t="s">
        <v>122</v>
      </c>
      <c r="G1485" s="1" t="s">
        <v>2706</v>
      </c>
      <c r="H1485" s="1">
        <v>147</v>
      </c>
      <c r="I1485" s="1" t="s">
        <v>22</v>
      </c>
      <c r="J1485" s="1">
        <v>7.2</v>
      </c>
      <c r="K1485" s="1">
        <v>77</v>
      </c>
      <c r="L1485" s="1" t="s">
        <v>65</v>
      </c>
      <c r="M1485" s="1" t="s">
        <v>78</v>
      </c>
      <c r="N1485" s="1" t="s">
        <v>43</v>
      </c>
      <c r="O1485" s="1"/>
      <c r="P1485" s="1">
        <v>19</v>
      </c>
      <c r="Q1485" s="1">
        <v>81.400000000000006</v>
      </c>
      <c r="R1485" s="8" t="str">
        <f>_xlfn.IFS(J1485&gt;=8,"Hit",J1485&gt;=6,"Average",J1485&lt;6,"Flop")</f>
        <v>Average</v>
      </c>
      <c r="S1485" s="9" t="str">
        <f>_xlfn.IFS(K1485&gt;=400,"Blockbuster",K1485&gt;=200,"Popular",K1485&lt;200,"Normal")</f>
        <v>Normal</v>
      </c>
      <c r="T1485" s="10" t="str">
        <f>IF(OR(I1485="PG",I1485="G"),"Yes","No")</f>
        <v>No</v>
      </c>
      <c r="U1485" s="11" t="str">
        <f>IF(P1485&gt;=100,"High","Low")</f>
        <v>Low</v>
      </c>
      <c r="V1485" s="28">
        <f t="shared" si="46"/>
        <v>62.400000000000006</v>
      </c>
      <c r="W1485" s="29">
        <f t="shared" si="47"/>
        <v>428.42105263157902</v>
      </c>
    </row>
    <row r="1486" spans="1:23" x14ac:dyDescent="0.3">
      <c r="A1486" s="1" t="s">
        <v>4178</v>
      </c>
      <c r="B1486" s="1" t="s">
        <v>4179</v>
      </c>
      <c r="C1486" s="1" t="s">
        <v>46</v>
      </c>
      <c r="D1486" s="1" t="s">
        <v>63</v>
      </c>
      <c r="E1486" s="1">
        <v>2007</v>
      </c>
      <c r="F1486" s="1" t="s">
        <v>20</v>
      </c>
      <c r="G1486" s="1" t="s">
        <v>4180</v>
      </c>
      <c r="H1486" s="1">
        <v>33</v>
      </c>
      <c r="I1486" s="1" t="s">
        <v>110</v>
      </c>
      <c r="J1486" s="1">
        <v>9.4</v>
      </c>
      <c r="K1486" s="1">
        <v>73</v>
      </c>
      <c r="L1486" s="1" t="s">
        <v>41</v>
      </c>
      <c r="M1486" s="1" t="s">
        <v>66</v>
      </c>
      <c r="N1486" s="1" t="s">
        <v>119</v>
      </c>
      <c r="O1486" s="1">
        <v>7</v>
      </c>
      <c r="P1486" s="1">
        <v>98</v>
      </c>
      <c r="Q1486" s="1">
        <v>194.9</v>
      </c>
      <c r="R1486" s="8" t="str">
        <f>_xlfn.IFS(J1486&gt;=8,"Hit",J1486&gt;=6,"Average",J1486&lt;6,"Flop")</f>
        <v>Hit</v>
      </c>
      <c r="S1486" s="9" t="str">
        <f>_xlfn.IFS(K1486&gt;=400,"Blockbuster",K1486&gt;=200,"Popular",K1486&lt;200,"Normal")</f>
        <v>Normal</v>
      </c>
      <c r="T1486" s="10" t="str">
        <f>IF(OR(I1486="PG",I1486="G"),"Yes","No")</f>
        <v>No</v>
      </c>
      <c r="U1486" s="11" t="str">
        <f>IF(P1486&gt;=100,"High","Low")</f>
        <v>Low</v>
      </c>
      <c r="V1486" s="28">
        <f t="shared" si="46"/>
        <v>96.9</v>
      </c>
      <c r="W1486" s="29">
        <f t="shared" si="47"/>
        <v>198.87755102040816</v>
      </c>
    </row>
    <row r="1487" spans="1:23" x14ac:dyDescent="0.3">
      <c r="A1487" s="1" t="s">
        <v>4181</v>
      </c>
      <c r="B1487" s="1" t="s">
        <v>4182</v>
      </c>
      <c r="C1487" s="1" t="s">
        <v>18</v>
      </c>
      <c r="D1487" s="1" t="s">
        <v>82</v>
      </c>
      <c r="E1487" s="1">
        <v>2023</v>
      </c>
      <c r="F1487" s="1" t="s">
        <v>38</v>
      </c>
      <c r="G1487" s="1" t="s">
        <v>4183</v>
      </c>
      <c r="H1487" s="1">
        <v>132</v>
      </c>
      <c r="I1487" s="1" t="s">
        <v>40</v>
      </c>
      <c r="J1487" s="1">
        <v>6.3</v>
      </c>
      <c r="K1487" s="1">
        <v>94.8</v>
      </c>
      <c r="L1487" s="1" t="s">
        <v>65</v>
      </c>
      <c r="M1487" s="1" t="s">
        <v>33</v>
      </c>
      <c r="N1487" s="1" t="s">
        <v>91</v>
      </c>
      <c r="O1487" s="1"/>
      <c r="P1487" s="1">
        <v>114</v>
      </c>
      <c r="Q1487" s="1">
        <v>505.8</v>
      </c>
      <c r="R1487" s="8" t="str">
        <f>_xlfn.IFS(J1487&gt;=8,"Hit",J1487&gt;=6,"Average",J1487&lt;6,"Flop")</f>
        <v>Average</v>
      </c>
      <c r="S1487" s="9" t="str">
        <f>_xlfn.IFS(K1487&gt;=400,"Blockbuster",K1487&gt;=200,"Popular",K1487&lt;200,"Normal")</f>
        <v>Normal</v>
      </c>
      <c r="T1487" s="10" t="str">
        <f>IF(OR(I1487="PG",I1487="G"),"Yes","No")</f>
        <v>Yes</v>
      </c>
      <c r="U1487" s="11" t="str">
        <f>IF(P1487&gt;=100,"High","Low")</f>
        <v>High</v>
      </c>
      <c r="V1487" s="28">
        <f t="shared" si="46"/>
        <v>391.8</v>
      </c>
      <c r="W1487" s="29">
        <f t="shared" si="47"/>
        <v>443.68421052631578</v>
      </c>
    </row>
    <row r="1488" spans="1:23" x14ac:dyDescent="0.3">
      <c r="A1488" s="1" t="s">
        <v>4184</v>
      </c>
      <c r="B1488" s="1" t="s">
        <v>4185</v>
      </c>
      <c r="C1488" s="1" t="s">
        <v>46</v>
      </c>
      <c r="D1488" s="1" t="s">
        <v>47</v>
      </c>
      <c r="E1488" s="1">
        <v>2014</v>
      </c>
      <c r="F1488" s="1" t="s">
        <v>122</v>
      </c>
      <c r="G1488" s="1" t="s">
        <v>3736</v>
      </c>
      <c r="H1488" s="1">
        <v>45</v>
      </c>
      <c r="I1488" s="1" t="s">
        <v>50</v>
      </c>
      <c r="J1488" s="1">
        <v>5.5</v>
      </c>
      <c r="K1488" s="1">
        <v>217.2</v>
      </c>
      <c r="L1488" s="1" t="s">
        <v>90</v>
      </c>
      <c r="M1488" s="1" t="s">
        <v>106</v>
      </c>
      <c r="N1488" s="1" t="s">
        <v>153</v>
      </c>
      <c r="O1488" s="1">
        <v>2</v>
      </c>
      <c r="P1488" s="1">
        <v>194</v>
      </c>
      <c r="Q1488" s="1">
        <v>292.3</v>
      </c>
      <c r="R1488" s="8" t="str">
        <f>_xlfn.IFS(J1488&gt;=8,"Hit",J1488&gt;=6,"Average",J1488&lt;6,"Flop")</f>
        <v>Flop</v>
      </c>
      <c r="S1488" s="9" t="str">
        <f>_xlfn.IFS(K1488&gt;=400,"Blockbuster",K1488&gt;=200,"Popular",K1488&lt;200,"Normal")</f>
        <v>Popular</v>
      </c>
      <c r="T1488" s="10" t="str">
        <f>IF(OR(I1488="PG",I1488="G"),"Yes","No")</f>
        <v>Yes</v>
      </c>
      <c r="U1488" s="11" t="str">
        <f>IF(P1488&gt;=100,"High","Low")</f>
        <v>High</v>
      </c>
      <c r="V1488" s="28">
        <f t="shared" si="46"/>
        <v>98.300000000000011</v>
      </c>
      <c r="W1488" s="29">
        <f t="shared" si="47"/>
        <v>150.67010309278351</v>
      </c>
    </row>
    <row r="1489" spans="1:23" x14ac:dyDescent="0.3">
      <c r="A1489" s="1" t="s">
        <v>4186</v>
      </c>
      <c r="B1489" s="1" t="s">
        <v>4187</v>
      </c>
      <c r="C1489" s="1" t="s">
        <v>46</v>
      </c>
      <c r="D1489" s="1" t="s">
        <v>19</v>
      </c>
      <c r="E1489" s="1">
        <v>2000</v>
      </c>
      <c r="F1489" s="1" t="s">
        <v>29</v>
      </c>
      <c r="G1489" s="1" t="s">
        <v>4188</v>
      </c>
      <c r="H1489" s="1">
        <v>30</v>
      </c>
      <c r="I1489" s="1" t="s">
        <v>22</v>
      </c>
      <c r="J1489" s="1">
        <v>6.4</v>
      </c>
      <c r="K1489" s="1">
        <v>395.1</v>
      </c>
      <c r="L1489" s="1" t="s">
        <v>65</v>
      </c>
      <c r="M1489" s="1" t="s">
        <v>124</v>
      </c>
      <c r="N1489" s="1" t="s">
        <v>43</v>
      </c>
      <c r="O1489" s="1">
        <v>8</v>
      </c>
      <c r="P1489" s="1">
        <v>20</v>
      </c>
      <c r="Q1489" s="1">
        <v>95.1</v>
      </c>
      <c r="R1489" s="8" t="str">
        <f>_xlfn.IFS(J1489&gt;=8,"Hit",J1489&gt;=6,"Average",J1489&lt;6,"Flop")</f>
        <v>Average</v>
      </c>
      <c r="S1489" s="9" t="str">
        <f>_xlfn.IFS(K1489&gt;=400,"Blockbuster",K1489&gt;=200,"Popular",K1489&lt;200,"Normal")</f>
        <v>Popular</v>
      </c>
      <c r="T1489" s="10" t="str">
        <f>IF(OR(I1489="PG",I1489="G"),"Yes","No")</f>
        <v>No</v>
      </c>
      <c r="U1489" s="11" t="str">
        <f>IF(P1489&gt;=100,"High","Low")</f>
        <v>Low</v>
      </c>
      <c r="V1489" s="28">
        <f t="shared" si="46"/>
        <v>75.099999999999994</v>
      </c>
      <c r="W1489" s="29">
        <f t="shared" si="47"/>
        <v>475.5</v>
      </c>
    </row>
    <row r="1490" spans="1:23" x14ac:dyDescent="0.3">
      <c r="A1490" s="1" t="s">
        <v>4189</v>
      </c>
      <c r="B1490" s="1" t="s">
        <v>4190</v>
      </c>
      <c r="C1490" s="1" t="s">
        <v>46</v>
      </c>
      <c r="D1490" s="1" t="s">
        <v>117</v>
      </c>
      <c r="E1490" s="1">
        <v>2000</v>
      </c>
      <c r="F1490" s="1" t="s">
        <v>100</v>
      </c>
      <c r="G1490" s="1" t="s">
        <v>4191</v>
      </c>
      <c r="H1490" s="1">
        <v>56</v>
      </c>
      <c r="I1490" s="1" t="s">
        <v>40</v>
      </c>
      <c r="J1490" s="1">
        <v>6.8</v>
      </c>
      <c r="K1490" s="1">
        <v>283.7</v>
      </c>
      <c r="L1490" s="1" t="s">
        <v>23</v>
      </c>
      <c r="M1490" s="1" t="s">
        <v>85</v>
      </c>
      <c r="N1490" s="1" t="s">
        <v>158</v>
      </c>
      <c r="O1490" s="1">
        <v>4</v>
      </c>
      <c r="P1490" s="1">
        <v>185</v>
      </c>
      <c r="Q1490" s="1">
        <v>1112.9000000000001</v>
      </c>
      <c r="R1490" s="8" t="str">
        <f>_xlfn.IFS(J1490&gt;=8,"Hit",J1490&gt;=6,"Average",J1490&lt;6,"Flop")</f>
        <v>Average</v>
      </c>
      <c r="S1490" s="9" t="str">
        <f>_xlfn.IFS(K1490&gt;=400,"Blockbuster",K1490&gt;=200,"Popular",K1490&lt;200,"Normal")</f>
        <v>Popular</v>
      </c>
      <c r="T1490" s="10" t="str">
        <f>IF(OR(I1490="PG",I1490="G"),"Yes","No")</f>
        <v>Yes</v>
      </c>
      <c r="U1490" s="11" t="str">
        <f>IF(P1490&gt;=100,"High","Low")</f>
        <v>High</v>
      </c>
      <c r="V1490" s="28">
        <f t="shared" si="46"/>
        <v>927.90000000000009</v>
      </c>
      <c r="W1490" s="29">
        <f t="shared" si="47"/>
        <v>601.56756756756761</v>
      </c>
    </row>
    <row r="1491" spans="1:23" x14ac:dyDescent="0.3">
      <c r="A1491" s="1" t="s">
        <v>4192</v>
      </c>
      <c r="B1491" s="1" t="s">
        <v>4193</v>
      </c>
      <c r="C1491" s="1" t="s">
        <v>46</v>
      </c>
      <c r="D1491" s="1" t="s">
        <v>58</v>
      </c>
      <c r="E1491" s="1">
        <v>2005</v>
      </c>
      <c r="F1491" s="1" t="s">
        <v>83</v>
      </c>
      <c r="G1491" s="1" t="s">
        <v>4194</v>
      </c>
      <c r="H1491" s="1">
        <v>45</v>
      </c>
      <c r="I1491" s="1" t="s">
        <v>110</v>
      </c>
      <c r="J1491" s="1">
        <v>6.5</v>
      </c>
      <c r="K1491" s="1">
        <v>473.7</v>
      </c>
      <c r="L1491" s="1" t="s">
        <v>32</v>
      </c>
      <c r="M1491" s="1" t="s">
        <v>111</v>
      </c>
      <c r="N1491" s="1" t="s">
        <v>158</v>
      </c>
      <c r="O1491" s="1">
        <v>5</v>
      </c>
      <c r="P1491" s="1">
        <v>50</v>
      </c>
      <c r="Q1491" s="1">
        <v>190.7</v>
      </c>
      <c r="R1491" s="8" t="str">
        <f>_xlfn.IFS(J1491&gt;=8,"Hit",J1491&gt;=6,"Average",J1491&lt;6,"Flop")</f>
        <v>Average</v>
      </c>
      <c r="S1491" s="9" t="str">
        <f>_xlfn.IFS(K1491&gt;=400,"Blockbuster",K1491&gt;=200,"Popular",K1491&lt;200,"Normal")</f>
        <v>Blockbuster</v>
      </c>
      <c r="T1491" s="10" t="str">
        <f>IF(OR(I1491="PG",I1491="G"),"Yes","No")</f>
        <v>No</v>
      </c>
      <c r="U1491" s="11" t="str">
        <f>IF(P1491&gt;=100,"High","Low")</f>
        <v>Low</v>
      </c>
      <c r="V1491" s="28">
        <f t="shared" si="46"/>
        <v>140.69999999999999</v>
      </c>
      <c r="W1491" s="29">
        <f t="shared" si="47"/>
        <v>381.4</v>
      </c>
    </row>
    <row r="1492" spans="1:23" x14ac:dyDescent="0.3">
      <c r="A1492" s="1" t="s">
        <v>4195</v>
      </c>
      <c r="B1492" s="1" t="s">
        <v>4196</v>
      </c>
      <c r="C1492" s="1" t="s">
        <v>46</v>
      </c>
      <c r="D1492" s="1" t="s">
        <v>75</v>
      </c>
      <c r="E1492" s="1">
        <v>2000</v>
      </c>
      <c r="F1492" s="1" t="s">
        <v>20</v>
      </c>
      <c r="G1492" s="1" t="s">
        <v>2914</v>
      </c>
      <c r="H1492" s="1">
        <v>42</v>
      </c>
      <c r="I1492" s="1" t="s">
        <v>40</v>
      </c>
      <c r="J1492" s="1">
        <v>7.4</v>
      </c>
      <c r="K1492" s="1">
        <v>518.1</v>
      </c>
      <c r="L1492" s="1" t="s">
        <v>71</v>
      </c>
      <c r="M1492" s="1" t="s">
        <v>157</v>
      </c>
      <c r="N1492" s="1" t="s">
        <v>67</v>
      </c>
      <c r="O1492" s="1">
        <v>1</v>
      </c>
      <c r="P1492" s="1">
        <v>106</v>
      </c>
      <c r="Q1492" s="1">
        <v>504.9</v>
      </c>
      <c r="R1492" s="8" t="str">
        <f>_xlfn.IFS(J1492&gt;=8,"Hit",J1492&gt;=6,"Average",J1492&lt;6,"Flop")</f>
        <v>Average</v>
      </c>
      <c r="S1492" s="9" t="str">
        <f>_xlfn.IFS(K1492&gt;=400,"Blockbuster",K1492&gt;=200,"Popular",K1492&lt;200,"Normal")</f>
        <v>Blockbuster</v>
      </c>
      <c r="T1492" s="10" t="str">
        <f>IF(OR(I1492="PG",I1492="G"),"Yes","No")</f>
        <v>Yes</v>
      </c>
      <c r="U1492" s="11" t="str">
        <f>IF(P1492&gt;=100,"High","Low")</f>
        <v>High</v>
      </c>
      <c r="V1492" s="28">
        <f t="shared" si="46"/>
        <v>398.9</v>
      </c>
      <c r="W1492" s="29">
        <f t="shared" si="47"/>
        <v>476.32075471698113</v>
      </c>
    </row>
    <row r="1493" spans="1:23" x14ac:dyDescent="0.3">
      <c r="A1493" s="1" t="s">
        <v>4197</v>
      </c>
      <c r="B1493" s="1" t="s">
        <v>4198</v>
      </c>
      <c r="C1493" s="1" t="s">
        <v>18</v>
      </c>
      <c r="D1493" s="1" t="s">
        <v>63</v>
      </c>
      <c r="E1493" s="1">
        <v>2022</v>
      </c>
      <c r="F1493" s="1" t="s">
        <v>20</v>
      </c>
      <c r="G1493" s="1" t="s">
        <v>4199</v>
      </c>
      <c r="H1493" s="1">
        <v>145</v>
      </c>
      <c r="I1493" s="1" t="s">
        <v>22</v>
      </c>
      <c r="J1493" s="1">
        <v>8.1999999999999993</v>
      </c>
      <c r="K1493" s="1">
        <v>478.7</v>
      </c>
      <c r="L1493" s="1" t="s">
        <v>90</v>
      </c>
      <c r="M1493" s="1" t="s">
        <v>106</v>
      </c>
      <c r="N1493" s="1" t="s">
        <v>102</v>
      </c>
      <c r="O1493" s="1"/>
      <c r="P1493" s="1">
        <v>121</v>
      </c>
      <c r="Q1493" s="1">
        <v>722.2</v>
      </c>
      <c r="R1493" s="8" t="str">
        <f>_xlfn.IFS(J1493&gt;=8,"Hit",J1493&gt;=6,"Average",J1493&lt;6,"Flop")</f>
        <v>Hit</v>
      </c>
      <c r="S1493" s="9" t="str">
        <f>_xlfn.IFS(K1493&gt;=400,"Blockbuster",K1493&gt;=200,"Popular",K1493&lt;200,"Normal")</f>
        <v>Blockbuster</v>
      </c>
      <c r="T1493" s="10" t="str">
        <f>IF(OR(I1493="PG",I1493="G"),"Yes","No")</f>
        <v>No</v>
      </c>
      <c r="U1493" s="11" t="str">
        <f>IF(P1493&gt;=100,"High","Low")</f>
        <v>High</v>
      </c>
      <c r="V1493" s="28">
        <f t="shared" si="46"/>
        <v>601.20000000000005</v>
      </c>
      <c r="W1493" s="29">
        <f t="shared" si="47"/>
        <v>596.85950413223145</v>
      </c>
    </row>
    <row r="1494" spans="1:23" x14ac:dyDescent="0.3">
      <c r="A1494" s="1" t="s">
        <v>4200</v>
      </c>
      <c r="B1494" s="1" t="s">
        <v>4201</v>
      </c>
      <c r="C1494" s="1" t="s">
        <v>46</v>
      </c>
      <c r="D1494" s="1" t="s">
        <v>47</v>
      </c>
      <c r="E1494" s="1">
        <v>2013</v>
      </c>
      <c r="F1494" s="1" t="s">
        <v>20</v>
      </c>
      <c r="G1494" s="1" t="s">
        <v>2014</v>
      </c>
      <c r="H1494" s="1">
        <v>37</v>
      </c>
      <c r="I1494" s="1" t="s">
        <v>110</v>
      </c>
      <c r="J1494" s="1">
        <v>5.4</v>
      </c>
      <c r="K1494" s="1">
        <v>201.8</v>
      </c>
      <c r="L1494" s="1" t="s">
        <v>23</v>
      </c>
      <c r="M1494" s="1" t="s">
        <v>24</v>
      </c>
      <c r="N1494" s="1" t="s">
        <v>43</v>
      </c>
      <c r="O1494" s="1">
        <v>4</v>
      </c>
      <c r="P1494" s="1">
        <v>144</v>
      </c>
      <c r="Q1494" s="1">
        <v>627.20000000000005</v>
      </c>
      <c r="R1494" s="8" t="str">
        <f>_xlfn.IFS(J1494&gt;=8,"Hit",J1494&gt;=6,"Average",J1494&lt;6,"Flop")</f>
        <v>Flop</v>
      </c>
      <c r="S1494" s="9" t="str">
        <f>_xlfn.IFS(K1494&gt;=400,"Blockbuster",K1494&gt;=200,"Popular",K1494&lt;200,"Normal")</f>
        <v>Popular</v>
      </c>
      <c r="T1494" s="10" t="str">
        <f>IF(OR(I1494="PG",I1494="G"),"Yes","No")</f>
        <v>No</v>
      </c>
      <c r="U1494" s="11" t="str">
        <f>IF(P1494&gt;=100,"High","Low")</f>
        <v>High</v>
      </c>
      <c r="V1494" s="28">
        <f t="shared" si="46"/>
        <v>483.20000000000005</v>
      </c>
      <c r="W1494" s="29">
        <f t="shared" si="47"/>
        <v>435.5555555555556</v>
      </c>
    </row>
    <row r="1495" spans="1:23" x14ac:dyDescent="0.3">
      <c r="A1495" s="1" t="s">
        <v>4202</v>
      </c>
      <c r="B1495" s="1" t="s">
        <v>4203</v>
      </c>
      <c r="C1495" s="1" t="s">
        <v>46</v>
      </c>
      <c r="D1495" s="1" t="s">
        <v>141</v>
      </c>
      <c r="E1495" s="1">
        <v>2000</v>
      </c>
      <c r="F1495" s="1" t="s">
        <v>181</v>
      </c>
      <c r="G1495" s="1" t="s">
        <v>53</v>
      </c>
      <c r="H1495" s="1">
        <v>45</v>
      </c>
      <c r="I1495" s="1" t="s">
        <v>22</v>
      </c>
      <c r="J1495" s="1">
        <v>7.7</v>
      </c>
      <c r="K1495" s="1">
        <v>546.29999999999995</v>
      </c>
      <c r="L1495" s="1" t="s">
        <v>32</v>
      </c>
      <c r="M1495" s="1" t="s">
        <v>24</v>
      </c>
      <c r="N1495" s="1" t="s">
        <v>25</v>
      </c>
      <c r="O1495" s="1">
        <v>1</v>
      </c>
      <c r="P1495" s="1">
        <v>109</v>
      </c>
      <c r="Q1495" s="1">
        <v>562.29999999999995</v>
      </c>
      <c r="R1495" s="8" t="str">
        <f>_xlfn.IFS(J1495&gt;=8,"Hit",J1495&gt;=6,"Average",J1495&lt;6,"Flop")</f>
        <v>Average</v>
      </c>
      <c r="S1495" s="9" t="str">
        <f>_xlfn.IFS(K1495&gt;=400,"Blockbuster",K1495&gt;=200,"Popular",K1495&lt;200,"Normal")</f>
        <v>Blockbuster</v>
      </c>
      <c r="T1495" s="10" t="str">
        <f>IF(OR(I1495="PG",I1495="G"),"Yes","No")</f>
        <v>No</v>
      </c>
      <c r="U1495" s="11" t="str">
        <f>IF(P1495&gt;=100,"High","Low")</f>
        <v>High</v>
      </c>
      <c r="V1495" s="28">
        <f t="shared" si="46"/>
        <v>453.29999999999995</v>
      </c>
      <c r="W1495" s="29">
        <f t="shared" si="47"/>
        <v>515.87155963302746</v>
      </c>
    </row>
    <row r="1496" spans="1:23" x14ac:dyDescent="0.3">
      <c r="A1496" s="1" t="s">
        <v>4204</v>
      </c>
      <c r="B1496" s="1" t="s">
        <v>4205</v>
      </c>
      <c r="C1496" s="1" t="s">
        <v>18</v>
      </c>
      <c r="D1496" s="1" t="s">
        <v>47</v>
      </c>
      <c r="E1496" s="1">
        <v>2017</v>
      </c>
      <c r="F1496" s="1" t="s">
        <v>95</v>
      </c>
      <c r="G1496" s="1" t="s">
        <v>443</v>
      </c>
      <c r="H1496" s="1">
        <v>142</v>
      </c>
      <c r="I1496" s="1" t="s">
        <v>22</v>
      </c>
      <c r="J1496" s="1">
        <v>6.5</v>
      </c>
      <c r="K1496" s="1">
        <v>582.79999999999995</v>
      </c>
      <c r="L1496" s="1" t="s">
        <v>90</v>
      </c>
      <c r="M1496" s="1" t="s">
        <v>97</v>
      </c>
      <c r="N1496" s="1" t="s">
        <v>102</v>
      </c>
      <c r="O1496" s="1"/>
      <c r="P1496" s="1">
        <v>130</v>
      </c>
      <c r="Q1496" s="1">
        <v>259.39999999999998</v>
      </c>
      <c r="R1496" s="8" t="str">
        <f>_xlfn.IFS(J1496&gt;=8,"Hit",J1496&gt;=6,"Average",J1496&lt;6,"Flop")</f>
        <v>Average</v>
      </c>
      <c r="S1496" s="9" t="str">
        <f>_xlfn.IFS(K1496&gt;=400,"Blockbuster",K1496&gt;=200,"Popular",K1496&lt;200,"Normal")</f>
        <v>Blockbuster</v>
      </c>
      <c r="T1496" s="10" t="str">
        <f>IF(OR(I1496="PG",I1496="G"),"Yes","No")</f>
        <v>No</v>
      </c>
      <c r="U1496" s="11" t="str">
        <f>IF(P1496&gt;=100,"High","Low")</f>
        <v>High</v>
      </c>
      <c r="V1496" s="28">
        <f t="shared" si="46"/>
        <v>129.39999999999998</v>
      </c>
      <c r="W1496" s="29">
        <f t="shared" si="47"/>
        <v>199.53846153846152</v>
      </c>
    </row>
    <row r="1497" spans="1:23" x14ac:dyDescent="0.3">
      <c r="A1497" s="1" t="s">
        <v>4206</v>
      </c>
      <c r="B1497" s="1" t="s">
        <v>4207</v>
      </c>
      <c r="C1497" s="1" t="s">
        <v>18</v>
      </c>
      <c r="D1497" s="1" t="s">
        <v>47</v>
      </c>
      <c r="E1497" s="1">
        <v>2025</v>
      </c>
      <c r="F1497" s="1" t="s">
        <v>83</v>
      </c>
      <c r="G1497" s="1" t="s">
        <v>1162</v>
      </c>
      <c r="H1497" s="1">
        <v>113</v>
      </c>
      <c r="I1497" s="1" t="s">
        <v>50</v>
      </c>
      <c r="J1497" s="1">
        <v>4.8</v>
      </c>
      <c r="K1497" s="1">
        <v>216.9</v>
      </c>
      <c r="L1497" s="1" t="s">
        <v>32</v>
      </c>
      <c r="M1497" s="1" t="s">
        <v>106</v>
      </c>
      <c r="N1497" s="1" t="s">
        <v>86</v>
      </c>
      <c r="O1497" s="1"/>
      <c r="P1497" s="1">
        <v>168</v>
      </c>
      <c r="Q1497" s="1">
        <v>808.9</v>
      </c>
      <c r="R1497" s="8" t="str">
        <f>_xlfn.IFS(J1497&gt;=8,"Hit",J1497&gt;=6,"Average",J1497&lt;6,"Flop")</f>
        <v>Flop</v>
      </c>
      <c r="S1497" s="9" t="str">
        <f>_xlfn.IFS(K1497&gt;=400,"Blockbuster",K1497&gt;=200,"Popular",K1497&lt;200,"Normal")</f>
        <v>Popular</v>
      </c>
      <c r="T1497" s="10" t="str">
        <f>IF(OR(I1497="PG",I1497="G"),"Yes","No")</f>
        <v>Yes</v>
      </c>
      <c r="U1497" s="11" t="str">
        <f>IF(P1497&gt;=100,"High","Low")</f>
        <v>High</v>
      </c>
      <c r="V1497" s="28">
        <f t="shared" si="46"/>
        <v>640.9</v>
      </c>
      <c r="W1497" s="29">
        <f t="shared" si="47"/>
        <v>481.48809523809524</v>
      </c>
    </row>
    <row r="1498" spans="1:23" x14ac:dyDescent="0.3">
      <c r="A1498" s="1" t="s">
        <v>4208</v>
      </c>
      <c r="B1498" s="1" t="s">
        <v>4209</v>
      </c>
      <c r="C1498" s="1" t="s">
        <v>18</v>
      </c>
      <c r="D1498" s="1" t="s">
        <v>141</v>
      </c>
      <c r="E1498" s="1">
        <v>2018</v>
      </c>
      <c r="F1498" s="1" t="s">
        <v>38</v>
      </c>
      <c r="G1498" s="1" t="s">
        <v>4210</v>
      </c>
      <c r="H1498" s="1">
        <v>100</v>
      </c>
      <c r="I1498" s="1" t="s">
        <v>110</v>
      </c>
      <c r="J1498" s="1">
        <v>4.8</v>
      </c>
      <c r="K1498" s="1">
        <v>258.8</v>
      </c>
      <c r="L1498" s="1" t="s">
        <v>90</v>
      </c>
      <c r="M1498" s="1" t="s">
        <v>111</v>
      </c>
      <c r="N1498" s="1" t="s">
        <v>158</v>
      </c>
      <c r="O1498" s="1"/>
      <c r="P1498" s="1">
        <v>161</v>
      </c>
      <c r="Q1498" s="1">
        <v>819.6</v>
      </c>
      <c r="R1498" s="8" t="str">
        <f>_xlfn.IFS(J1498&gt;=8,"Hit",J1498&gt;=6,"Average",J1498&lt;6,"Flop")</f>
        <v>Flop</v>
      </c>
      <c r="S1498" s="9" t="str">
        <f>_xlfn.IFS(K1498&gt;=400,"Blockbuster",K1498&gt;=200,"Popular",K1498&lt;200,"Normal")</f>
        <v>Popular</v>
      </c>
      <c r="T1498" s="10" t="str">
        <f>IF(OR(I1498="PG",I1498="G"),"Yes","No")</f>
        <v>No</v>
      </c>
      <c r="U1498" s="11" t="str">
        <f>IF(P1498&gt;=100,"High","Low")</f>
        <v>High</v>
      </c>
      <c r="V1498" s="28">
        <f t="shared" si="46"/>
        <v>658.6</v>
      </c>
      <c r="W1498" s="29">
        <f t="shared" si="47"/>
        <v>509.06832298136646</v>
      </c>
    </row>
    <row r="1499" spans="1:23" x14ac:dyDescent="0.3">
      <c r="A1499" s="1" t="s">
        <v>4211</v>
      </c>
      <c r="B1499" s="1" t="s">
        <v>4212</v>
      </c>
      <c r="C1499" s="1" t="s">
        <v>18</v>
      </c>
      <c r="D1499" s="1" t="s">
        <v>63</v>
      </c>
      <c r="E1499" s="1">
        <v>2014</v>
      </c>
      <c r="F1499" s="1" t="s">
        <v>95</v>
      </c>
      <c r="G1499" s="1" t="s">
        <v>3950</v>
      </c>
      <c r="H1499" s="1">
        <v>127</v>
      </c>
      <c r="I1499" s="1" t="s">
        <v>31</v>
      </c>
      <c r="J1499" s="1">
        <v>5.2</v>
      </c>
      <c r="K1499" s="1">
        <v>158.1</v>
      </c>
      <c r="L1499" s="1" t="s">
        <v>171</v>
      </c>
      <c r="M1499" s="1" t="s">
        <v>42</v>
      </c>
      <c r="N1499" s="1" t="s">
        <v>153</v>
      </c>
      <c r="O1499" s="1"/>
      <c r="P1499" s="1">
        <v>169</v>
      </c>
      <c r="Q1499" s="1">
        <v>686.5</v>
      </c>
      <c r="R1499" s="8" t="str">
        <f>_xlfn.IFS(J1499&gt;=8,"Hit",J1499&gt;=6,"Average",J1499&lt;6,"Flop")</f>
        <v>Flop</v>
      </c>
      <c r="S1499" s="9" t="str">
        <f>_xlfn.IFS(K1499&gt;=400,"Blockbuster",K1499&gt;=200,"Popular",K1499&lt;200,"Normal")</f>
        <v>Normal</v>
      </c>
      <c r="T1499" s="10" t="str">
        <f>IF(OR(I1499="PG",I1499="G"),"Yes","No")</f>
        <v>No</v>
      </c>
      <c r="U1499" s="11" t="str">
        <f>IF(P1499&gt;=100,"High","Low")</f>
        <v>High</v>
      </c>
      <c r="V1499" s="28">
        <f t="shared" si="46"/>
        <v>517.5</v>
      </c>
      <c r="W1499" s="29">
        <f t="shared" si="47"/>
        <v>406.2130177514793</v>
      </c>
    </row>
    <row r="1500" spans="1:23" x14ac:dyDescent="0.3">
      <c r="A1500" s="1" t="s">
        <v>4213</v>
      </c>
      <c r="B1500" s="1" t="s">
        <v>4214</v>
      </c>
      <c r="C1500" s="1" t="s">
        <v>18</v>
      </c>
      <c r="D1500" s="1" t="s">
        <v>82</v>
      </c>
      <c r="E1500" s="1">
        <v>2001</v>
      </c>
      <c r="F1500" s="1" t="s">
        <v>100</v>
      </c>
      <c r="G1500" s="1" t="s">
        <v>4215</v>
      </c>
      <c r="H1500" s="1">
        <v>136</v>
      </c>
      <c r="I1500" s="1" t="s">
        <v>40</v>
      </c>
      <c r="J1500" s="1">
        <v>9.5</v>
      </c>
      <c r="K1500" s="1">
        <v>433.6</v>
      </c>
      <c r="L1500" s="1" t="s">
        <v>65</v>
      </c>
      <c r="M1500" s="1" t="s">
        <v>132</v>
      </c>
      <c r="N1500" s="1" t="s">
        <v>60</v>
      </c>
      <c r="O1500" s="1"/>
      <c r="P1500" s="1">
        <v>50</v>
      </c>
      <c r="Q1500" s="1">
        <v>117.5</v>
      </c>
      <c r="R1500" s="8" t="str">
        <f>_xlfn.IFS(J1500&gt;=8,"Hit",J1500&gt;=6,"Average",J1500&lt;6,"Flop")</f>
        <v>Hit</v>
      </c>
      <c r="S1500" s="9" t="str">
        <f>_xlfn.IFS(K1500&gt;=400,"Blockbuster",K1500&gt;=200,"Popular",K1500&lt;200,"Normal")</f>
        <v>Blockbuster</v>
      </c>
      <c r="T1500" s="10" t="str">
        <f>IF(OR(I1500="PG",I1500="G"),"Yes","No")</f>
        <v>Yes</v>
      </c>
      <c r="U1500" s="11" t="str">
        <f>IF(P1500&gt;=100,"High","Low")</f>
        <v>Low</v>
      </c>
      <c r="V1500" s="28">
        <f t="shared" si="46"/>
        <v>67.5</v>
      </c>
      <c r="W1500" s="29">
        <f t="shared" si="47"/>
        <v>235</v>
      </c>
    </row>
    <row r="1501" spans="1:23" x14ac:dyDescent="0.3">
      <c r="A1501" s="1" t="s">
        <v>4216</v>
      </c>
      <c r="B1501" s="1" t="s">
        <v>4217</v>
      </c>
      <c r="C1501" s="1" t="s">
        <v>18</v>
      </c>
      <c r="D1501" s="1" t="s">
        <v>63</v>
      </c>
      <c r="E1501" s="1">
        <v>2023</v>
      </c>
      <c r="F1501" s="1" t="s">
        <v>38</v>
      </c>
      <c r="G1501" s="1" t="s">
        <v>4218</v>
      </c>
      <c r="H1501" s="1">
        <v>90</v>
      </c>
      <c r="I1501" s="1" t="s">
        <v>22</v>
      </c>
      <c r="J1501" s="1">
        <v>6.1</v>
      </c>
      <c r="K1501" s="1">
        <v>223.8</v>
      </c>
      <c r="L1501" s="1" t="s">
        <v>65</v>
      </c>
      <c r="M1501" s="1" t="s">
        <v>157</v>
      </c>
      <c r="N1501" s="1" t="s">
        <v>119</v>
      </c>
      <c r="O1501" s="1"/>
      <c r="P1501" s="1">
        <v>69</v>
      </c>
      <c r="Q1501" s="1">
        <v>321</v>
      </c>
      <c r="R1501" s="8" t="str">
        <f>_xlfn.IFS(J1501&gt;=8,"Hit",J1501&gt;=6,"Average",J1501&lt;6,"Flop")</f>
        <v>Average</v>
      </c>
      <c r="S1501" s="9" t="str">
        <f>_xlfn.IFS(K1501&gt;=400,"Blockbuster",K1501&gt;=200,"Popular",K1501&lt;200,"Normal")</f>
        <v>Popular</v>
      </c>
      <c r="T1501" s="10" t="str">
        <f>IF(OR(I1501="PG",I1501="G"),"Yes","No")</f>
        <v>No</v>
      </c>
      <c r="U1501" s="11" t="str">
        <f>IF(P1501&gt;=100,"High","Low")</f>
        <v>Low</v>
      </c>
      <c r="V1501" s="28">
        <f t="shared" si="46"/>
        <v>252</v>
      </c>
      <c r="W1501" s="29">
        <f t="shared" si="47"/>
        <v>465.21739130434787</v>
      </c>
    </row>
  </sheetData>
  <dataConsolidate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6BAA-F096-44E5-8AA6-72C0DB94E059}">
  <dimension ref="A1:Q31"/>
  <sheetViews>
    <sheetView topLeftCell="A9" zoomScale="84" workbookViewId="0">
      <selection activeCell="G21" sqref="G21"/>
    </sheetView>
  </sheetViews>
  <sheetFormatPr defaultRowHeight="14.4" x14ac:dyDescent="0.3"/>
  <cols>
    <col min="1" max="1" width="9.21875" style="5" customWidth="1"/>
    <col min="2" max="2" width="8.88671875" style="5"/>
    <col min="3" max="3" width="12.44140625" style="5" customWidth="1"/>
    <col min="4" max="4" width="15.21875" style="5" customWidth="1"/>
    <col min="5" max="5" width="11.5546875" style="5" customWidth="1"/>
    <col min="6" max="6" width="11.88671875" style="5" bestFit="1" customWidth="1"/>
    <col min="7" max="7" width="10.6640625" style="5" customWidth="1"/>
    <col min="8" max="8" width="11.77734375" style="5" customWidth="1"/>
    <col min="9" max="9" width="8.77734375" style="5" customWidth="1"/>
    <col min="10" max="13" width="8.88671875" style="5"/>
    <col min="14" max="14" width="13.77734375" style="5" customWidth="1"/>
    <col min="15" max="15" width="11.88671875" style="5" customWidth="1"/>
    <col min="16" max="16" width="12.5546875" style="5" customWidth="1"/>
    <col min="17" max="16384" width="8.88671875" style="5"/>
  </cols>
  <sheetData>
    <row r="1" spans="1:16" ht="15.6" x14ac:dyDescent="0.3">
      <c r="A1" s="22">
        <v>1</v>
      </c>
      <c r="B1" s="22"/>
      <c r="C1" s="22"/>
      <c r="D1" s="22"/>
      <c r="E1" s="22"/>
      <c r="F1" s="2" t="s">
        <v>4231</v>
      </c>
      <c r="K1" s="19">
        <v>8</v>
      </c>
      <c r="L1" s="20"/>
      <c r="M1" s="20"/>
      <c r="N1" s="21"/>
      <c r="O1" s="2" t="s">
        <v>4236</v>
      </c>
    </row>
    <row r="2" spans="1:16" ht="15.6" x14ac:dyDescent="0.3">
      <c r="A2" s="18" t="s">
        <v>4219</v>
      </c>
      <c r="B2" s="18"/>
      <c r="C2" s="18"/>
      <c r="D2" s="18"/>
      <c r="E2" s="18"/>
      <c r="F2" s="4">
        <f>COUNTA(Netflix_Data!B2:B1501)</f>
        <v>1500</v>
      </c>
      <c r="K2" s="18" t="s">
        <v>4222</v>
      </c>
      <c r="L2" s="18"/>
      <c r="M2" s="18"/>
      <c r="N2" s="18"/>
      <c r="O2" s="4">
        <f>AVERAGE(Netflix_Data!P2:P1501)</f>
        <v>101.93666666666667</v>
      </c>
    </row>
    <row r="5" spans="1:16" ht="15.6" x14ac:dyDescent="0.3">
      <c r="A5" s="22">
        <v>2</v>
      </c>
      <c r="B5" s="22"/>
      <c r="C5" s="22"/>
      <c r="D5" s="22"/>
      <c r="E5" s="2" t="s">
        <v>1</v>
      </c>
      <c r="F5" s="2" t="s">
        <v>4231</v>
      </c>
      <c r="K5" s="19">
        <v>9</v>
      </c>
      <c r="L5" s="20"/>
      <c r="M5" s="20"/>
      <c r="N5" s="20"/>
      <c r="O5" s="21"/>
      <c r="P5" s="2" t="s">
        <v>4238</v>
      </c>
    </row>
    <row r="6" spans="1:16" ht="15.6" x14ac:dyDescent="0.3">
      <c r="A6" s="18" t="s">
        <v>4220</v>
      </c>
      <c r="B6" s="18"/>
      <c r="C6" s="18"/>
      <c r="D6" s="18"/>
      <c r="E6" s="3" t="s">
        <v>46</v>
      </c>
      <c r="F6" s="4">
        <f>COUNTIF(Netflix_Data!C2:C1501,E6)</f>
        <v>743</v>
      </c>
      <c r="K6" s="18" t="s">
        <v>4223</v>
      </c>
      <c r="L6" s="18"/>
      <c r="M6" s="18"/>
      <c r="N6" s="18"/>
      <c r="O6" s="18"/>
      <c r="P6" s="4">
        <f>MAX(Netflix_Data!Q2:Q1501)</f>
        <v>1265.2</v>
      </c>
    </row>
    <row r="9" spans="1:16" ht="15.6" x14ac:dyDescent="0.3">
      <c r="A9" s="22">
        <v>3</v>
      </c>
      <c r="B9" s="22"/>
      <c r="C9" s="22"/>
      <c r="D9" s="22"/>
      <c r="E9" s="2" t="s">
        <v>4236</v>
      </c>
      <c r="K9" s="19">
        <v>10</v>
      </c>
      <c r="L9" s="20"/>
      <c r="M9" s="20"/>
      <c r="N9" s="21"/>
      <c r="O9" s="2" t="s">
        <v>4239</v>
      </c>
    </row>
    <row r="10" spans="1:16" ht="15.6" x14ac:dyDescent="0.3">
      <c r="A10" s="18" t="s">
        <v>4221</v>
      </c>
      <c r="B10" s="18"/>
      <c r="C10" s="18"/>
      <c r="D10" s="18"/>
      <c r="E10" s="4">
        <f>AVERAGE(Netflix_Data!J2:J1501)</f>
        <v>7.0219333333333331</v>
      </c>
      <c r="K10" s="18" t="s">
        <v>4224</v>
      </c>
      <c r="L10" s="18"/>
      <c r="M10" s="18"/>
      <c r="N10" s="18"/>
      <c r="O10" s="4">
        <f>MIN(Netflix_Data!H2:H1501)</f>
        <v>30</v>
      </c>
    </row>
    <row r="13" spans="1:16" ht="15.6" x14ac:dyDescent="0.3">
      <c r="A13" s="22">
        <v>4</v>
      </c>
      <c r="B13" s="22"/>
      <c r="C13" s="22"/>
      <c r="D13" s="22"/>
      <c r="K13" s="19">
        <v>11</v>
      </c>
      <c r="L13" s="20"/>
      <c r="M13" s="20"/>
      <c r="N13" s="21"/>
      <c r="O13" s="2" t="s">
        <v>4240</v>
      </c>
    </row>
    <row r="14" spans="1:16" ht="15.6" x14ac:dyDescent="0.3">
      <c r="A14" s="18" t="s">
        <v>4251</v>
      </c>
      <c r="B14" s="18"/>
      <c r="C14" s="18"/>
      <c r="D14" s="4">
        <f>MAX(Netflix_Data!J2:J1501)</f>
        <v>9.6</v>
      </c>
      <c r="K14" s="18" t="s">
        <v>4225</v>
      </c>
      <c r="L14" s="18"/>
      <c r="M14" s="18"/>
      <c r="N14" s="18"/>
      <c r="O14" s="4">
        <f>COUNTIF(Netflix_Data!D2:D1501,"Action")</f>
        <v>134</v>
      </c>
    </row>
    <row r="15" spans="1:16" ht="15.6" x14ac:dyDescent="0.3">
      <c r="A15" s="22" t="s">
        <v>4252</v>
      </c>
      <c r="B15" s="22"/>
      <c r="C15" s="22"/>
      <c r="D15" s="6">
        <f>MIN(Netflix_Data!J2:J1501)</f>
        <v>4.5</v>
      </c>
    </row>
    <row r="17" spans="1:17" ht="15.6" x14ac:dyDescent="0.3">
      <c r="K17" s="19">
        <v>12</v>
      </c>
      <c r="L17" s="20"/>
      <c r="M17" s="20"/>
      <c r="N17" s="21"/>
      <c r="O17" s="2" t="s">
        <v>4</v>
      </c>
      <c r="P17" s="2" t="s">
        <v>4240</v>
      </c>
    </row>
    <row r="18" spans="1:17" ht="15.6" x14ac:dyDescent="0.3">
      <c r="A18" s="19">
        <v>5</v>
      </c>
      <c r="B18" s="20"/>
      <c r="C18" s="20"/>
      <c r="D18" s="21"/>
      <c r="E18" s="2" t="s">
        <v>4234</v>
      </c>
      <c r="K18" s="18" t="s">
        <v>4226</v>
      </c>
      <c r="L18" s="18"/>
      <c r="M18" s="18"/>
      <c r="N18" s="18"/>
      <c r="O18" s="3" t="s">
        <v>20</v>
      </c>
      <c r="P18" s="4">
        <f>COUNTIF(Netflix_Data!F2:F1501,Q_a!O18)</f>
        <v>150</v>
      </c>
    </row>
    <row r="19" spans="1:17" ht="15.6" x14ac:dyDescent="0.3">
      <c r="A19" s="18" t="s">
        <v>4237</v>
      </c>
      <c r="B19" s="18"/>
      <c r="C19" s="18"/>
      <c r="D19" s="18"/>
      <c r="E19" s="4">
        <f>SUM(Netflix_Data!K2:K1501)</f>
        <v>449992.99999999988</v>
      </c>
    </row>
    <row r="21" spans="1:17" ht="15.6" x14ac:dyDescent="0.3">
      <c r="K21" s="22">
        <v>13</v>
      </c>
      <c r="L21" s="22"/>
      <c r="M21" s="22"/>
      <c r="N21" s="22"/>
      <c r="O21" s="22"/>
      <c r="P21" s="2" t="s">
        <v>4235</v>
      </c>
      <c r="Q21" s="2" t="s">
        <v>4231</v>
      </c>
    </row>
    <row r="22" spans="1:17" ht="15.6" x14ac:dyDescent="0.3">
      <c r="A22" s="19">
        <v>6</v>
      </c>
      <c r="B22" s="20"/>
      <c r="C22" s="20"/>
      <c r="D22" s="21"/>
      <c r="E22" s="2" t="s">
        <v>4</v>
      </c>
      <c r="F22" s="2" t="s">
        <v>4234</v>
      </c>
      <c r="K22" s="18" t="s">
        <v>4228</v>
      </c>
      <c r="L22" s="18"/>
      <c r="M22" s="18"/>
      <c r="N22" s="18"/>
      <c r="O22" s="18"/>
      <c r="P22" s="3">
        <v>9</v>
      </c>
      <c r="Q22" s="4">
        <f>COUNTIF(Netflix_Data!J2:J1501,Q_a!P22)</f>
        <v>23</v>
      </c>
    </row>
    <row r="23" spans="1:17" ht="15.6" x14ac:dyDescent="0.3">
      <c r="A23" s="18" t="s">
        <v>4227</v>
      </c>
      <c r="B23" s="18"/>
      <c r="C23" s="18"/>
      <c r="D23" s="18"/>
      <c r="E23" s="3" t="s">
        <v>83</v>
      </c>
      <c r="F23" s="4">
        <f ca="1">SUMIF(Netflix_Data!A1:Q1501,Q_a!E23,Netflix_Data!K2:K1501)</f>
        <v>17365</v>
      </c>
    </row>
    <row r="25" spans="1:17" ht="15.6" x14ac:dyDescent="0.3">
      <c r="K25" s="19">
        <v>14</v>
      </c>
      <c r="L25" s="20"/>
      <c r="M25" s="21"/>
      <c r="N25" s="2" t="s">
        <v>2</v>
      </c>
      <c r="O25" s="2" t="s">
        <v>4233</v>
      </c>
    </row>
    <row r="26" spans="1:17" ht="15.6" x14ac:dyDescent="0.3">
      <c r="A26" s="19">
        <v>7</v>
      </c>
      <c r="B26" s="20"/>
      <c r="C26" s="20"/>
      <c r="D26" s="20"/>
      <c r="E26" s="21"/>
      <c r="F26" s="2" t="s">
        <v>4236</v>
      </c>
      <c r="K26" s="18" t="s">
        <v>4232</v>
      </c>
      <c r="L26" s="18"/>
      <c r="M26" s="18"/>
      <c r="N26" s="3" t="s">
        <v>63</v>
      </c>
      <c r="O26" s="4">
        <f>ROUNDUP(AVERAGEIFS(Netflix_Data!J1:J1501,Netflix_Data!D1:D1501,Q_a!N26),1)</f>
        <v>7.1</v>
      </c>
    </row>
    <row r="27" spans="1:17" ht="15.6" x14ac:dyDescent="0.3">
      <c r="A27" s="23" t="s">
        <v>4229</v>
      </c>
      <c r="B27" s="24"/>
      <c r="C27" s="24"/>
      <c r="D27" s="24"/>
      <c r="E27" s="25"/>
      <c r="F27" s="4">
        <f>ROUNDUP(AVERAGEIFS(Netflix_Data!J2:J1501,Netflix_Data!E2:E1501,"&gt;2020"),1)</f>
        <v>7.1999999999999993</v>
      </c>
    </row>
    <row r="30" spans="1:17" ht="15.6" x14ac:dyDescent="0.3">
      <c r="G30" s="19">
        <v>15</v>
      </c>
      <c r="H30" s="20"/>
      <c r="I30" s="21"/>
      <c r="J30" s="2" t="s">
        <v>13</v>
      </c>
      <c r="K30" s="2" t="s">
        <v>4231</v>
      </c>
    </row>
    <row r="31" spans="1:17" ht="15.6" x14ac:dyDescent="0.3">
      <c r="G31" s="23" t="s">
        <v>4230</v>
      </c>
      <c r="H31" s="24"/>
      <c r="I31" s="25"/>
      <c r="J31" s="3" t="s">
        <v>4241</v>
      </c>
      <c r="K31" s="4">
        <f>COUNTIFS(Netflix_Data!C1:C1501,"TV Show",Netflix_Data!O1:O1501,Q_a!J31)</f>
        <v>450</v>
      </c>
    </row>
  </sheetData>
  <mergeCells count="31">
    <mergeCell ref="G31:I31"/>
    <mergeCell ref="G30:I30"/>
    <mergeCell ref="A23:D23"/>
    <mergeCell ref="A22:D22"/>
    <mergeCell ref="K22:O22"/>
    <mergeCell ref="K21:O21"/>
    <mergeCell ref="A27:E27"/>
    <mergeCell ref="A26:E26"/>
    <mergeCell ref="K26:M26"/>
    <mergeCell ref="K25:M25"/>
    <mergeCell ref="A2:E2"/>
    <mergeCell ref="A6:D6"/>
    <mergeCell ref="A10:D10"/>
    <mergeCell ref="A1:E1"/>
    <mergeCell ref="A5:D5"/>
    <mergeCell ref="A9:D9"/>
    <mergeCell ref="K2:N2"/>
    <mergeCell ref="K6:O6"/>
    <mergeCell ref="K1:N1"/>
    <mergeCell ref="K5:O5"/>
    <mergeCell ref="K9:N9"/>
    <mergeCell ref="A13:D13"/>
    <mergeCell ref="A14:C14"/>
    <mergeCell ref="A15:C15"/>
    <mergeCell ref="A19:D19"/>
    <mergeCell ref="A18:D18"/>
    <mergeCell ref="K10:N10"/>
    <mergeCell ref="K14:N14"/>
    <mergeCell ref="K18:N18"/>
    <mergeCell ref="K13:N13"/>
    <mergeCell ref="K17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76D4-9E7D-491E-B981-FD67AE29D47F}">
  <dimension ref="A1:G30"/>
  <sheetViews>
    <sheetView topLeftCell="A13" zoomScaleNormal="100" workbookViewId="0">
      <selection activeCell="D16" sqref="D16"/>
    </sheetView>
  </sheetViews>
  <sheetFormatPr defaultRowHeight="14.4" x14ac:dyDescent="0.3"/>
  <cols>
    <col min="1" max="1" width="18.44140625" bestFit="1" customWidth="1"/>
    <col min="2" max="2" width="18.77734375" bestFit="1" customWidth="1"/>
    <col min="3" max="3" width="22" bestFit="1" customWidth="1"/>
    <col min="4" max="4" width="12.109375" bestFit="1" customWidth="1"/>
    <col min="5" max="5" width="15.21875" bestFit="1" customWidth="1"/>
    <col min="6" max="6" width="11.5546875" bestFit="1" customWidth="1"/>
    <col min="7" max="7" width="9.6640625" bestFit="1" customWidth="1"/>
  </cols>
  <sheetData>
    <row r="1" spans="1:7" s="33" customFormat="1" ht="15.6" x14ac:dyDescent="0.3">
      <c r="A1" s="44" t="s">
        <v>4248</v>
      </c>
      <c r="B1" s="44"/>
      <c r="C1" s="44"/>
      <c r="D1" s="44"/>
      <c r="E1" s="44"/>
      <c r="F1" s="44"/>
      <c r="G1" s="44"/>
    </row>
    <row r="2" spans="1:7" x14ac:dyDescent="0.3">
      <c r="A2" s="5"/>
    </row>
    <row r="3" spans="1:7" ht="15.6" x14ac:dyDescent="0.3">
      <c r="A3" s="2" t="s">
        <v>4246</v>
      </c>
      <c r="B3" s="2" t="s">
        <v>0</v>
      </c>
      <c r="C3" s="2" t="s">
        <v>2</v>
      </c>
      <c r="D3" s="2" t="s">
        <v>4247</v>
      </c>
    </row>
    <row r="4" spans="1:7" ht="15.6" x14ac:dyDescent="0.3">
      <c r="A4" s="4" t="s">
        <v>73</v>
      </c>
      <c r="B4" s="4" t="str">
        <f>VLOOKUP(A4,Netflix_Data!A1:U1501,2,0)</f>
        <v>Midnight Empire 5</v>
      </c>
      <c r="C4" s="4" t="str">
        <f>VLOOKUP(A4,Netflix_Data!A1:U1501,4,0)</f>
        <v>Fantasy</v>
      </c>
      <c r="D4" s="4">
        <f>VLOOKUP(A4,Netflix_Data!A1:U1501,10,0)</f>
        <v>4.9000000000000004</v>
      </c>
    </row>
    <row r="5" spans="1:7" x14ac:dyDescent="0.3">
      <c r="A5" s="5"/>
    </row>
    <row r="6" spans="1:7" x14ac:dyDescent="0.3">
      <c r="A6" s="5"/>
    </row>
    <row r="7" spans="1:7" s="33" customFormat="1" ht="15.6" x14ac:dyDescent="0.3">
      <c r="A7" s="44" t="s">
        <v>4250</v>
      </c>
      <c r="B7" s="44"/>
      <c r="C7" s="45"/>
    </row>
    <row r="8" spans="1:7" x14ac:dyDescent="0.3">
      <c r="A8" s="5"/>
    </row>
    <row r="9" spans="1:7" ht="15.6" x14ac:dyDescent="0.3">
      <c r="A9" s="2" t="s">
        <v>4249</v>
      </c>
      <c r="B9" s="2" t="s">
        <v>11</v>
      </c>
      <c r="C9" s="2" t="s">
        <v>15</v>
      </c>
      <c r="D9" s="2" t="s">
        <v>2</v>
      </c>
      <c r="E9" s="2" t="s">
        <v>9</v>
      </c>
      <c r="F9" s="2" t="s">
        <v>12</v>
      </c>
      <c r="G9" s="2" t="s">
        <v>10</v>
      </c>
    </row>
    <row r="10" spans="1:7" ht="15.6" x14ac:dyDescent="0.3">
      <c r="A10" s="4" t="s">
        <v>74</v>
      </c>
      <c r="B10" s="4" t="str">
        <f>VLOOKUP($A10,Netflix_Data!$B$1:$U$1501,MATCH(B9,Netflix_Data!$B$1:$U$1,0),0)</f>
        <v>Guillermo del Toro</v>
      </c>
      <c r="C10" s="4">
        <f>VLOOKUP($A10,Netflix_Data!$B$1:$U$1501,MATCH(C9,Netflix_Data!$B$1:$U$1,0),0)</f>
        <v>141</v>
      </c>
      <c r="D10" s="4" t="str">
        <f>VLOOKUP($A10,Netflix_Data!$B$1:$U$1501,MATCH(D9,Netflix_Data!$B$1:$U$1,0),0)</f>
        <v>Fantasy</v>
      </c>
      <c r="E10" s="4">
        <f>VLOOKUP($A10,Netflix_Data!$B$1:$U$1501,MATCH(E9,Netflix_Data!$B$1:$U$1,0),0)</f>
        <v>590.4</v>
      </c>
      <c r="F10" s="4" t="str">
        <f>VLOOKUP($A10,Netflix_Data!$B$1:$U$1501,MATCH(F9,Netflix_Data!$B$1:$U$1,0),0)</f>
        <v>Chris Evans</v>
      </c>
      <c r="G10" s="4" t="str">
        <f>VLOOKUP($A10,Netflix_Data!$B$1:$U$1501,MATCH(G9,Netflix_Data!$B$1:$U$1,0),0)</f>
        <v>Spanish</v>
      </c>
    </row>
    <row r="11" spans="1:7" x14ac:dyDescent="0.3">
      <c r="A11" s="5"/>
    </row>
    <row r="13" spans="1:7" s="33" customFormat="1" ht="15.6" x14ac:dyDescent="0.3">
      <c r="A13" s="44" t="s">
        <v>4256</v>
      </c>
      <c r="B13" s="44"/>
    </row>
    <row r="15" spans="1:7" ht="15.6" x14ac:dyDescent="0.3">
      <c r="A15" s="2" t="s">
        <v>4253</v>
      </c>
      <c r="B15" s="2" t="s">
        <v>0</v>
      </c>
    </row>
    <row r="16" spans="1:7" ht="15.6" x14ac:dyDescent="0.3">
      <c r="A16" s="4">
        <f>LARGE(Netflix_Data!K:K,ROW(A1))</f>
        <v>599.29999999999995</v>
      </c>
      <c r="B16" s="4" t="str">
        <f>INDEX(Netflix_Data!B:B,MATCH(A16,Netflix_Data!K:K,0))</f>
        <v>Last Legacy</v>
      </c>
    </row>
    <row r="17" spans="1:2" ht="15.6" x14ac:dyDescent="0.3">
      <c r="A17" s="4">
        <f>LARGE(Netflix_Data!K:K,ROW(A2))</f>
        <v>598.70000000000005</v>
      </c>
      <c r="B17" s="4" t="str">
        <f>INDEX(Netflix_Data!B:B,MATCH(A17,Netflix_Data!K:K,0))</f>
        <v>Silent Odyssey 8</v>
      </c>
    </row>
    <row r="18" spans="1:2" ht="15.6" x14ac:dyDescent="0.3">
      <c r="A18" s="4">
        <f>LARGE(Netflix_Data!K:K,ROW(A3))</f>
        <v>598.6</v>
      </c>
      <c r="B18" s="4" t="str">
        <f>INDEX(Netflix_Data!B:B,MATCH(A18,Netflix_Data!K:K,0))</f>
        <v>Shadow Frontier 2</v>
      </c>
    </row>
    <row r="19" spans="1:2" ht="15.6" x14ac:dyDescent="0.3">
      <c r="A19" s="4">
        <f>LARGE(Netflix_Data!K:K,ROW(A4))</f>
        <v>598.4</v>
      </c>
      <c r="B19" s="4" t="str">
        <f>INDEX(Netflix_Data!B:B,MATCH(A19,Netflix_Data!K:K,0))</f>
        <v>Burning Protocol 7</v>
      </c>
    </row>
    <row r="20" spans="1:2" ht="15.6" x14ac:dyDescent="0.3">
      <c r="A20" s="4">
        <f>LARGE(Netflix_Data!K:K,ROW(A5))</f>
        <v>597.4</v>
      </c>
      <c r="B20" s="4" t="str">
        <f>INDEX(Netflix_Data!B:B,MATCH(A20,Netflix_Data!K:K,0))</f>
        <v>Midnight City 5</v>
      </c>
    </row>
    <row r="23" spans="1:2" s="33" customFormat="1" ht="15.6" x14ac:dyDescent="0.3">
      <c r="A23" s="45" t="s">
        <v>4254</v>
      </c>
      <c r="B23" s="45"/>
    </row>
    <row r="25" spans="1:2" ht="15.6" x14ac:dyDescent="0.3">
      <c r="A25" s="2" t="s">
        <v>4255</v>
      </c>
      <c r="B25" s="2" t="s">
        <v>0</v>
      </c>
    </row>
    <row r="26" spans="1:2" ht="15.6" x14ac:dyDescent="0.3">
      <c r="A26" s="4">
        <f>LARGE(Netflix_Data!Q:Q,ROW(A1))</f>
        <v>1265.2</v>
      </c>
      <c r="B26" s="4" t="str">
        <f>INDEX(Netflix_Data!B:B,MATCH(A26,Netflix_Data!Q:Q,0))</f>
        <v>Lost Horizon 2</v>
      </c>
    </row>
    <row r="27" spans="1:2" ht="15.6" x14ac:dyDescent="0.3">
      <c r="A27" s="4">
        <f>LARGE(Netflix_Data!Q:Q,ROW(A2))</f>
        <v>1243.4000000000001</v>
      </c>
      <c r="B27" s="4" t="str">
        <f>INDEX(Netflix_Data!B:B,MATCH(A27,Netflix_Data!Q:Q,0))</f>
        <v>Fading Code 1</v>
      </c>
    </row>
    <row r="28" spans="1:2" ht="15.6" x14ac:dyDescent="0.3">
      <c r="A28" s="4">
        <f>LARGE(Netflix_Data!Q:Q,ROW(A3))</f>
        <v>1238.5</v>
      </c>
      <c r="B28" s="4" t="str">
        <f>INDEX(Netflix_Data!B:B,MATCH(A28,Netflix_Data!Q:Q,0))</f>
        <v>Hidden Frontier 8</v>
      </c>
    </row>
    <row r="29" spans="1:2" ht="15.6" x14ac:dyDescent="0.3">
      <c r="A29" s="4">
        <f>LARGE(Netflix_Data!Q:Q,ROW(A4))</f>
        <v>1217.2</v>
      </c>
      <c r="B29" s="4" t="str">
        <f>INDEX(Netflix_Data!B:B,MATCH(A29,Netflix_Data!Q:Q,0))</f>
        <v>Golden Odyssey 8</v>
      </c>
    </row>
    <row r="30" spans="1:2" ht="15.6" x14ac:dyDescent="0.3">
      <c r="A30" s="4">
        <f>LARGE(Netflix_Data!Q:Q,ROW(A5))</f>
        <v>1209.8</v>
      </c>
      <c r="B30" s="4" t="str">
        <f>INDEX(Netflix_Data!B:B,MATCH(A30,Netflix_Data!Q:Q,0))</f>
        <v>Burning Signal</v>
      </c>
    </row>
  </sheetData>
  <mergeCells count="3">
    <mergeCell ref="A1:G1"/>
    <mergeCell ref="A7:B7"/>
    <mergeCell ref="A13:B1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079E-7272-4503-81A5-970547C9E32A}">
  <dimension ref="A1:N15"/>
  <sheetViews>
    <sheetView workbookViewId="0">
      <selection activeCell="E22" sqref="E22"/>
    </sheetView>
  </sheetViews>
  <sheetFormatPr defaultRowHeight="14.4" x14ac:dyDescent="0.3"/>
  <cols>
    <col min="1" max="1" width="15.88671875" bestFit="1" customWidth="1"/>
    <col min="2" max="2" width="13.88671875" bestFit="1" customWidth="1"/>
    <col min="3" max="3" width="9.88671875" bestFit="1" customWidth="1"/>
    <col min="4" max="4" width="8" bestFit="1" customWidth="1"/>
    <col min="5" max="5" width="5.88671875" bestFit="1" customWidth="1"/>
    <col min="6" max="6" width="13.6640625" bestFit="1" customWidth="1"/>
    <col min="7" max="7" width="23.88671875" bestFit="1" customWidth="1"/>
    <col min="8" max="8" width="7.44140625" bestFit="1" customWidth="1"/>
    <col min="9" max="9" width="6.44140625" bestFit="1" customWidth="1"/>
    <col min="10" max="10" width="8.88671875" bestFit="1" customWidth="1"/>
    <col min="11" max="11" width="13.6640625" bestFit="1" customWidth="1"/>
    <col min="12" max="12" width="29.109375" bestFit="1" customWidth="1"/>
    <col min="13" max="13" width="7" bestFit="1" customWidth="1"/>
    <col min="14" max="14" width="10.77734375" bestFit="1" customWidth="1"/>
    <col min="15" max="134" width="18.5546875" bestFit="1" customWidth="1"/>
    <col min="135" max="135" width="11.109375" bestFit="1" customWidth="1"/>
    <col min="136" max="284" width="18.33203125" bestFit="1" customWidth="1"/>
    <col min="285" max="285" width="14.6640625" bestFit="1" customWidth="1"/>
    <col min="286" max="404" width="18.33203125" bestFit="1" customWidth="1"/>
    <col min="405" max="405" width="12.6640625" bestFit="1" customWidth="1"/>
    <col min="406" max="560" width="18.33203125" bestFit="1" customWidth="1"/>
    <col min="561" max="561" width="10.5546875" bestFit="1" customWidth="1"/>
    <col min="562" max="694" width="18.33203125" bestFit="1" customWidth="1"/>
    <col min="695" max="695" width="17.33203125" bestFit="1" customWidth="1"/>
    <col min="696" max="826" width="19.44140625" bestFit="1" customWidth="1"/>
    <col min="827" max="827" width="11.21875" bestFit="1" customWidth="1"/>
    <col min="828" max="961" width="18.5546875" bestFit="1" customWidth="1"/>
    <col min="962" max="962" width="12.109375" bestFit="1" customWidth="1"/>
    <col min="963" max="1101" width="17.88671875" bestFit="1" customWidth="1"/>
    <col min="1102" max="1102" width="11.109375" bestFit="1" customWidth="1"/>
    <col min="1103" max="1249" width="19.44140625" bestFit="1" customWidth="1"/>
    <col min="1250" max="1250" width="13.6640625" bestFit="1" customWidth="1"/>
    <col min="1251" max="1377" width="18.5546875" bestFit="1" customWidth="1"/>
    <col min="1378" max="1378" width="10" bestFit="1" customWidth="1"/>
    <col min="1379" max="1510" width="17.88671875" bestFit="1" customWidth="1"/>
    <col min="1511" max="1511" width="11.44140625" bestFit="1" customWidth="1"/>
    <col min="1512" max="1512" width="9" bestFit="1" customWidth="1"/>
    <col min="1513" max="1513" width="11.6640625" bestFit="1" customWidth="1"/>
    <col min="1514" max="1514" width="10.77734375" bestFit="1" customWidth="1"/>
  </cols>
  <sheetData>
    <row r="1" spans="1:14" ht="15.6" x14ac:dyDescent="0.3">
      <c r="A1" s="44" t="s">
        <v>4262</v>
      </c>
      <c r="B1" s="44"/>
      <c r="C1" s="33"/>
      <c r="D1" s="33"/>
      <c r="E1" s="33"/>
      <c r="F1" s="44" t="s">
        <v>4263</v>
      </c>
      <c r="G1" s="44"/>
      <c r="H1" s="44"/>
      <c r="I1" s="44"/>
      <c r="J1" s="33"/>
      <c r="K1" s="44" t="s">
        <v>4265</v>
      </c>
      <c r="L1" s="44"/>
      <c r="M1" s="44"/>
      <c r="N1" s="44"/>
    </row>
    <row r="3" spans="1:14" ht="15.6" x14ac:dyDescent="0.3">
      <c r="A3" s="36" t="s">
        <v>4259</v>
      </c>
      <c r="B3" s="36" t="s">
        <v>4261</v>
      </c>
      <c r="F3" s="38" t="s">
        <v>4259</v>
      </c>
      <c r="G3" s="38" t="s">
        <v>4264</v>
      </c>
      <c r="K3" s="38" t="s">
        <v>4259</v>
      </c>
      <c r="L3" s="38" t="s">
        <v>4266</v>
      </c>
    </row>
    <row r="4" spans="1:14" ht="15.6" x14ac:dyDescent="0.3">
      <c r="A4" s="34" t="s">
        <v>63</v>
      </c>
      <c r="B4" s="35">
        <v>134</v>
      </c>
      <c r="F4" s="41" t="s">
        <v>181</v>
      </c>
      <c r="G4" s="42">
        <v>6.8977941176470585</v>
      </c>
      <c r="K4" s="41" t="s">
        <v>63</v>
      </c>
      <c r="L4" s="42">
        <v>53729.299999999974</v>
      </c>
    </row>
    <row r="5" spans="1:14" ht="15.6" x14ac:dyDescent="0.3">
      <c r="A5" s="34" t="s">
        <v>37</v>
      </c>
      <c r="B5" s="35">
        <v>149</v>
      </c>
      <c r="F5" s="41" t="s">
        <v>48</v>
      </c>
      <c r="G5" s="42">
        <v>7.0668965517241382</v>
      </c>
      <c r="K5" s="41" t="s">
        <v>37</v>
      </c>
      <c r="L5" s="42">
        <v>61214.700000000012</v>
      </c>
    </row>
    <row r="6" spans="1:14" ht="15.6" x14ac:dyDescent="0.3">
      <c r="A6" s="34" t="s">
        <v>141</v>
      </c>
      <c r="B6" s="35">
        <v>119</v>
      </c>
      <c r="F6" s="41" t="s">
        <v>95</v>
      </c>
      <c r="G6" s="42">
        <v>7.006617647058822</v>
      </c>
      <c r="K6" s="41" t="s">
        <v>141</v>
      </c>
      <c r="L6" s="42">
        <v>44643.199999999997</v>
      </c>
    </row>
    <row r="7" spans="1:14" ht="15.6" x14ac:dyDescent="0.3">
      <c r="A7" s="34" t="s">
        <v>58</v>
      </c>
      <c r="B7" s="35">
        <v>155</v>
      </c>
      <c r="F7" s="41" t="s">
        <v>100</v>
      </c>
      <c r="G7" s="42">
        <v>7.0875862068965523</v>
      </c>
      <c r="K7" s="41" t="s">
        <v>58</v>
      </c>
      <c r="L7" s="42">
        <v>60829.899999999987</v>
      </c>
    </row>
    <row r="8" spans="1:14" ht="15.6" x14ac:dyDescent="0.3">
      <c r="A8" s="34" t="s">
        <v>117</v>
      </c>
      <c r="B8" s="35">
        <v>133</v>
      </c>
      <c r="F8" s="41" t="s">
        <v>38</v>
      </c>
      <c r="G8" s="42">
        <v>7.152469135802467</v>
      </c>
      <c r="K8" s="41" t="s">
        <v>117</v>
      </c>
      <c r="L8" s="42">
        <v>52959.7</v>
      </c>
    </row>
    <row r="9" spans="1:14" ht="15.6" x14ac:dyDescent="0.3">
      <c r="A9" s="34" t="s">
        <v>19</v>
      </c>
      <c r="B9" s="35">
        <v>131</v>
      </c>
      <c r="F9" s="41" t="s">
        <v>122</v>
      </c>
      <c r="G9" s="42">
        <v>7.0892215568862298</v>
      </c>
      <c r="K9" s="41" t="s">
        <v>19</v>
      </c>
      <c r="L9" s="42">
        <v>49652.69999999999</v>
      </c>
    </row>
    <row r="10" spans="1:14" ht="15.6" x14ac:dyDescent="0.3">
      <c r="A10" s="34" t="s">
        <v>75</v>
      </c>
      <c r="B10" s="35">
        <v>134</v>
      </c>
      <c r="F10" s="41" t="s">
        <v>29</v>
      </c>
      <c r="G10" s="42">
        <v>7.091719745222929</v>
      </c>
      <c r="K10" s="41" t="s">
        <v>75</v>
      </c>
      <c r="L10" s="42">
        <v>56786.000000000015</v>
      </c>
    </row>
    <row r="11" spans="1:14" ht="15.6" x14ac:dyDescent="0.3">
      <c r="A11" s="34" t="s">
        <v>82</v>
      </c>
      <c r="B11" s="35">
        <v>139</v>
      </c>
      <c r="F11" s="41" t="s">
        <v>76</v>
      </c>
      <c r="G11" s="42">
        <v>6.7679104477611922</v>
      </c>
      <c r="K11" s="41" t="s">
        <v>82</v>
      </c>
      <c r="L11" s="42">
        <v>53201.900000000009</v>
      </c>
    </row>
    <row r="12" spans="1:14" ht="15.6" x14ac:dyDescent="0.3">
      <c r="A12" s="34" t="s">
        <v>28</v>
      </c>
      <c r="B12" s="35">
        <v>147</v>
      </c>
      <c r="F12" s="41" t="s">
        <v>20</v>
      </c>
      <c r="G12" s="42">
        <v>7.0046666666666653</v>
      </c>
      <c r="K12" s="41" t="s">
        <v>28</v>
      </c>
      <c r="L12" s="42">
        <v>58614.600000000013</v>
      </c>
    </row>
    <row r="13" spans="1:14" ht="15.6" x14ac:dyDescent="0.3">
      <c r="A13" s="34" t="s">
        <v>94</v>
      </c>
      <c r="B13" s="35">
        <v>127</v>
      </c>
      <c r="F13" s="41" t="s">
        <v>83</v>
      </c>
      <c r="G13" s="42">
        <v>6.9994047619047599</v>
      </c>
      <c r="K13" s="41" t="s">
        <v>94</v>
      </c>
      <c r="L13" s="42">
        <v>49477</v>
      </c>
    </row>
    <row r="14" spans="1:14" ht="15.6" x14ac:dyDescent="0.3">
      <c r="A14" s="34" t="s">
        <v>47</v>
      </c>
      <c r="B14" s="35">
        <v>132</v>
      </c>
      <c r="F14" s="39" t="s">
        <v>4260</v>
      </c>
      <c r="G14" s="40">
        <v>7.0219333333333305</v>
      </c>
      <c r="K14" s="41" t="s">
        <v>47</v>
      </c>
      <c r="L14" s="42">
        <v>48980.9</v>
      </c>
    </row>
    <row r="15" spans="1:14" ht="15.6" x14ac:dyDescent="0.3">
      <c r="A15" s="36" t="s">
        <v>4260</v>
      </c>
      <c r="B15" s="37">
        <v>1500</v>
      </c>
      <c r="K15" s="39" t="s">
        <v>4260</v>
      </c>
      <c r="L15" s="40">
        <v>590089.9</v>
      </c>
    </row>
  </sheetData>
  <mergeCells count="3">
    <mergeCell ref="A1:B1"/>
    <mergeCell ref="F1:I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74C4-089B-4FC2-A32F-D7622782D48D}">
  <dimension ref="B1:M16"/>
  <sheetViews>
    <sheetView tabSelected="1" workbookViewId="0">
      <selection activeCell="Q1" sqref="Q1"/>
    </sheetView>
  </sheetViews>
  <sheetFormatPr defaultRowHeight="14.4" x14ac:dyDescent="0.3"/>
  <cols>
    <col min="2" max="2" width="12.5546875" bestFit="1" customWidth="1"/>
    <col min="3" max="3" width="20.109375" bestFit="1" customWidth="1"/>
    <col min="7" max="7" width="7.6640625" customWidth="1"/>
  </cols>
  <sheetData>
    <row r="1" spans="2:13" ht="23.4" x14ac:dyDescent="0.3">
      <c r="F1" s="43" t="s">
        <v>4267</v>
      </c>
      <c r="G1" s="43"/>
      <c r="H1" s="43"/>
      <c r="I1" s="43"/>
      <c r="J1" s="43"/>
      <c r="K1" s="43"/>
      <c r="L1" s="43"/>
      <c r="M1" s="43"/>
    </row>
    <row r="4" spans="2:13" x14ac:dyDescent="0.3">
      <c r="B4" s="30" t="s">
        <v>4259</v>
      </c>
      <c r="C4" t="s">
        <v>4268</v>
      </c>
    </row>
    <row r="5" spans="2:13" x14ac:dyDescent="0.3">
      <c r="B5" s="31" t="s">
        <v>63</v>
      </c>
      <c r="C5" s="32">
        <v>38416.700000000012</v>
      </c>
    </row>
    <row r="6" spans="2:13" x14ac:dyDescent="0.3">
      <c r="B6" s="31" t="s">
        <v>37</v>
      </c>
      <c r="C6" s="32">
        <v>45281.200000000026</v>
      </c>
    </row>
    <row r="7" spans="2:13" x14ac:dyDescent="0.3">
      <c r="B7" s="31" t="s">
        <v>141</v>
      </c>
      <c r="C7" s="32">
        <v>35044</v>
      </c>
    </row>
    <row r="8" spans="2:13" x14ac:dyDescent="0.3">
      <c r="B8" s="31" t="s">
        <v>58</v>
      </c>
      <c r="C8" s="32">
        <v>43798.299999999988</v>
      </c>
    </row>
    <row r="9" spans="2:13" x14ac:dyDescent="0.3">
      <c r="B9" s="31" t="s">
        <v>117</v>
      </c>
      <c r="C9" s="32">
        <v>40070.30000000001</v>
      </c>
    </row>
    <row r="10" spans="2:13" x14ac:dyDescent="0.3">
      <c r="B10" s="31" t="s">
        <v>19</v>
      </c>
      <c r="C10" s="32">
        <v>40065.000000000015</v>
      </c>
    </row>
    <row r="11" spans="2:13" x14ac:dyDescent="0.3">
      <c r="B11" s="31" t="s">
        <v>75</v>
      </c>
      <c r="C11" s="32">
        <v>40997.100000000006</v>
      </c>
    </row>
    <row r="12" spans="2:13" x14ac:dyDescent="0.3">
      <c r="B12" s="31" t="s">
        <v>82</v>
      </c>
      <c r="C12" s="32">
        <v>42325.200000000004</v>
      </c>
    </row>
    <row r="13" spans="2:13" x14ac:dyDescent="0.3">
      <c r="B13" s="31" t="s">
        <v>28</v>
      </c>
      <c r="C13" s="32">
        <v>45408.000000000015</v>
      </c>
    </row>
    <row r="14" spans="2:13" x14ac:dyDescent="0.3">
      <c r="B14" s="31" t="s">
        <v>94</v>
      </c>
      <c r="C14" s="32">
        <v>38258.6</v>
      </c>
    </row>
    <row r="15" spans="2:13" x14ac:dyDescent="0.3">
      <c r="B15" s="31" t="s">
        <v>47</v>
      </c>
      <c r="C15" s="32">
        <v>40328.600000000006</v>
      </c>
    </row>
    <row r="16" spans="2:13" x14ac:dyDescent="0.3">
      <c r="B16" s="31" t="s">
        <v>4260</v>
      </c>
      <c r="C16" s="32">
        <v>449993.00000000012</v>
      </c>
    </row>
  </sheetData>
  <mergeCells count="1">
    <mergeCell ref="F1:M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Netflix_Data</vt:lpstr>
      <vt:lpstr>Q_a</vt:lpstr>
      <vt:lpstr>Q_b</vt:lpstr>
      <vt:lpstr>Table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DUTTA</cp:lastModifiedBy>
  <dcterms:created xsi:type="dcterms:W3CDTF">2026-03-19T18:31:07Z</dcterms:created>
  <dcterms:modified xsi:type="dcterms:W3CDTF">2026-03-22T17:34:40Z</dcterms:modified>
</cp:coreProperties>
</file>